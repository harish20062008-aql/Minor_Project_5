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ADME" sheetId="1" state="visible" r:id="rId3"/>
    <sheet name="Orders" sheetId="2" state="visible" r:id="rId4"/>
    <sheet name="Customers" sheetId="3" state="visible" r:id="rId5"/>
    <sheet name="Products" sheetId="4" state="visible" r:id="rId6"/>
    <sheet name="Sales_Reps" sheetId="5" state="visible" r:id="rId7"/>
    <sheet name="Targets" sheetId="6" state="visible" r:id="rId8"/>
    <sheet name="Q1_Lookups" sheetId="7" state="visible" r:id="rId9"/>
    <sheet name="Q2_Cleaning" sheetId="8" state="visible" r:id="rId10"/>
    <sheet name="Q3_Aggregation" sheetId="9" state="visible" r:id="rId11"/>
    <sheet name="Q4_Pivot" sheetId="10" state="visible" r:id="rId12"/>
    <sheet name="Q5_Advanced" sheetId="11" state="visible" r:id="rId13"/>
    <sheet name="Helper" sheetId="12" state="visible" r:id="rId14"/>
  </sheets>
  <definedNames>
    <definedName function="false" hidden="false" localSheetId="2" name="_xlnm.Print_Area" vbProcedure="false">Customers!$A$1:$F$301</definedName>
    <definedName function="false" hidden="false" localSheetId="2" name="_xlnm.Print_Titles" vbProcedure="false">Customers!$1:$1</definedName>
    <definedName function="false" hidden="false" localSheetId="1" name="_xlnm.Print_Area" vbProcedure="false">Orders!$A$1:$K$2001</definedName>
    <definedName function="false" hidden="false" localSheetId="1" name="_xlnm.Print_Titles" vbProcedure="false">Orders!$1:$1</definedName>
    <definedName function="false" hidden="false" localSheetId="3" name="_xlnm.Print_Area" vbProcedure="false">Products!$A$1:$F$61</definedName>
    <definedName function="false" hidden="false" localSheetId="3" name="_xlnm.Print_Titles" vbProcedure="false">Products!$1:$1</definedName>
    <definedName function="false" hidden="false" localSheetId="4" name="_xlnm.Print_Area" vbProcedure="false">Sales_Reps!$A$1:$E$31</definedName>
    <definedName function="false" hidden="false" localSheetId="4" name="_xlnm.Print_Titles" vbProcedure="false">Sales_Reps!$1:$1</definedName>
    <definedName function="false" hidden="false" localSheetId="5" name="_xlnm.Print_Area" vbProcedure="false">Targets!$A$1:$M$31</definedName>
    <definedName function="false" hidden="false" localSheetId="5" name="_xlnm.Print_Titles" vbProcedure="false">Targets!$1:$1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<sst xmlns="http://schemas.openxmlformats.org/spreadsheetml/2006/main" count="13841" uniqueCount="3035">
  <si>
    <t xml:space="preserve">THE UNLOX ACADEMY - DA/DS TRACK</t>
  </si>
  <si>
    <t xml:space="preserve">Excel Minor Project - Sales Operations Analytics</t>
  </si>
  <si>
    <t xml:space="preserve">Interview-Grade Data Analytics Assessment · 100 Marks</t>
  </si>
  <si>
    <t xml:space="preserve">THE SCENARIO</t>
  </si>
  <si>
    <t xml:space="preserve">You have just joined the analytics team at a fast-growing multi-category retailer operating across 6 Indian cities.</t>
  </si>
  <si>
    <t xml:space="preserve">The head of sales has handed you 5 raw data files - Orders, Customers, Products, Sales Reps, and Targets - and asked</t>
  </si>
  <si>
    <t xml:space="preserve">you to answer a set of business questions before the leadership review tomorrow morning.</t>
  </si>
  <si>
    <t xml:space="preserve">The data is REAL-WORLD messy: duplicates, missing references, inconsistent case, invalid records, discontinued SKUs.</t>
  </si>
  <si>
    <t xml:space="preserve">Part of the assessment is spotting and handling these issues correctly. A wrong-looking answer isn't always wrong -</t>
  </si>
  <si>
    <t xml:space="preserve">sometimes the data itself is telling a story.</t>
  </si>
  <si>
    <t xml:space="preserve">RULES OF THE ASSESSMENT</t>
  </si>
  <si>
    <t xml:space="preserve">1. Write your answer in the YELLOW cells on each question sheet. Empty answer cell = 0 marks.</t>
  </si>
  <si>
    <t xml:space="preserve">2. You may use ANY Excel feature: formulas, PivotTables, PivotCharts, filters, sorting, helper columns.</t>
  </si>
  <si>
    <t xml:space="preserve">3. Formulas preferred over hardcoded values. If a data value changes, your answer should recalculate.</t>
  </si>
  <si>
    <t xml:space="preserve">4. Partial credit is awarded - a right approach with a small error scores more than a blank cell.</t>
  </si>
  <si>
    <t xml:space="preserve">5. Do not modify the DATA sheets. If cleaning is needed, use helper columns or a scratch area.</t>
  </si>
  <si>
    <t xml:space="preserve">6. Time management matters - attempt every section, perfect none if needed.</t>
  </si>
  <si>
    <t xml:space="preserve">MARKS DISTRIBUTION</t>
  </si>
  <si>
    <t xml:space="preserve">Section</t>
  </si>
  <si>
    <t xml:space="preserve">Topic</t>
  </si>
  <si>
    <t xml:space="preserve">Questions</t>
  </si>
  <si>
    <t xml:space="preserve">Marks</t>
  </si>
  <si>
    <t xml:space="preserve">Q1</t>
  </si>
  <si>
    <t xml:space="preserve">Lookup Functions (VLOOKUP, INDEX-MATCH, chained lookups)</t>
  </si>
  <si>
    <t xml:space="preserve">8</t>
  </si>
  <si>
    <t xml:space="preserve">25</t>
  </si>
  <si>
    <t xml:space="preserve">Q2</t>
  </si>
  <si>
    <t xml:space="preserve">Data Cleaning &amp; Quality Diagnostics</t>
  </si>
  <si>
    <t xml:space="preserve">6</t>
  </si>
  <si>
    <t xml:space="preserve">20</t>
  </si>
  <si>
    <t xml:space="preserve">Q3</t>
  </si>
  <si>
    <t xml:space="preserve">Conditional Aggregation (SUMIFS, COUNTIFS, IF logic)</t>
  </si>
  <si>
    <t xml:space="preserve">Q4</t>
  </si>
  <si>
    <t xml:space="preserve">Pivot Tables (2D pivots, % of total, calculated fields)</t>
  </si>
  <si>
    <t xml:space="preserve">5</t>
  </si>
  <si>
    <t xml:space="preserve">Q5</t>
  </si>
  <si>
    <t xml:space="preserve">Advanced (Ranking, Running Totals, Multi-condition)</t>
  </si>
  <si>
    <t xml:space="preserve">10</t>
  </si>
  <si>
    <t xml:space="preserve">TOTAL</t>
  </si>
  <si>
    <t xml:space="preserve">30</t>
  </si>
  <si>
    <t xml:space="preserve">100</t>
  </si>
  <si>
    <t xml:space="preserve">PERFORMANCE TIERS</t>
  </si>
  <si>
    <t xml:space="preserve">Tier</t>
  </si>
  <si>
    <t xml:space="preserve">Interview Verdict</t>
  </si>
  <si>
    <t xml:space="preserve">85 - 100</t>
  </si>
  <si>
    <t xml:space="preserve">Excellent</t>
  </si>
  <si>
    <t xml:space="preserve">Round 1 clear - Excel not a concern</t>
  </si>
  <si>
    <t xml:space="preserve">70 - 84</t>
  </si>
  <si>
    <t xml:space="preserve">Good</t>
  </si>
  <si>
    <t xml:space="preserve">Round 1 clear with minor gaps</t>
  </si>
  <si>
    <t xml:space="preserve">55 - 69</t>
  </si>
  <si>
    <t xml:space="preserve">Borderline</t>
  </si>
  <si>
    <t xml:space="preserve">Round 1 uncertain - needs revision</t>
  </si>
  <si>
    <t xml:space="preserve">40 - 54</t>
  </si>
  <si>
    <t xml:space="preserve">Weak</t>
  </si>
  <si>
    <t xml:space="preserve">Round 1 likely reject - 2 weeks of practice needed</t>
  </si>
  <si>
    <t xml:space="preserve">&lt; 40</t>
  </si>
  <si>
    <t xml:space="preserve">Insufficient</t>
  </si>
  <si>
    <t xml:space="preserve">Round 1 reject - foundational gaps</t>
  </si>
  <si>
    <t xml:space="preserve">DATA SHEETS OVERVIEW</t>
  </si>
  <si>
    <t xml:space="preserve">Sheet</t>
  </si>
  <si>
    <t xml:space="preserve">Rows</t>
  </si>
  <si>
    <t xml:space="preserve">Key Columns</t>
  </si>
  <si>
    <t xml:space="preserve">Joins to</t>
  </si>
  <si>
    <t xml:space="preserve">Orders</t>
  </si>
  <si>
    <t xml:space="preserve">~2000</t>
  </si>
  <si>
    <t xml:space="preserve">order_id, order_date, customer_id, product_id, sales_rep_id, quantity, unit_price, discount_pct, final_amount, payment_status, ship_city</t>
  </si>
  <si>
    <t xml:space="preserve">All others</t>
  </si>
  <si>
    <t xml:space="preserve">Customers</t>
  </si>
  <si>
    <t xml:space="preserve">300</t>
  </si>
  <si>
    <t xml:space="preserve">customer_id (PK), customer_name, age, city, segment, signup_date</t>
  </si>
  <si>
    <t xml:space="preserve">Orders via customer_id</t>
  </si>
  <si>
    <t xml:space="preserve">Products</t>
  </si>
  <si>
    <t xml:space="preserve">60</t>
  </si>
  <si>
    <t xml:space="preserve">product_id (PK), product_name, category, unit_cost, unit_price, is_active</t>
  </si>
  <si>
    <t xml:space="preserve">Orders via product_id</t>
  </si>
  <si>
    <t xml:space="preserve">Sales_Reps</t>
  </si>
  <si>
    <t xml:space="preserve">rep_id (PK), rep_name, region, hire_date, team_lead_id</t>
  </si>
  <si>
    <t xml:space="preserve">Orders via sales_rep_id, self-join via team_lead_id</t>
  </si>
  <si>
    <t xml:space="preserve">Targets</t>
  </si>
  <si>
    <t xml:space="preserve">30 × 12</t>
  </si>
  <si>
    <t xml:space="preserve">rep_id (PK), Jan-24 through Dec-24 monthly target values</t>
  </si>
  <si>
    <t xml:space="preserve">Sales_Reps via rep_id</t>
  </si>
  <si>
    <t xml:space="preserve">order_id</t>
  </si>
  <si>
    <t xml:space="preserve">order_date</t>
  </si>
  <si>
    <t xml:space="preserve">customer_id</t>
  </si>
  <si>
    <t xml:space="preserve">product_id</t>
  </si>
  <si>
    <t xml:space="preserve">sales_rep_id</t>
  </si>
  <si>
    <t xml:space="preserve">quantity</t>
  </si>
  <si>
    <t xml:space="preserve">unit_price</t>
  </si>
  <si>
    <t xml:space="preserve">discount_pct</t>
  </si>
  <si>
    <t xml:space="preserve">final_amount</t>
  </si>
  <si>
    <t xml:space="preserve">payment_status</t>
  </si>
  <si>
    <t xml:space="preserve">ship_city</t>
  </si>
  <si>
    <t xml:space="preserve">ORD-00001</t>
  </si>
  <si>
    <t xml:space="preserve">CUST-0243</t>
  </si>
  <si>
    <t xml:space="preserve">PROD-014</t>
  </si>
  <si>
    <t xml:space="preserve">R007</t>
  </si>
  <si>
    <t xml:space="preserve">Completed</t>
  </si>
  <si>
    <t xml:space="preserve">Pune</t>
  </si>
  <si>
    <t xml:space="preserve">ORD-00002</t>
  </si>
  <si>
    <t xml:space="preserve">CUST-0202</t>
  </si>
  <si>
    <t xml:space="preserve">PROD-020</t>
  </si>
  <si>
    <t xml:space="preserve">R005</t>
  </si>
  <si>
    <t xml:space="preserve">Pending</t>
  </si>
  <si>
    <t xml:space="preserve">Chennai</t>
  </si>
  <si>
    <t xml:space="preserve">ORD-00003</t>
  </si>
  <si>
    <t xml:space="preserve">CUST-0098</t>
  </si>
  <si>
    <t xml:space="preserve">PROD-053</t>
  </si>
  <si>
    <t xml:space="preserve">R014</t>
  </si>
  <si>
    <t xml:space="preserve">Delhi</t>
  </si>
  <si>
    <t xml:space="preserve">ORD-00004</t>
  </si>
  <si>
    <t xml:space="preserve">CUST-0071</t>
  </si>
  <si>
    <t xml:space="preserve">PROD-028</t>
  </si>
  <si>
    <t xml:space="preserve">R006</t>
  </si>
  <si>
    <t xml:space="preserve">ORD-00005</t>
  </si>
  <si>
    <t xml:space="preserve">CUST-0180</t>
  </si>
  <si>
    <t xml:space="preserve">PROD-012</t>
  </si>
  <si>
    <t xml:space="preserve">R008</t>
  </si>
  <si>
    <t xml:space="preserve">ORD-00006</t>
  </si>
  <si>
    <t xml:space="preserve">CUST-0275</t>
  </si>
  <si>
    <t xml:space="preserve">PROD-032</t>
  </si>
  <si>
    <t xml:space="preserve">R025</t>
  </si>
  <si>
    <t xml:space="preserve">Mumbai</t>
  </si>
  <si>
    <t xml:space="preserve">ORD-00007</t>
  </si>
  <si>
    <t xml:space="preserve">CUST-0293</t>
  </si>
  <si>
    <t xml:space="preserve">PROD-057</t>
  </si>
  <si>
    <t xml:space="preserve">R024</t>
  </si>
  <si>
    <t xml:space="preserve">Bengaluru</t>
  </si>
  <si>
    <t xml:space="preserve">ORD-00008</t>
  </si>
  <si>
    <t xml:space="preserve">CUST-0281</t>
  </si>
  <si>
    <t xml:space="preserve">PROD-007</t>
  </si>
  <si>
    <t xml:space="preserve">R019</t>
  </si>
  <si>
    <t xml:space="preserve">ORD-00009</t>
  </si>
  <si>
    <t xml:space="preserve">CUST-0260</t>
  </si>
  <si>
    <t xml:space="preserve">PROD-038</t>
  </si>
  <si>
    <t xml:space="preserve">ORD-00010</t>
  </si>
  <si>
    <t xml:space="preserve">CUST-0147</t>
  </si>
  <si>
    <t xml:space="preserve">PROD-030</t>
  </si>
  <si>
    <t xml:space="preserve">R028</t>
  </si>
  <si>
    <t xml:space="preserve">ORD-00011</t>
  </si>
  <si>
    <t xml:space="preserve">CUST-0204</t>
  </si>
  <si>
    <t xml:space="preserve">PROD-024</t>
  </si>
  <si>
    <t xml:space="preserve">R010</t>
  </si>
  <si>
    <t xml:space="preserve">Hyderabad</t>
  </si>
  <si>
    <t xml:space="preserve">ORD-00012</t>
  </si>
  <si>
    <t xml:space="preserve">PROD-010</t>
  </si>
  <si>
    <t xml:space="preserve">ORD-00013</t>
  </si>
  <si>
    <t xml:space="preserve">CUST-0280</t>
  </si>
  <si>
    <t xml:space="preserve">PROD-002</t>
  </si>
  <si>
    <t xml:space="preserve">R004</t>
  </si>
  <si>
    <t xml:space="preserve">Cancelled</t>
  </si>
  <si>
    <t xml:space="preserve">ORD-00014</t>
  </si>
  <si>
    <t xml:space="preserve">CUST-0008</t>
  </si>
  <si>
    <t xml:space="preserve">PROD-036</t>
  </si>
  <si>
    <t xml:space="preserve">Refunded</t>
  </si>
  <si>
    <t xml:space="preserve">ORD-00015</t>
  </si>
  <si>
    <t xml:space="preserve">CUST-0052</t>
  </si>
  <si>
    <t xml:space="preserve">PROD-060</t>
  </si>
  <si>
    <t xml:space="preserve">R003</t>
  </si>
  <si>
    <t xml:space="preserve">ORD-00016</t>
  </si>
  <si>
    <t xml:space="preserve">CUST-0184</t>
  </si>
  <si>
    <t xml:space="preserve">PROD-058</t>
  </si>
  <si>
    <t xml:space="preserve">ORD-00017</t>
  </si>
  <si>
    <t xml:space="preserve">CUST-0056</t>
  </si>
  <si>
    <t xml:space="preserve">R023</t>
  </si>
  <si>
    <t xml:space="preserve">ORD-00018</t>
  </si>
  <si>
    <t xml:space="preserve">CUST-0273</t>
  </si>
  <si>
    <t xml:space="preserve">PROD-047</t>
  </si>
  <si>
    <t xml:space="preserve">R021</t>
  </si>
  <si>
    <t xml:space="preserve">ORD-00019</t>
  </si>
  <si>
    <t xml:space="preserve">CUST-0182</t>
  </si>
  <si>
    <t xml:space="preserve">PROD-051</t>
  </si>
  <si>
    <t xml:space="preserve">ORD-00020</t>
  </si>
  <si>
    <t xml:space="preserve">CUST-0265</t>
  </si>
  <si>
    <t xml:space="preserve">PROD-040</t>
  </si>
  <si>
    <t xml:space="preserve">ORD-00021</t>
  </si>
  <si>
    <t xml:space="preserve">CUST-0159</t>
  </si>
  <si>
    <t xml:space="preserve">PROD-019</t>
  </si>
  <si>
    <t xml:space="preserve">ORD-00022</t>
  </si>
  <si>
    <t xml:space="preserve">CUST-0259</t>
  </si>
  <si>
    <t xml:space="preserve">R030</t>
  </si>
  <si>
    <t xml:space="preserve">ORD-00023</t>
  </si>
  <si>
    <t xml:space="preserve">CUST-0107</t>
  </si>
  <si>
    <t xml:space="preserve">PROD-015</t>
  </si>
  <si>
    <t xml:space="preserve">ORD-00024</t>
  </si>
  <si>
    <t xml:space="preserve">CUST-0101</t>
  </si>
  <si>
    <t xml:space="preserve">PROD-044</t>
  </si>
  <si>
    <t xml:space="preserve">ORD-00025</t>
  </si>
  <si>
    <t xml:space="preserve">CUST-0142</t>
  </si>
  <si>
    <t xml:space="preserve">PROD-043</t>
  </si>
  <si>
    <t xml:space="preserve">ORD-00026</t>
  </si>
  <si>
    <t xml:space="preserve">CUST-0250</t>
  </si>
  <si>
    <t xml:space="preserve">PROD-054</t>
  </si>
  <si>
    <t xml:space="preserve">ORD-00027</t>
  </si>
  <si>
    <t xml:space="preserve">PROD-046</t>
  </si>
  <si>
    <t xml:space="preserve">ORD-00028</t>
  </si>
  <si>
    <t xml:space="preserve">CUST-0143</t>
  </si>
  <si>
    <t xml:space="preserve">PROD-003</t>
  </si>
  <si>
    <t xml:space="preserve">R015</t>
  </si>
  <si>
    <t xml:space="preserve">ORD-00029</t>
  </si>
  <si>
    <t xml:space="preserve">CUST-0086</t>
  </si>
  <si>
    <t xml:space="preserve">PROD-048</t>
  </si>
  <si>
    <t xml:space="preserve">R020</t>
  </si>
  <si>
    <t xml:space="preserve">ORD-00030</t>
  </si>
  <si>
    <t xml:space="preserve">CUST-0006</t>
  </si>
  <si>
    <t xml:space="preserve">PROD-055</t>
  </si>
  <si>
    <t xml:space="preserve">ORD-00031</t>
  </si>
  <si>
    <t xml:space="preserve">CUST-0241</t>
  </si>
  <si>
    <t xml:space="preserve">ORD-00032</t>
  </si>
  <si>
    <t xml:space="preserve">CUST-0035</t>
  </si>
  <si>
    <t xml:space="preserve">PROD-021</t>
  </si>
  <si>
    <t xml:space="preserve">R026</t>
  </si>
  <si>
    <t xml:space="preserve">ORD-00033</t>
  </si>
  <si>
    <t xml:space="preserve">PROD-037</t>
  </si>
  <si>
    <t xml:space="preserve">R009</t>
  </si>
  <si>
    <t xml:space="preserve">ORD-00034</t>
  </si>
  <si>
    <t xml:space="preserve">CUST-0064</t>
  </si>
  <si>
    <t xml:space="preserve">ORD-00035</t>
  </si>
  <si>
    <t xml:space="preserve">CUST-0118</t>
  </si>
  <si>
    <t xml:space="preserve">ORD-00036</t>
  </si>
  <si>
    <t xml:space="preserve">CUST-0013</t>
  </si>
  <si>
    <t xml:space="preserve">ORD-00037</t>
  </si>
  <si>
    <t xml:space="preserve">CUST-0177</t>
  </si>
  <si>
    <t xml:space="preserve">ORD-00038</t>
  </si>
  <si>
    <t xml:space="preserve">CUST-0186</t>
  </si>
  <si>
    <t xml:space="preserve">R001</t>
  </si>
  <si>
    <t xml:space="preserve">ORD-00039</t>
  </si>
  <si>
    <t xml:space="preserve">CUST-0069</t>
  </si>
  <si>
    <t xml:space="preserve">ORD-00040</t>
  </si>
  <si>
    <t xml:space="preserve">CUST-0283</t>
  </si>
  <si>
    <t xml:space="preserve">ORD-00041</t>
  </si>
  <si>
    <t xml:space="preserve">CUST-9507</t>
  </si>
  <si>
    <t xml:space="preserve">ORD-00042</t>
  </si>
  <si>
    <t xml:space="preserve">CUST-0053</t>
  </si>
  <si>
    <t xml:space="preserve">ORD-00043</t>
  </si>
  <si>
    <t xml:space="preserve">CUST-0222</t>
  </si>
  <si>
    <t xml:space="preserve">PROD-031</t>
  </si>
  <si>
    <t xml:space="preserve">ORD-00044</t>
  </si>
  <si>
    <t xml:space="preserve">CUST-0095</t>
  </si>
  <si>
    <t xml:space="preserve">R029</t>
  </si>
  <si>
    <t xml:space="preserve">ORD-00045</t>
  </si>
  <si>
    <t xml:space="preserve">CUST-0152</t>
  </si>
  <si>
    <t xml:space="preserve">ORD-00046</t>
  </si>
  <si>
    <t xml:space="preserve">CUST-0291</t>
  </si>
  <si>
    <t xml:space="preserve">PROD-027</t>
  </si>
  <si>
    <t xml:space="preserve">ORD-00047</t>
  </si>
  <si>
    <t xml:space="preserve">CUST-0112</t>
  </si>
  <si>
    <t xml:space="preserve">PROD-013</t>
  </si>
  <si>
    <t xml:space="preserve">R017</t>
  </si>
  <si>
    <t xml:space="preserve">ORD-00048</t>
  </si>
  <si>
    <t xml:space="preserve">CUST-9800</t>
  </si>
  <si>
    <t xml:space="preserve">PROD-050</t>
  </si>
  <si>
    <t xml:space="preserve">ORD-00049</t>
  </si>
  <si>
    <t xml:space="preserve">ORD-00050</t>
  </si>
  <si>
    <t xml:space="preserve">CUST-0226</t>
  </si>
  <si>
    <t xml:space="preserve">PROD-022</t>
  </si>
  <si>
    <t xml:space="preserve">ORD-00051</t>
  </si>
  <si>
    <t xml:space="preserve">CUST-0234</t>
  </si>
  <si>
    <t xml:space="preserve">PROD-004</t>
  </si>
  <si>
    <t xml:space="preserve">ORD-00052</t>
  </si>
  <si>
    <t xml:space="preserve">CUST-0176</t>
  </si>
  <si>
    <t xml:space="preserve">ORD-00053</t>
  </si>
  <si>
    <t xml:space="preserve">R013</t>
  </si>
  <si>
    <t xml:space="preserve">ORD-00054</t>
  </si>
  <si>
    <t xml:space="preserve">CUST-0088</t>
  </si>
  <si>
    <t xml:space="preserve">ORD-00055</t>
  </si>
  <si>
    <t xml:space="preserve">CUST-0267</t>
  </si>
  <si>
    <t xml:space="preserve">ORD-00056</t>
  </si>
  <si>
    <t xml:space="preserve">CUST-0194</t>
  </si>
  <si>
    <t xml:space="preserve">PROD-041</t>
  </si>
  <si>
    <t xml:space="preserve">ORD-00057</t>
  </si>
  <si>
    <t xml:space="preserve">CUST-0261</t>
  </si>
  <si>
    <t xml:space="preserve">ORD-00058</t>
  </si>
  <si>
    <t xml:space="preserve">CUST-0031</t>
  </si>
  <si>
    <t xml:space="preserve">PROD-026</t>
  </si>
  <si>
    <t xml:space="preserve">ORD-00059</t>
  </si>
  <si>
    <t xml:space="preserve">CUST-0175</t>
  </si>
  <si>
    <t xml:space="preserve">PROD-009</t>
  </si>
  <si>
    <t xml:space="preserve">ORD-00060</t>
  </si>
  <si>
    <t xml:space="preserve">CUST-0263</t>
  </si>
  <si>
    <t xml:space="preserve">PROD-039</t>
  </si>
  <si>
    <t xml:space="preserve">ORD-00061</t>
  </si>
  <si>
    <t xml:space="preserve">CUST-0203</t>
  </si>
  <si>
    <t xml:space="preserve">R011</t>
  </si>
  <si>
    <t xml:space="preserve">ORD-00062</t>
  </si>
  <si>
    <t xml:space="preserve">CUST-0258</t>
  </si>
  <si>
    <t xml:space="preserve">PROD-045</t>
  </si>
  <si>
    <t xml:space="preserve">ORD-00063</t>
  </si>
  <si>
    <t xml:space="preserve">CUST-0282</t>
  </si>
  <si>
    <t xml:space="preserve">PROD-008</t>
  </si>
  <si>
    <t xml:space="preserve">ORD-00064</t>
  </si>
  <si>
    <t xml:space="preserve">CUST-0168</t>
  </si>
  <si>
    <t xml:space="preserve">PROD-005</t>
  </si>
  <si>
    <t xml:space="preserve">ORD-00065</t>
  </si>
  <si>
    <t xml:space="preserve">CUST-0040</t>
  </si>
  <si>
    <t xml:space="preserve">R022</t>
  </si>
  <si>
    <t xml:space="preserve">ORD-00066</t>
  </si>
  <si>
    <t xml:space="preserve">ORD-00067</t>
  </si>
  <si>
    <t xml:space="preserve">ORD-00068</t>
  </si>
  <si>
    <t xml:space="preserve">CUST-0161</t>
  </si>
  <si>
    <t xml:space="preserve">ORD-00069</t>
  </si>
  <si>
    <t xml:space="preserve">CUST-0033</t>
  </si>
  <si>
    <t xml:space="preserve">PROD-016</t>
  </si>
  <si>
    <t xml:space="preserve">ORD-00070</t>
  </si>
  <si>
    <t xml:space="preserve">CUST-0191</t>
  </si>
  <si>
    <t xml:space="preserve">PROD-033</t>
  </si>
  <si>
    <t xml:space="preserve">ORD-00071</t>
  </si>
  <si>
    <t xml:space="preserve">R002</t>
  </si>
  <si>
    <t xml:space="preserve">ORD-00072</t>
  </si>
  <si>
    <t xml:space="preserve">CUST-0129</t>
  </si>
  <si>
    <t xml:space="preserve">ORD-00073</t>
  </si>
  <si>
    <t xml:space="preserve">CUST-0189</t>
  </si>
  <si>
    <t xml:space="preserve">ORD-00074</t>
  </si>
  <si>
    <t xml:space="preserve">R018</t>
  </si>
  <si>
    <t xml:space="preserve">ORD-00075</t>
  </si>
  <si>
    <t xml:space="preserve">CUST-0200</t>
  </si>
  <si>
    <t xml:space="preserve">ORD-00076</t>
  </si>
  <si>
    <t xml:space="preserve">ORD-00077</t>
  </si>
  <si>
    <t xml:space="preserve">CUST-0051</t>
  </si>
  <si>
    <t xml:space="preserve">ORD-00078</t>
  </si>
  <si>
    <t xml:space="preserve">CUST-0193</t>
  </si>
  <si>
    <t xml:space="preserve">ORD-00079</t>
  </si>
  <si>
    <t xml:space="preserve">CUST-0020</t>
  </si>
  <si>
    <t xml:space="preserve">ORD-00080</t>
  </si>
  <si>
    <t xml:space="preserve">CUST-0230</t>
  </si>
  <si>
    <t xml:space="preserve">ORD-00081</t>
  </si>
  <si>
    <t xml:space="preserve">CUST-0094</t>
  </si>
  <si>
    <t xml:space="preserve">ORD-00082</t>
  </si>
  <si>
    <t xml:space="preserve">CUST-0248</t>
  </si>
  <si>
    <t xml:space="preserve">ORD-00083</t>
  </si>
  <si>
    <t xml:space="preserve">CUST-0082</t>
  </si>
  <si>
    <t xml:space="preserve">ORD-00084</t>
  </si>
  <si>
    <t xml:space="preserve">CUST-0078</t>
  </si>
  <si>
    <t xml:space="preserve">ORD-00085</t>
  </si>
  <si>
    <t xml:space="preserve">CUST-0032</t>
  </si>
  <si>
    <t xml:space="preserve">R012</t>
  </si>
  <si>
    <t xml:space="preserve">ORD-00086</t>
  </si>
  <si>
    <t xml:space="preserve">ORD-00087</t>
  </si>
  <si>
    <t xml:space="preserve">CUST-0084</t>
  </si>
  <si>
    <t xml:space="preserve">ORD-00088</t>
  </si>
  <si>
    <t xml:space="preserve">ORD-00089</t>
  </si>
  <si>
    <t xml:space="preserve">CUST-0108</t>
  </si>
  <si>
    <t xml:space="preserve">ORD-00090</t>
  </si>
  <si>
    <t xml:space="preserve">CUST-0139</t>
  </si>
  <si>
    <t xml:space="preserve">ORD-00091</t>
  </si>
  <si>
    <t xml:space="preserve">ORD-00092</t>
  </si>
  <si>
    <t xml:space="preserve">CUST-0208</t>
  </si>
  <si>
    <t xml:space="preserve">ORD-00093</t>
  </si>
  <si>
    <t xml:space="preserve">PROD-029</t>
  </si>
  <si>
    <t xml:space="preserve">ORD-00094</t>
  </si>
  <si>
    <t xml:space="preserve">CUST-0042</t>
  </si>
  <si>
    <t xml:space="preserve">ORD-00095</t>
  </si>
  <si>
    <t xml:space="preserve">CUST-0133</t>
  </si>
  <si>
    <t xml:space="preserve">R027</t>
  </si>
  <si>
    <t xml:space="preserve">ORD-00096</t>
  </si>
  <si>
    <t xml:space="preserve">CUST-0219</t>
  </si>
  <si>
    <t xml:space="preserve">R016</t>
  </si>
  <si>
    <t xml:space="preserve">ORD-00097</t>
  </si>
  <si>
    <t xml:space="preserve">ORD-00098</t>
  </si>
  <si>
    <t xml:space="preserve">ORD-00099</t>
  </si>
  <si>
    <t xml:space="preserve">CUST-0170</t>
  </si>
  <si>
    <t xml:space="preserve">PROD-025</t>
  </si>
  <si>
    <t xml:space="preserve">ORD-00100</t>
  </si>
  <si>
    <t xml:space="preserve">CUST-0164</t>
  </si>
  <si>
    <t xml:space="preserve">ORD-00101</t>
  </si>
  <si>
    <t xml:space="preserve">PROD-017</t>
  </si>
  <si>
    <t xml:space="preserve">ORD-00102</t>
  </si>
  <si>
    <t xml:space="preserve">CUST-0181</t>
  </si>
  <si>
    <t xml:space="preserve">ORD-00103</t>
  </si>
  <si>
    <t xml:space="preserve">CUST-0131</t>
  </si>
  <si>
    <t xml:space="preserve">PROD-052</t>
  </si>
  <si>
    <t xml:space="preserve">ORD-00104</t>
  </si>
  <si>
    <t xml:space="preserve">CUST-0255</t>
  </si>
  <si>
    <t xml:space="preserve">ORD-00105</t>
  </si>
  <si>
    <t xml:space="preserve">PROD-001</t>
  </si>
  <si>
    <t xml:space="preserve">ORD-00106</t>
  </si>
  <si>
    <t xml:space="preserve">CUST-0081</t>
  </si>
  <si>
    <t xml:space="preserve">PROD-023</t>
  </si>
  <si>
    <t xml:space="preserve">ORD-00107</t>
  </si>
  <si>
    <t xml:space="preserve">CUST-0102</t>
  </si>
  <si>
    <t xml:space="preserve">ORD-00108</t>
  </si>
  <si>
    <t xml:space="preserve">CUST-0070</t>
  </si>
  <si>
    <t xml:space="preserve">ORD-00109</t>
  </si>
  <si>
    <t xml:space="preserve">CUST-0012</t>
  </si>
  <si>
    <t xml:space="preserve">ORD-00110</t>
  </si>
  <si>
    <t xml:space="preserve">ORD-00111</t>
  </si>
  <si>
    <t xml:space="preserve">CUST-0145</t>
  </si>
  <si>
    <t xml:space="preserve">ORD-00112</t>
  </si>
  <si>
    <t xml:space="preserve">CUST-0287</t>
  </si>
  <si>
    <t xml:space="preserve">ORD-00113</t>
  </si>
  <si>
    <t xml:space="preserve">PROD-049</t>
  </si>
  <si>
    <t xml:space="preserve">ORD-00114</t>
  </si>
  <si>
    <t xml:space="preserve">CUST-0096</t>
  </si>
  <si>
    <t xml:space="preserve">ORD-00115</t>
  </si>
  <si>
    <t xml:space="preserve">ORD-00116</t>
  </si>
  <si>
    <t xml:space="preserve">CUST-0025</t>
  </si>
  <si>
    <t xml:space="preserve">PROD-042</t>
  </si>
  <si>
    <t xml:space="preserve">ORD-00117</t>
  </si>
  <si>
    <t xml:space="preserve">CUST-0149</t>
  </si>
  <si>
    <t xml:space="preserve">ORD-00118</t>
  </si>
  <si>
    <t xml:space="preserve">CUST-0018</t>
  </si>
  <si>
    <t xml:space="preserve">ORD-00119</t>
  </si>
  <si>
    <t xml:space="preserve">CUST-0216</t>
  </si>
  <si>
    <t xml:space="preserve">ORD-00120</t>
  </si>
  <si>
    <t xml:space="preserve">CUST-0092</t>
  </si>
  <si>
    <t xml:space="preserve">ORD-00121</t>
  </si>
  <si>
    <t xml:space="preserve">ORD-00122</t>
  </si>
  <si>
    <t xml:space="preserve">CUST-0113</t>
  </si>
  <si>
    <t xml:space="preserve">ORD-00123</t>
  </si>
  <si>
    <t xml:space="preserve">CUST-0253</t>
  </si>
  <si>
    <t xml:space="preserve">ORD-00124</t>
  </si>
  <si>
    <t xml:space="preserve">CUST-0187</t>
  </si>
  <si>
    <t xml:space="preserve">ORD-00125</t>
  </si>
  <si>
    <t xml:space="preserve">CUST-0028</t>
  </si>
  <si>
    <t xml:space="preserve">ORD-00126</t>
  </si>
  <si>
    <t xml:space="preserve">CUST-0224</t>
  </si>
  <si>
    <t xml:space="preserve">ORD-00127</t>
  </si>
  <si>
    <t xml:space="preserve">CUST-0150</t>
  </si>
  <si>
    <t xml:space="preserve">PROD-006</t>
  </si>
  <si>
    <t xml:space="preserve">ORD-00128</t>
  </si>
  <si>
    <t xml:space="preserve">ORD-00129</t>
  </si>
  <si>
    <t xml:space="preserve">CUST-0239</t>
  </si>
  <si>
    <t xml:space="preserve">ORD-00130</t>
  </si>
  <si>
    <t xml:space="preserve">CUST-0106</t>
  </si>
  <si>
    <t xml:space="preserve">ORD-00131</t>
  </si>
  <si>
    <t xml:space="preserve">ORD-00132</t>
  </si>
  <si>
    <t xml:space="preserve">CUST-0114</t>
  </si>
  <si>
    <t xml:space="preserve">ORD-00133</t>
  </si>
  <si>
    <t xml:space="preserve">CUST-0146</t>
  </si>
  <si>
    <t xml:space="preserve">ORD-00134</t>
  </si>
  <si>
    <t xml:space="preserve">CUST-0298</t>
  </si>
  <si>
    <t xml:space="preserve">ORD-00135</t>
  </si>
  <si>
    <t xml:space="preserve">CUST-0111</t>
  </si>
  <si>
    <t xml:space="preserve">ORD-01445</t>
  </si>
  <si>
    <t xml:space="preserve">ORD-00137</t>
  </si>
  <si>
    <t xml:space="preserve">CUST-0024</t>
  </si>
  <si>
    <t xml:space="preserve">ORD-00138</t>
  </si>
  <si>
    <t xml:space="preserve">CUST-0210</t>
  </si>
  <si>
    <t xml:space="preserve">ORD-00139</t>
  </si>
  <si>
    <t xml:space="preserve">CUST-0192</t>
  </si>
  <si>
    <t xml:space="preserve">ORD-00140</t>
  </si>
  <si>
    <t xml:space="preserve">ORD-00141</t>
  </si>
  <si>
    <t xml:space="preserve">ORD-00142</t>
  </si>
  <si>
    <t xml:space="preserve">ORD-00143</t>
  </si>
  <si>
    <t xml:space="preserve">CUST-0294</t>
  </si>
  <si>
    <t xml:space="preserve">ORD-00144</t>
  </si>
  <si>
    <t xml:space="preserve">ORD-00145</t>
  </si>
  <si>
    <t xml:space="preserve">ORD-00146</t>
  </si>
  <si>
    <t xml:space="preserve">CUST-9657</t>
  </si>
  <si>
    <t xml:space="preserve">ORD-00147</t>
  </si>
  <si>
    <t xml:space="preserve">CUST-0080</t>
  </si>
  <si>
    <t xml:space="preserve">ORD-00148</t>
  </si>
  <si>
    <t xml:space="preserve">CUST-0172</t>
  </si>
  <si>
    <t xml:space="preserve">PROD-034</t>
  </si>
  <si>
    <t xml:space="preserve">ORD-00149</t>
  </si>
  <si>
    <t xml:space="preserve">ORD-00150</t>
  </si>
  <si>
    <t xml:space="preserve">ORD-00151</t>
  </si>
  <si>
    <t xml:space="preserve">CUST-0137</t>
  </si>
  <si>
    <t xml:space="preserve">MUMBAI</t>
  </si>
  <si>
    <t xml:space="preserve">ORD-00152</t>
  </si>
  <si>
    <t xml:space="preserve">ORD-00153</t>
  </si>
  <si>
    <t xml:space="preserve">CUST-0117</t>
  </si>
  <si>
    <t xml:space="preserve">PROD-011</t>
  </si>
  <si>
    <t xml:space="preserve">ORD-00154</t>
  </si>
  <si>
    <t xml:space="preserve">CUST-0104</t>
  </si>
  <si>
    <t xml:space="preserve">ORD-00155</t>
  </si>
  <si>
    <t xml:space="preserve">ORD-00156</t>
  </si>
  <si>
    <t xml:space="preserve">CUST-0165</t>
  </si>
  <si>
    <t xml:space="preserve">ORD-00157</t>
  </si>
  <si>
    <t xml:space="preserve">ORD-00158</t>
  </si>
  <si>
    <t xml:space="preserve">CUST-0228</t>
  </si>
  <si>
    <t xml:space="preserve">PROD-059</t>
  </si>
  <si>
    <t xml:space="preserve">ORD-00159</t>
  </si>
  <si>
    <t xml:space="preserve">CUST-0197</t>
  </si>
  <si>
    <t xml:space="preserve">ORD-00160</t>
  </si>
  <si>
    <t xml:space="preserve">CUST-0009</t>
  </si>
  <si>
    <t xml:space="preserve">ORD-00161</t>
  </si>
  <si>
    <t xml:space="preserve">ORD-00162</t>
  </si>
  <si>
    <t xml:space="preserve">ORD-00163</t>
  </si>
  <si>
    <t xml:space="preserve">CUST-0119</t>
  </si>
  <si>
    <t xml:space="preserve">ORD-00164</t>
  </si>
  <si>
    <t xml:space="preserve">ORD-00165</t>
  </si>
  <si>
    <t xml:space="preserve">CUST-0240</t>
  </si>
  <si>
    <t xml:space="preserve">ORD-00166</t>
  </si>
  <si>
    <t xml:space="preserve">CUST-0067</t>
  </si>
  <si>
    <t xml:space="preserve">ORD-00167</t>
  </si>
  <si>
    <t xml:space="preserve">ORD-00168</t>
  </si>
  <si>
    <t xml:space="preserve">ORD-00169</t>
  </si>
  <si>
    <t xml:space="preserve">ORD-00170</t>
  </si>
  <si>
    <t xml:space="preserve">CUST-0087</t>
  </si>
  <si>
    <t xml:space="preserve">ORD-00171</t>
  </si>
  <si>
    <t xml:space="preserve">ORD-00172</t>
  </si>
  <si>
    <t xml:space="preserve">CUST-0027</t>
  </si>
  <si>
    <t xml:space="preserve">ORD-00173</t>
  </si>
  <si>
    <t xml:space="preserve">ORD-00174</t>
  </si>
  <si>
    <t xml:space="preserve">CUST-0163</t>
  </si>
  <si>
    <t xml:space="preserve">ORD-00175</t>
  </si>
  <si>
    <t xml:space="preserve">CUST-0059</t>
  </si>
  <si>
    <t xml:space="preserve">ORD-00176</t>
  </si>
  <si>
    <t xml:space="preserve">ORD-00177</t>
  </si>
  <si>
    <t xml:space="preserve">CUST-0048</t>
  </si>
  <si>
    <t xml:space="preserve">ORD-00178</t>
  </si>
  <si>
    <t xml:space="preserve">ORD-00179</t>
  </si>
  <si>
    <t xml:space="preserve">CUST-0124</t>
  </si>
  <si>
    <t xml:space="preserve">ORD-00180</t>
  </si>
  <si>
    <t xml:space="preserve">ORD-00181</t>
  </si>
  <si>
    <t xml:space="preserve">ORD-00182</t>
  </si>
  <si>
    <t xml:space="preserve">ORD-00183</t>
  </si>
  <si>
    <t xml:space="preserve">ORD-00184</t>
  </si>
  <si>
    <t xml:space="preserve">ORD-00185</t>
  </si>
  <si>
    <t xml:space="preserve">ORD-00186</t>
  </si>
  <si>
    <t xml:space="preserve">CUST-0284</t>
  </si>
  <si>
    <t xml:space="preserve">PROD-035</t>
  </si>
  <si>
    <t xml:space="preserve">ORD-00187</t>
  </si>
  <si>
    <t xml:space="preserve">CUST-0274</t>
  </si>
  <si>
    <t xml:space="preserve">ORD-00188</t>
  </si>
  <si>
    <t xml:space="preserve">ORD-00189</t>
  </si>
  <si>
    <t xml:space="preserve">CUST-0264</t>
  </si>
  <si>
    <t xml:space="preserve">ORD-00190</t>
  </si>
  <si>
    <t xml:space="preserve">ORD-00191</t>
  </si>
  <si>
    <t xml:space="preserve">CUST-0041</t>
  </si>
  <si>
    <t xml:space="preserve">ORD-00192</t>
  </si>
  <si>
    <t xml:space="preserve">CUST-0043</t>
  </si>
  <si>
    <t xml:space="preserve">ORD-00193</t>
  </si>
  <si>
    <t xml:space="preserve">ORD-00194</t>
  </si>
  <si>
    <t xml:space="preserve">PROD-056</t>
  </si>
  <si>
    <t xml:space="preserve">ORD-00195</t>
  </si>
  <si>
    <t xml:space="preserve">ORD-00196</t>
  </si>
  <si>
    <t xml:space="preserve">CUST-0047</t>
  </si>
  <si>
    <t xml:space="preserve">ORD-00197</t>
  </si>
  <si>
    <t xml:space="preserve">CUST-0162</t>
  </si>
  <si>
    <t xml:space="preserve">ORD-00198</t>
  </si>
  <si>
    <t xml:space="preserve">CUST-0121</t>
  </si>
  <si>
    <t xml:space="preserve">ORD-00199</t>
  </si>
  <si>
    <t xml:space="preserve">CUST-0075</t>
  </si>
  <si>
    <t xml:space="preserve">ORD-00200</t>
  </si>
  <si>
    <t xml:space="preserve">ORD-00201</t>
  </si>
  <si>
    <t xml:space="preserve">ORD-00202</t>
  </si>
  <si>
    <t xml:space="preserve">CUST-0251</t>
  </si>
  <si>
    <t xml:space="preserve">ORD-00203</t>
  </si>
  <si>
    <t xml:space="preserve">CUST-0125</t>
  </si>
  <si>
    <t xml:space="preserve">ORD-00204</t>
  </si>
  <si>
    <t xml:space="preserve">ORD-00205</t>
  </si>
  <si>
    <t xml:space="preserve">CUST-0068</t>
  </si>
  <si>
    <t xml:space="preserve">ORD-00206</t>
  </si>
  <si>
    <t xml:space="preserve">ORD-00207</t>
  </si>
  <si>
    <t xml:space="preserve">ORD-00208</t>
  </si>
  <si>
    <t xml:space="preserve">CUST-0077</t>
  </si>
  <si>
    <t xml:space="preserve">ORD-00209</t>
  </si>
  <si>
    <t xml:space="preserve">CUST-0232</t>
  </si>
  <si>
    <t xml:space="preserve">ORD-00210</t>
  </si>
  <si>
    <t xml:space="preserve">CUST-0277</t>
  </si>
  <si>
    <t xml:space="preserve">ORD-00211</t>
  </si>
  <si>
    <t xml:space="preserve">ORD-00212</t>
  </si>
  <si>
    <t xml:space="preserve">CUST-0178</t>
  </si>
  <si>
    <t xml:space="preserve">ORD-00213</t>
  </si>
  <si>
    <t xml:space="preserve">CUST-0246</t>
  </si>
  <si>
    <t xml:space="preserve">ORD-00214</t>
  </si>
  <si>
    <t xml:space="preserve">ORD-00215</t>
  </si>
  <si>
    <t xml:space="preserve">ORD-00216</t>
  </si>
  <si>
    <t xml:space="preserve">ORD-00217</t>
  </si>
  <si>
    <t xml:space="preserve">CUST-0079</t>
  </si>
  <si>
    <t xml:space="preserve">ORD-00218</t>
  </si>
  <si>
    <t xml:space="preserve">CUST-0173</t>
  </si>
  <si>
    <t xml:space="preserve">ORD-00219</t>
  </si>
  <si>
    <t xml:space="preserve">CUST-0050</t>
  </si>
  <si>
    <t xml:space="preserve">ORD-00220</t>
  </si>
  <si>
    <t xml:space="preserve">CUST-0097</t>
  </si>
  <si>
    <t xml:space="preserve">ORD-00221</t>
  </si>
  <si>
    <t xml:space="preserve">CUST-0026</t>
  </si>
  <si>
    <t xml:space="preserve">ORD-00222</t>
  </si>
  <si>
    <t xml:space="preserve">CUST-0185</t>
  </si>
  <si>
    <t xml:space="preserve">ORD-00223</t>
  </si>
  <si>
    <t xml:space="preserve">CUST-0135</t>
  </si>
  <si>
    <t xml:space="preserve">ORD-00224</t>
  </si>
  <si>
    <t xml:space="preserve">CUST-0010</t>
  </si>
  <si>
    <t xml:space="preserve">ORD-00225</t>
  </si>
  <si>
    <t xml:space="preserve">CUST-0271</t>
  </si>
  <si>
    <t xml:space="preserve">ORD-00226</t>
  </si>
  <si>
    <t xml:space="preserve">ORD-00227</t>
  </si>
  <si>
    <t xml:space="preserve">CUST-0296</t>
  </si>
  <si>
    <t xml:space="preserve">ORD-00228</t>
  </si>
  <si>
    <t xml:space="preserve">ORD-00229</t>
  </si>
  <si>
    <t xml:space="preserve">ORD-00230</t>
  </si>
  <si>
    <t xml:space="preserve">ORD-00231</t>
  </si>
  <si>
    <t xml:space="preserve">ORD-00232</t>
  </si>
  <si>
    <t xml:space="preserve">ORD-00233</t>
  </si>
  <si>
    <t xml:space="preserve">ORD-00234</t>
  </si>
  <si>
    <t xml:space="preserve">ORD-00235</t>
  </si>
  <si>
    <t xml:space="preserve">ORD-00236</t>
  </si>
  <si>
    <t xml:space="preserve">CUST-0073</t>
  </si>
  <si>
    <t xml:space="preserve">ORD-00237</t>
  </si>
  <si>
    <t xml:space="preserve">CUST-0242</t>
  </si>
  <si>
    <t xml:space="preserve">ORD-00238</t>
  </si>
  <si>
    <t xml:space="preserve">ORD-00239</t>
  </si>
  <si>
    <t xml:space="preserve">CUST-0085</t>
  </si>
  <si>
    <t xml:space="preserve">ORD-00240</t>
  </si>
  <si>
    <t xml:space="preserve">ORD-00241</t>
  </si>
  <si>
    <t xml:space="preserve">ORD-00242</t>
  </si>
  <si>
    <t xml:space="preserve">CUST-0171</t>
  </si>
  <si>
    <t xml:space="preserve">ORD-00243</t>
  </si>
  <si>
    <t xml:space="preserve">ORD-00244</t>
  </si>
  <si>
    <t xml:space="preserve">CUST-0285</t>
  </si>
  <si>
    <t xml:space="preserve">ORD-00245</t>
  </si>
  <si>
    <t xml:space="preserve">ORD-00246</t>
  </si>
  <si>
    <t xml:space="preserve">CUST-0295</t>
  </si>
  <si>
    <t xml:space="preserve">ORD-00247</t>
  </si>
  <si>
    <t xml:space="preserve">CUST-0218</t>
  </si>
  <si>
    <t xml:space="preserve">ORD-00248</t>
  </si>
  <si>
    <t xml:space="preserve">CUST-0090</t>
  </si>
  <si>
    <t xml:space="preserve">ORD-00249</t>
  </si>
  <si>
    <t xml:space="preserve">ORD-00250</t>
  </si>
  <si>
    <t xml:space="preserve">CUST-0231</t>
  </si>
  <si>
    <t xml:space="preserve">ORD-00251</t>
  </si>
  <si>
    <t xml:space="preserve">CUST-0055</t>
  </si>
  <si>
    <t xml:space="preserve">ORD-00252</t>
  </si>
  <si>
    <t xml:space="preserve">CUST-0262</t>
  </si>
  <si>
    <t xml:space="preserve">ORD-00253</t>
  </si>
  <si>
    <t xml:space="preserve">CUST-0155</t>
  </si>
  <si>
    <t xml:space="preserve">ORD-00254</t>
  </si>
  <si>
    <t xml:space="preserve">CUST-0169</t>
  </si>
  <si>
    <t xml:space="preserve">ORD-00255</t>
  </si>
  <si>
    <t xml:space="preserve">ORD-00256</t>
  </si>
  <si>
    <t xml:space="preserve">CUST-0249</t>
  </si>
  <si>
    <t xml:space="preserve">ORD-00257</t>
  </si>
  <si>
    <t xml:space="preserve">CUST-0151</t>
  </si>
  <si>
    <t xml:space="preserve">ORD-00258</t>
  </si>
  <si>
    <t xml:space="preserve">CUST-0115</t>
  </si>
  <si>
    <t xml:space="preserve">ORD-00259</t>
  </si>
  <si>
    <t xml:space="preserve">ORD-00260</t>
  </si>
  <si>
    <t xml:space="preserve">ORD-00261</t>
  </si>
  <si>
    <t xml:space="preserve">CUST-0198</t>
  </si>
  <si>
    <t xml:space="preserve">ORD-00262</t>
  </si>
  <si>
    <t xml:space="preserve">ORD-00263</t>
  </si>
  <si>
    <t xml:space="preserve">CUST-0110</t>
  </si>
  <si>
    <t xml:space="preserve">ORD-00264</t>
  </si>
  <si>
    <t xml:space="preserve">CUST-0134</t>
  </si>
  <si>
    <t xml:space="preserve">ORD-00265</t>
  </si>
  <si>
    <t xml:space="preserve">CUST-0141</t>
  </si>
  <si>
    <t xml:space="preserve">ORD-00266</t>
  </si>
  <si>
    <t xml:space="preserve">ORD-00267</t>
  </si>
  <si>
    <t xml:space="preserve">ORD-00268</t>
  </si>
  <si>
    <t xml:space="preserve">ORD-00269</t>
  </si>
  <si>
    <t xml:space="preserve">ORD-00270</t>
  </si>
  <si>
    <t xml:space="preserve">ORD-00271</t>
  </si>
  <si>
    <t xml:space="preserve">CUST-0238</t>
  </si>
  <si>
    <t xml:space="preserve">ORD-00272</t>
  </si>
  <si>
    <t xml:space="preserve">ORD-00273</t>
  </si>
  <si>
    <t xml:space="preserve">CUST-0167</t>
  </si>
  <si>
    <t xml:space="preserve">ORD-00274</t>
  </si>
  <si>
    <t xml:space="preserve">ORD-00275</t>
  </si>
  <si>
    <t xml:space="preserve">ORD-00276</t>
  </si>
  <si>
    <t xml:space="preserve">ORD-00277</t>
  </si>
  <si>
    <t xml:space="preserve">CUST-0183</t>
  </si>
  <si>
    <t xml:space="preserve">ORD-00278</t>
  </si>
  <si>
    <t xml:space="preserve">ORD-00279</t>
  </si>
  <si>
    <t xml:space="preserve">ORD-00280</t>
  </si>
  <si>
    <t xml:space="preserve">ORD-00281</t>
  </si>
  <si>
    <t xml:space="preserve">ORD-00282</t>
  </si>
  <si>
    <t xml:space="preserve">ORD-00283</t>
  </si>
  <si>
    <t xml:space="preserve">ORD-00284</t>
  </si>
  <si>
    <t xml:space="preserve">CUST-0297</t>
  </si>
  <si>
    <t xml:space="preserve">ORD-00285</t>
  </si>
  <si>
    <t xml:space="preserve">ORD-00286</t>
  </si>
  <si>
    <t xml:space="preserve">ORD-00287</t>
  </si>
  <si>
    <t xml:space="preserve">CUST-0160</t>
  </si>
  <si>
    <t xml:space="preserve">ORD-00288</t>
  </si>
  <si>
    <t xml:space="preserve">ORD-00289</t>
  </si>
  <si>
    <t xml:space="preserve">ORD-00290</t>
  </si>
  <si>
    <t xml:space="preserve">PROD-018</t>
  </si>
  <si>
    <t xml:space="preserve">ORD-00291</t>
  </si>
  <si>
    <t xml:space="preserve">ORD-00292</t>
  </si>
  <si>
    <t xml:space="preserve">CUST-0011</t>
  </si>
  <si>
    <t xml:space="preserve">ORD-00335</t>
  </si>
  <si>
    <t xml:space="preserve">ORD-00294</t>
  </si>
  <si>
    <t xml:space="preserve">ORD-00295</t>
  </si>
  <si>
    <t xml:space="preserve">ORD-00296</t>
  </si>
  <si>
    <t xml:space="preserve">ORD-01770</t>
  </si>
  <si>
    <t xml:space="preserve">ORD-00298</t>
  </si>
  <si>
    <t xml:space="preserve">CUST-0166</t>
  </si>
  <si>
    <t xml:space="preserve">ORD-00299</t>
  </si>
  <si>
    <t xml:space="preserve">ORD-00300</t>
  </si>
  <si>
    <t xml:space="preserve">ORD-00301</t>
  </si>
  <si>
    <t xml:space="preserve">CUST-0036</t>
  </si>
  <si>
    <t xml:space="preserve">ORD-00302</t>
  </si>
  <si>
    <t xml:space="preserve">ORD-00303</t>
  </si>
  <si>
    <t xml:space="preserve">CUST-0247</t>
  </si>
  <si>
    <t xml:space="preserve">ORD-00881</t>
  </si>
  <si>
    <t xml:space="preserve">ORD-00305</t>
  </si>
  <si>
    <t xml:space="preserve">ORD-00306</t>
  </si>
  <si>
    <t xml:space="preserve">CUST-0196</t>
  </si>
  <si>
    <t xml:space="preserve">ORD-00307</t>
  </si>
  <si>
    <t xml:space="preserve">ORD-00308</t>
  </si>
  <si>
    <t xml:space="preserve">ORD-00309</t>
  </si>
  <si>
    <t xml:space="preserve">CUST-0132</t>
  </si>
  <si>
    <t xml:space="preserve">ORD-00310</t>
  </si>
  <si>
    <t xml:space="preserve">CUST-0153</t>
  </si>
  <si>
    <t xml:space="preserve">ORD-00311</t>
  </si>
  <si>
    <t xml:space="preserve">ORD-00312</t>
  </si>
  <si>
    <t xml:space="preserve">CUST-0256</t>
  </si>
  <si>
    <t xml:space="preserve">ORD-00313</t>
  </si>
  <si>
    <t xml:space="preserve">ORD-00314</t>
  </si>
  <si>
    <t xml:space="preserve">ORD-00315</t>
  </si>
  <si>
    <t xml:space="preserve">ORD-00316</t>
  </si>
  <si>
    <t xml:space="preserve">ORD-00317</t>
  </si>
  <si>
    <t xml:space="preserve">ORD-00318</t>
  </si>
  <si>
    <t xml:space="preserve">ORD-00319</t>
  </si>
  <si>
    <t xml:space="preserve">CUST-0245</t>
  </si>
  <si>
    <t xml:space="preserve">ORD-00320</t>
  </si>
  <si>
    <t xml:space="preserve">ORD-00321</t>
  </si>
  <si>
    <t xml:space="preserve">CUST-0212</t>
  </si>
  <si>
    <t xml:space="preserve">ORD-00322</t>
  </si>
  <si>
    <t xml:space="preserve">ORD-00323</t>
  </si>
  <si>
    <t xml:space="preserve">CUST-0157</t>
  </si>
  <si>
    <t xml:space="preserve">ORD-00324</t>
  </si>
  <si>
    <t xml:space="preserve">CUST-0004</t>
  </si>
  <si>
    <t xml:space="preserve">ORD-00325</t>
  </si>
  <si>
    <t xml:space="preserve">CUST-0003</t>
  </si>
  <si>
    <t xml:space="preserve">ORD-00326</t>
  </si>
  <si>
    <t xml:space="preserve">ORD-00327</t>
  </si>
  <si>
    <t xml:space="preserve">ORD-00328</t>
  </si>
  <si>
    <t xml:space="preserve">ORD-00329</t>
  </si>
  <si>
    <t xml:space="preserve">CUST-0299</t>
  </si>
  <si>
    <t xml:space="preserve">ORD-00330</t>
  </si>
  <si>
    <t xml:space="preserve">CUST-0066</t>
  </si>
  <si>
    <t xml:space="preserve">ORD-00331</t>
  </si>
  <si>
    <t xml:space="preserve">ORD-00332</t>
  </si>
  <si>
    <t xml:space="preserve">CUST-0138</t>
  </si>
  <si>
    <t xml:space="preserve">ORD-00333</t>
  </si>
  <si>
    <t xml:space="preserve">ORD-00334</t>
  </si>
  <si>
    <t xml:space="preserve">CUST-0269</t>
  </si>
  <si>
    <t xml:space="preserve">PUNE</t>
  </si>
  <si>
    <t xml:space="preserve">ORD-00336</t>
  </si>
  <si>
    <t xml:space="preserve">ORD-00337</t>
  </si>
  <si>
    <t xml:space="preserve">ORD-00338</t>
  </si>
  <si>
    <t xml:space="preserve">CUST-0016</t>
  </si>
  <si>
    <t xml:space="preserve">ORD-00339</t>
  </si>
  <si>
    <t xml:space="preserve">ORD-00340</t>
  </si>
  <si>
    <t xml:space="preserve">ORD-00341</t>
  </si>
  <si>
    <t xml:space="preserve">CUST-0279</t>
  </si>
  <si>
    <t xml:space="preserve">ORD-00342</t>
  </si>
  <si>
    <t xml:space="preserve">ORD-00343</t>
  </si>
  <si>
    <t xml:space="preserve">ORD-00344</t>
  </si>
  <si>
    <t xml:space="preserve">ORD-00593</t>
  </si>
  <si>
    <t xml:space="preserve">ORD-00346</t>
  </si>
  <si>
    <t xml:space="preserve">CUST-0062</t>
  </si>
  <si>
    <t xml:space="preserve">ORD-00347</t>
  </si>
  <si>
    <t xml:space="preserve">ORD-00348</t>
  </si>
  <si>
    <t xml:space="preserve">CUST-0001</t>
  </si>
  <si>
    <t xml:space="preserve">ORD-00349</t>
  </si>
  <si>
    <t xml:space="preserve">ORD-00350</t>
  </si>
  <si>
    <t xml:space="preserve">CUST-0044</t>
  </si>
  <si>
    <t xml:space="preserve">ORD-00351</t>
  </si>
  <si>
    <t xml:space="preserve">ORD-00352</t>
  </si>
  <si>
    <t xml:space="preserve">CUST-0061</t>
  </si>
  <si>
    <t xml:space="preserve">ORD-00353</t>
  </si>
  <si>
    <t xml:space="preserve">ORD-00354</t>
  </si>
  <si>
    <t xml:space="preserve">ORD-00355</t>
  </si>
  <si>
    <t xml:space="preserve">ORD-00356</t>
  </si>
  <si>
    <t xml:space="preserve">ORD-00357</t>
  </si>
  <si>
    <t xml:space="preserve">ORD-00358</t>
  </si>
  <si>
    <t xml:space="preserve">ORD-00359</t>
  </si>
  <si>
    <t xml:space="preserve">CUST-0292</t>
  </si>
  <si>
    <t xml:space="preserve">ORD-00360</t>
  </si>
  <si>
    <t xml:space="preserve">ORD-00361</t>
  </si>
  <si>
    <t xml:space="preserve">ORD-00362</t>
  </si>
  <si>
    <t xml:space="preserve">ORD-00363</t>
  </si>
  <si>
    <t xml:space="preserve">CUST-0030</t>
  </si>
  <si>
    <t xml:space="preserve">ORD-00364</t>
  </si>
  <si>
    <t xml:space="preserve">CUST-0270</t>
  </si>
  <si>
    <t xml:space="preserve">ORD-00365</t>
  </si>
  <si>
    <t xml:space="preserve">ORD-00366</t>
  </si>
  <si>
    <t xml:space="preserve">CUST-0215</t>
  </si>
  <si>
    <t xml:space="preserve">ORD-00367</t>
  </si>
  <si>
    <t xml:space="preserve">CUST-0225</t>
  </si>
  <si>
    <t xml:space="preserve">ORD-00368</t>
  </si>
  <si>
    <t xml:space="preserve">ORD-00369</t>
  </si>
  <si>
    <t xml:space="preserve">ORD-00370</t>
  </si>
  <si>
    <t xml:space="preserve">CUST-0002</t>
  </si>
  <si>
    <t xml:space="preserve">ORD-00371</t>
  </si>
  <si>
    <t xml:space="preserve">CUST-0057</t>
  </si>
  <si>
    <t xml:space="preserve">ORD-00372</t>
  </si>
  <si>
    <t xml:space="preserve">ORD-00373</t>
  </si>
  <si>
    <t xml:space="preserve">ORD-00374</t>
  </si>
  <si>
    <t xml:space="preserve">ORD-00375</t>
  </si>
  <si>
    <t xml:space="preserve">ORD-00376</t>
  </si>
  <si>
    <t xml:space="preserve">ORD-00377</t>
  </si>
  <si>
    <t xml:space="preserve">ORD-00378</t>
  </si>
  <si>
    <t xml:space="preserve">ORD-00379</t>
  </si>
  <si>
    <t xml:space="preserve">CUST-0074</t>
  </si>
  <si>
    <t xml:space="preserve">ORD-00380</t>
  </si>
  <si>
    <t xml:space="preserve">CUST-0221</t>
  </si>
  <si>
    <t xml:space="preserve">ORD-00381</t>
  </si>
  <si>
    <t xml:space="preserve">ORD-00382</t>
  </si>
  <si>
    <t xml:space="preserve">ORD-00383</t>
  </si>
  <si>
    <t xml:space="preserve">CUST-0209</t>
  </si>
  <si>
    <t xml:space="preserve">pune</t>
  </si>
  <si>
    <t xml:space="preserve">ORD-00384</t>
  </si>
  <si>
    <t xml:space="preserve">ORD-00385</t>
  </si>
  <si>
    <t xml:space="preserve">ORD-00386</t>
  </si>
  <si>
    <t xml:space="preserve">ORD-00387</t>
  </si>
  <si>
    <t xml:space="preserve">ORD-00388</t>
  </si>
  <si>
    <t xml:space="preserve">ORD-00389</t>
  </si>
  <si>
    <t xml:space="preserve">ORD-00390</t>
  </si>
  <si>
    <t xml:space="preserve">ORD-00391</t>
  </si>
  <si>
    <t xml:space="preserve">CUST-0019</t>
  </si>
  <si>
    <t xml:space="preserve">ORD-00392</t>
  </si>
  <si>
    <t xml:space="preserve">CUST-0290</t>
  </si>
  <si>
    <t xml:space="preserve">ORD-00393</t>
  </si>
  <si>
    <t xml:space="preserve">CUST-9557</t>
  </si>
  <si>
    <t xml:space="preserve">ORD-00394</t>
  </si>
  <si>
    <t xml:space="preserve">ORD-00395</t>
  </si>
  <si>
    <t xml:space="preserve">CUST-0045</t>
  </si>
  <si>
    <t xml:space="preserve">ORD-00396</t>
  </si>
  <si>
    <t xml:space="preserve">ORD-00397</t>
  </si>
  <si>
    <t xml:space="preserve">ORD-00398</t>
  </si>
  <si>
    <t xml:space="preserve">ORD-00399</t>
  </si>
  <si>
    <t xml:space="preserve">CUST-0154</t>
  </si>
  <si>
    <t xml:space="preserve">ORD-00400</t>
  </si>
  <si>
    <t xml:space="preserve">ORD-00401</t>
  </si>
  <si>
    <t xml:space="preserve">CUST-9654</t>
  </si>
  <si>
    <t xml:space="preserve">ORD-00402</t>
  </si>
  <si>
    <t xml:space="preserve">ORD-00403</t>
  </si>
  <si>
    <t xml:space="preserve">ORD-00404</t>
  </si>
  <si>
    <t xml:space="preserve">ORD-00405</t>
  </si>
  <si>
    <t xml:space="preserve">ORD-00406</t>
  </si>
  <si>
    <t xml:space="preserve">CUST-0093</t>
  </si>
  <si>
    <t xml:space="preserve">ORD-00407</t>
  </si>
  <si>
    <t xml:space="preserve">ORD-00408</t>
  </si>
  <si>
    <t xml:space="preserve">ORD-00409</t>
  </si>
  <si>
    <t xml:space="preserve">ORD-00410</t>
  </si>
  <si>
    <t xml:space="preserve">ORD-00411</t>
  </si>
  <si>
    <t xml:space="preserve">ORD-00412</t>
  </si>
  <si>
    <t xml:space="preserve">CUST-0148</t>
  </si>
  <si>
    <t xml:space="preserve">ORD-00413</t>
  </si>
  <si>
    <t xml:space="preserve">ORD-00414</t>
  </si>
  <si>
    <t xml:space="preserve">ORD-00415</t>
  </si>
  <si>
    <t xml:space="preserve">ORD-00416</t>
  </si>
  <si>
    <t xml:space="preserve">CUST-0190</t>
  </si>
  <si>
    <t xml:space="preserve">ORD-00417</t>
  </si>
  <si>
    <t xml:space="preserve">ORD-00418</t>
  </si>
  <si>
    <t xml:space="preserve">ORD-00419</t>
  </si>
  <si>
    <t xml:space="preserve">ORD-00420</t>
  </si>
  <si>
    <t xml:space="preserve">ORD-00421</t>
  </si>
  <si>
    <t xml:space="preserve">ORD-00422</t>
  </si>
  <si>
    <t xml:space="preserve">CUST-0037</t>
  </si>
  <si>
    <t xml:space="preserve">ORD-00423</t>
  </si>
  <si>
    <t xml:space="preserve">CUST-0039</t>
  </si>
  <si>
    <t xml:space="preserve">ORD-00424</t>
  </si>
  <si>
    <t xml:space="preserve">ORD-00425</t>
  </si>
  <si>
    <t xml:space="preserve">ORD-00426</t>
  </si>
  <si>
    <t xml:space="preserve">CUST-0130</t>
  </si>
  <si>
    <t xml:space="preserve">ORD-00427</t>
  </si>
  <si>
    <t xml:space="preserve">ORD-00428</t>
  </si>
  <si>
    <t xml:space="preserve">ORD-00429</t>
  </si>
  <si>
    <t xml:space="preserve">ORD-00430</t>
  </si>
  <si>
    <t xml:space="preserve">ORD-00431</t>
  </si>
  <si>
    <t xml:space="preserve">ORD-00432</t>
  </si>
  <si>
    <t xml:space="preserve">ORD-00433</t>
  </si>
  <si>
    <t xml:space="preserve">ORD-00434</t>
  </si>
  <si>
    <t xml:space="preserve">CUST-0136</t>
  </si>
  <si>
    <t xml:space="preserve">ORD-00435</t>
  </si>
  <si>
    <t xml:space="preserve">ORD-00436</t>
  </si>
  <si>
    <t xml:space="preserve">ORD-00437</t>
  </si>
  <si>
    <t xml:space="preserve">ORD-00438</t>
  </si>
  <si>
    <t xml:space="preserve">ORD-00439</t>
  </si>
  <si>
    <t xml:space="preserve">CUST-0217</t>
  </si>
  <si>
    <t xml:space="preserve">ORD-00440</t>
  </si>
  <si>
    <t xml:space="preserve">ORD-00441</t>
  </si>
  <si>
    <t xml:space="preserve">ORD-00442</t>
  </si>
  <si>
    <t xml:space="preserve">ORD-00443</t>
  </si>
  <si>
    <t xml:space="preserve">ORD-00444</t>
  </si>
  <si>
    <t xml:space="preserve">ORD-00445</t>
  </si>
  <si>
    <t xml:space="preserve">CUST-9626</t>
  </si>
  <si>
    <t xml:space="preserve">ORD-00446</t>
  </si>
  <si>
    <t xml:space="preserve">ORD-00447</t>
  </si>
  <si>
    <t xml:space="preserve">ORD-00448</t>
  </si>
  <si>
    <t xml:space="preserve">ORD-00449</t>
  </si>
  <si>
    <t xml:space="preserve">CUST-0017</t>
  </si>
  <si>
    <t xml:space="preserve">ORD-00450</t>
  </si>
  <si>
    <t xml:space="preserve">CUST-0007</t>
  </si>
  <si>
    <t xml:space="preserve">ORD-00451</t>
  </si>
  <si>
    <t xml:space="preserve">CUST-0054</t>
  </si>
  <si>
    <t xml:space="preserve">ORD-00452</t>
  </si>
  <si>
    <t xml:space="preserve">CUST-0038</t>
  </si>
  <si>
    <t xml:space="preserve">ORD-00453</t>
  </si>
  <si>
    <t xml:space="preserve">ORD-00454</t>
  </si>
  <si>
    <t xml:space="preserve">ORD-00455</t>
  </si>
  <si>
    <t xml:space="preserve">CUST-0072</t>
  </si>
  <si>
    <t xml:space="preserve">ORD-00456</t>
  </si>
  <si>
    <t xml:space="preserve">ORD-00457</t>
  </si>
  <si>
    <t xml:space="preserve">ORD-00458</t>
  </si>
  <si>
    <t xml:space="preserve">CUST-0214</t>
  </si>
  <si>
    <t xml:space="preserve">CUST-0236</t>
  </si>
  <si>
    <t xml:space="preserve">ORD-00460</t>
  </si>
  <si>
    <t xml:space="preserve">ORD-00461</t>
  </si>
  <si>
    <t xml:space="preserve">CUST-0123</t>
  </si>
  <si>
    <t xml:space="preserve">ORD-00462</t>
  </si>
  <si>
    <t xml:space="preserve">ORD-00463</t>
  </si>
  <si>
    <t xml:space="preserve">ORD-00464</t>
  </si>
  <si>
    <t xml:space="preserve">ORD-00465</t>
  </si>
  <si>
    <t xml:space="preserve">ORD-00466</t>
  </si>
  <si>
    <t xml:space="preserve">ORD-00467</t>
  </si>
  <si>
    <t xml:space="preserve">ORD-00468</t>
  </si>
  <si>
    <t xml:space="preserve">ORD-00469</t>
  </si>
  <si>
    <t xml:space="preserve">CUST-0223</t>
  </si>
  <si>
    <t xml:space="preserve">ORD-00470</t>
  </si>
  <si>
    <t xml:space="preserve">ORD-00471</t>
  </si>
  <si>
    <t xml:space="preserve">ORD-00472</t>
  </si>
  <si>
    <t xml:space="preserve">ORD-00473</t>
  </si>
  <si>
    <t xml:space="preserve">CUST-0254</t>
  </si>
  <si>
    <t xml:space="preserve">ORD-00474</t>
  </si>
  <si>
    <t xml:space="preserve">CUST-0126</t>
  </si>
  <si>
    <t xml:space="preserve">ORD-00475</t>
  </si>
  <si>
    <t xml:space="preserve">ORD-00476</t>
  </si>
  <si>
    <t xml:space="preserve">CUST-0089</t>
  </si>
  <si>
    <t xml:space="preserve">ORD-00477</t>
  </si>
  <si>
    <t xml:space="preserve">ORD-00478</t>
  </si>
  <si>
    <t xml:space="preserve">CUST-0201</t>
  </si>
  <si>
    <t xml:space="preserve">ORD-01195</t>
  </si>
  <si>
    <t xml:space="preserve">CUST-0091</t>
  </si>
  <si>
    <t xml:space="preserve">ORD-00480</t>
  </si>
  <si>
    <t xml:space="preserve">ORD-00481</t>
  </si>
  <si>
    <t xml:space="preserve">ORD-00482</t>
  </si>
  <si>
    <t xml:space="preserve">ORD-00483</t>
  </si>
  <si>
    <t xml:space="preserve">ORD-00484</t>
  </si>
  <si>
    <t xml:space="preserve">ORD-00485</t>
  </si>
  <si>
    <t xml:space="preserve">ORD-00486</t>
  </si>
  <si>
    <t xml:space="preserve">ORD-00487</t>
  </si>
  <si>
    <t xml:space="preserve">ORD-00488</t>
  </si>
  <si>
    <t xml:space="preserve">ORD-00489</t>
  </si>
  <si>
    <t xml:space="preserve">CUST-0195</t>
  </si>
  <si>
    <t xml:space="preserve">ORD-00490</t>
  </si>
  <si>
    <t xml:space="preserve">ORD-00491</t>
  </si>
  <si>
    <t xml:space="preserve">ORD-00492</t>
  </si>
  <si>
    <t xml:space="preserve">ORD-00493</t>
  </si>
  <si>
    <t xml:space="preserve">ORD-00494</t>
  </si>
  <si>
    <t xml:space="preserve">ORD-00495</t>
  </si>
  <si>
    <t xml:space="preserve">ORD-00496</t>
  </si>
  <si>
    <t xml:space="preserve">ORD-00497</t>
  </si>
  <si>
    <t xml:space="preserve">ORD-00498</t>
  </si>
  <si>
    <t xml:space="preserve">ORD-00499</t>
  </si>
  <si>
    <t xml:space="preserve">ORD-00500</t>
  </si>
  <si>
    <t xml:space="preserve">ORD-00501</t>
  </si>
  <si>
    <t xml:space="preserve">ORD-00502</t>
  </si>
  <si>
    <t xml:space="preserve">ORD-00503</t>
  </si>
  <si>
    <t xml:space="preserve">ORD-00504</t>
  </si>
  <si>
    <t xml:space="preserve">ORD-00505</t>
  </si>
  <si>
    <t xml:space="preserve">ORD-00506</t>
  </si>
  <si>
    <t xml:space="preserve">ORD-00507</t>
  </si>
  <si>
    <t xml:space="preserve">ORD-00508</t>
  </si>
  <si>
    <t xml:space="preserve">ORD-00509</t>
  </si>
  <si>
    <t xml:space="preserve">ORD-00510</t>
  </si>
  <si>
    <t xml:space="preserve">CUST-0103</t>
  </si>
  <si>
    <t xml:space="preserve">ORD-00511</t>
  </si>
  <si>
    <t xml:space="preserve">CUST-0174</t>
  </si>
  <si>
    <t xml:space="preserve">ORD-00512</t>
  </si>
  <si>
    <t xml:space="preserve">ORD-00513</t>
  </si>
  <si>
    <t xml:space="preserve">CUST-0266</t>
  </si>
  <si>
    <t xml:space="preserve">ORD-00514</t>
  </si>
  <si>
    <t xml:space="preserve">ORD-00515</t>
  </si>
  <si>
    <t xml:space="preserve">ORD-00516</t>
  </si>
  <si>
    <t xml:space="preserve">CUST-0128</t>
  </si>
  <si>
    <t xml:space="preserve">ORD-00517</t>
  </si>
  <si>
    <t xml:space="preserve">ORD-00518</t>
  </si>
  <si>
    <t xml:space="preserve">ORD-00519</t>
  </si>
  <si>
    <t xml:space="preserve">CUST-0237</t>
  </si>
  <si>
    <t xml:space="preserve">ORD-00520</t>
  </si>
  <si>
    <t xml:space="preserve">ORD-00521</t>
  </si>
  <si>
    <t xml:space="preserve">CUST-0233</t>
  </si>
  <si>
    <t xml:space="preserve">ORD-00522</t>
  </si>
  <si>
    <t xml:space="preserve">ORD-00523</t>
  </si>
  <si>
    <t xml:space="preserve">ORD-00524</t>
  </si>
  <si>
    <t xml:space="preserve">CUST-0235</t>
  </si>
  <si>
    <t xml:space="preserve">ORD-00525</t>
  </si>
  <si>
    <t xml:space="preserve">ORD-00526</t>
  </si>
  <si>
    <t xml:space="preserve">CUST-0199</t>
  </si>
  <si>
    <t xml:space="preserve">ORD-00527</t>
  </si>
  <si>
    <t xml:space="preserve">CUST-0034</t>
  </si>
  <si>
    <t xml:space="preserve">ORD-00528</t>
  </si>
  <si>
    <t xml:space="preserve">CUST-0206</t>
  </si>
  <si>
    <t xml:space="preserve">ORD-00529</t>
  </si>
  <si>
    <t xml:space="preserve">ORD-00530</t>
  </si>
  <si>
    <t xml:space="preserve">ORD-00531</t>
  </si>
  <si>
    <t xml:space="preserve">ORD-00532</t>
  </si>
  <si>
    <t xml:space="preserve">ORD-00533</t>
  </si>
  <si>
    <t xml:space="preserve">ORD-00534</t>
  </si>
  <si>
    <t xml:space="preserve">CUST-0205</t>
  </si>
  <si>
    <t xml:space="preserve">ORD-00535</t>
  </si>
  <si>
    <t xml:space="preserve">ORD-00536</t>
  </si>
  <si>
    <t xml:space="preserve">ORD-00537</t>
  </si>
  <si>
    <t xml:space="preserve">ORD-00538</t>
  </si>
  <si>
    <t xml:space="preserve">ORD-00539</t>
  </si>
  <si>
    <t xml:space="preserve">CUST-0127</t>
  </si>
  <si>
    <t xml:space="preserve">ORD-00540</t>
  </si>
  <si>
    <t xml:space="preserve">ORD-00541</t>
  </si>
  <si>
    <t xml:space="preserve">CUST-0005</t>
  </si>
  <si>
    <t xml:space="preserve">ORD-00542</t>
  </si>
  <si>
    <t xml:space="preserve">ORD-00543</t>
  </si>
  <si>
    <t xml:space="preserve">ORD-00544</t>
  </si>
  <si>
    <t xml:space="preserve">CUST-0244</t>
  </si>
  <si>
    <t xml:space="preserve">ORD-00545</t>
  </si>
  <si>
    <t xml:space="preserve">ORD-00546</t>
  </si>
  <si>
    <t xml:space="preserve">ORD-00547</t>
  </si>
  <si>
    <t xml:space="preserve">ORD-00548</t>
  </si>
  <si>
    <t xml:space="preserve">ORD-00549</t>
  </si>
  <si>
    <t xml:space="preserve">ORD-00550</t>
  </si>
  <si>
    <t xml:space="preserve">ORD-00551</t>
  </si>
  <si>
    <t xml:space="preserve">ORD-00552</t>
  </si>
  <si>
    <t xml:space="preserve">ORD-00553</t>
  </si>
  <si>
    <t xml:space="preserve">CUST-0252</t>
  </si>
  <si>
    <t xml:space="preserve">ORD-00554</t>
  </si>
  <si>
    <t xml:space="preserve">ORD-00555</t>
  </si>
  <si>
    <t xml:space="preserve">CUST-0046</t>
  </si>
  <si>
    <t xml:space="preserve">ORD-00556</t>
  </si>
  <si>
    <t xml:space="preserve">ORD-00557</t>
  </si>
  <si>
    <t xml:space="preserve">CUST-0227</t>
  </si>
  <si>
    <t xml:space="preserve">ORD-00558</t>
  </si>
  <si>
    <t xml:space="preserve">ORD-00559</t>
  </si>
  <si>
    <t xml:space="preserve">ORD-00560</t>
  </si>
  <si>
    <t xml:space="preserve">ORD-00561</t>
  </si>
  <si>
    <t xml:space="preserve">ORD-00562</t>
  </si>
  <si>
    <t xml:space="preserve">ORD-00563</t>
  </si>
  <si>
    <t xml:space="preserve">ORD-00564</t>
  </si>
  <si>
    <t xml:space="preserve">ORD-00565</t>
  </si>
  <si>
    <t xml:space="preserve">ORD-00566</t>
  </si>
  <si>
    <t xml:space="preserve">CUST-0058</t>
  </si>
  <si>
    <t xml:space="preserve">ORD-00567</t>
  </si>
  <si>
    <t xml:space="preserve">ORD-00568</t>
  </si>
  <si>
    <t xml:space="preserve">ORD-00569</t>
  </si>
  <si>
    <t xml:space="preserve">ORD-00570</t>
  </si>
  <si>
    <t xml:space="preserve">ORD-00571</t>
  </si>
  <si>
    <t xml:space="preserve">ORD-00572</t>
  </si>
  <si>
    <t xml:space="preserve">ORD-00573</t>
  </si>
  <si>
    <t xml:space="preserve">ORD-00574</t>
  </si>
  <si>
    <t xml:space="preserve">ORD-00575</t>
  </si>
  <si>
    <t xml:space="preserve">ORD-00576</t>
  </si>
  <si>
    <t xml:space="preserve">CUST-0272</t>
  </si>
  <si>
    <t xml:space="preserve">ORD-00577</t>
  </si>
  <si>
    <t xml:space="preserve">ORD-00578</t>
  </si>
  <si>
    <t xml:space="preserve">ORD-00579</t>
  </si>
  <si>
    <t xml:space="preserve">ORD-00580</t>
  </si>
  <si>
    <t xml:space="preserve">ORD-00581</t>
  </si>
  <si>
    <t xml:space="preserve">ORD-00582</t>
  </si>
  <si>
    <t xml:space="preserve">ORD-00583</t>
  </si>
  <si>
    <t xml:space="preserve">ORD-00584</t>
  </si>
  <si>
    <t xml:space="preserve">CUST-0156</t>
  </si>
  <si>
    <t xml:space="preserve">ORD-00585</t>
  </si>
  <si>
    <t xml:space="preserve">CUST-0022</t>
  </si>
  <si>
    <t xml:space="preserve">ORD-00586</t>
  </si>
  <si>
    <t xml:space="preserve">ORD-00587</t>
  </si>
  <si>
    <t xml:space="preserve">ORD-00588</t>
  </si>
  <si>
    <t xml:space="preserve">ORD-00589</t>
  </si>
  <si>
    <t xml:space="preserve">ORD-00590</t>
  </si>
  <si>
    <t xml:space="preserve">ORD-00591</t>
  </si>
  <si>
    <t xml:space="preserve">ORD-00592</t>
  </si>
  <si>
    <t xml:space="preserve">ORD-00594</t>
  </si>
  <si>
    <t xml:space="preserve">CUST-0278</t>
  </si>
  <si>
    <t xml:space="preserve">ORD-00595</t>
  </si>
  <si>
    <t xml:space="preserve">ORD-00596</t>
  </si>
  <si>
    <t xml:space="preserve">ORD-00597</t>
  </si>
  <si>
    <t xml:space="preserve">CUST-0289</t>
  </si>
  <si>
    <t xml:space="preserve">ORD-00598</t>
  </si>
  <si>
    <t xml:space="preserve">ORD-00599</t>
  </si>
  <si>
    <t xml:space="preserve">ORD-00600</t>
  </si>
  <si>
    <t xml:space="preserve">CUST-0213</t>
  </si>
  <si>
    <t xml:space="preserve">ORD-00601</t>
  </si>
  <si>
    <t xml:space="preserve">ORD-00602</t>
  </si>
  <si>
    <t xml:space="preserve">ORD-00603</t>
  </si>
  <si>
    <t xml:space="preserve">ORD-00604</t>
  </si>
  <si>
    <t xml:space="preserve">ORD-00605</t>
  </si>
  <si>
    <t xml:space="preserve">ORD-00606</t>
  </si>
  <si>
    <t xml:space="preserve">CUST-0179</t>
  </si>
  <si>
    <t xml:space="preserve">ORD-00607</t>
  </si>
  <si>
    <t xml:space="preserve">ORD-00608</t>
  </si>
  <si>
    <t xml:space="preserve">CUST-0144</t>
  </si>
  <si>
    <t xml:space="preserve">ORD-00609</t>
  </si>
  <si>
    <t xml:space="preserve">ORD-00610</t>
  </si>
  <si>
    <t xml:space="preserve">ORD-00611</t>
  </si>
  <si>
    <t xml:space="preserve">ORD-00612</t>
  </si>
  <si>
    <t xml:space="preserve">ORD-00613</t>
  </si>
  <si>
    <t xml:space="preserve">ORD-00614</t>
  </si>
  <si>
    <t xml:space="preserve">CUST-0063</t>
  </si>
  <si>
    <t xml:space="preserve">ORD-00615</t>
  </si>
  <si>
    <t xml:space="preserve">ORD-00616</t>
  </si>
  <si>
    <t xml:space="preserve">ORD-00617</t>
  </si>
  <si>
    <t xml:space="preserve">ORD-00618</t>
  </si>
  <si>
    <t xml:space="preserve">ORD-00619</t>
  </si>
  <si>
    <t xml:space="preserve">ORD-00620</t>
  </si>
  <si>
    <t xml:space="preserve">ORD-00621</t>
  </si>
  <si>
    <t xml:space="preserve">ORD-00622</t>
  </si>
  <si>
    <t xml:space="preserve">ORD-00623</t>
  </si>
  <si>
    <t xml:space="preserve">ORD-00624</t>
  </si>
  <si>
    <t xml:space="preserve">ORD-00625</t>
  </si>
  <si>
    <t xml:space="preserve">ORD-00626</t>
  </si>
  <si>
    <t xml:space="preserve">ORD-00627</t>
  </si>
  <si>
    <t xml:space="preserve">ORD-00628</t>
  </si>
  <si>
    <t xml:space="preserve">ORD-00629</t>
  </si>
  <si>
    <t xml:space="preserve">ORD-00630</t>
  </si>
  <si>
    <t xml:space="preserve">ORD-00631</t>
  </si>
  <si>
    <t xml:space="preserve">ORD-00632</t>
  </si>
  <si>
    <t xml:space="preserve">ORD-00633</t>
  </si>
  <si>
    <t xml:space="preserve">ORD-00634</t>
  </si>
  <si>
    <t xml:space="preserve">ORD-00635</t>
  </si>
  <si>
    <t xml:space="preserve">ORD-00636</t>
  </si>
  <si>
    <t xml:space="preserve">ORD-00637</t>
  </si>
  <si>
    <t xml:space="preserve">CUST-0158</t>
  </si>
  <si>
    <t xml:space="preserve">ORD-00638</t>
  </si>
  <si>
    <t xml:space="preserve">ORD-00639</t>
  </si>
  <si>
    <t xml:space="preserve">ORD-00640</t>
  </si>
  <si>
    <t xml:space="preserve">ORD-00641</t>
  </si>
  <si>
    <t xml:space="preserve">ORD-00642</t>
  </si>
  <si>
    <t xml:space="preserve">ORD-00643</t>
  </si>
  <si>
    <t xml:space="preserve">ORD-00644</t>
  </si>
  <si>
    <t xml:space="preserve">CUST-0083</t>
  </si>
  <si>
    <t xml:space="preserve">ORD-00645</t>
  </si>
  <si>
    <t xml:space="preserve">ORD-00646</t>
  </si>
  <si>
    <t xml:space="preserve">ORD-00647</t>
  </si>
  <si>
    <t xml:space="preserve">ORD-00648</t>
  </si>
  <si>
    <t xml:space="preserve">ORD-00649</t>
  </si>
  <si>
    <t xml:space="preserve">ORD-00650</t>
  </si>
  <si>
    <t xml:space="preserve">ORD-00651</t>
  </si>
  <si>
    <t xml:space="preserve">DELHI</t>
  </si>
  <si>
    <t xml:space="preserve">ORD-00652</t>
  </si>
  <si>
    <t xml:space="preserve">ORD-00653</t>
  </si>
  <si>
    <t xml:space="preserve">ORD-00654</t>
  </si>
  <si>
    <t xml:space="preserve">ORD-00655</t>
  </si>
  <si>
    <t xml:space="preserve">ORD-00656</t>
  </si>
  <si>
    <t xml:space="preserve">ORD-00657</t>
  </si>
  <si>
    <t xml:space="preserve">ORD-00658</t>
  </si>
  <si>
    <t xml:space="preserve">ORD-00659</t>
  </si>
  <si>
    <t xml:space="preserve">CUST-0257</t>
  </si>
  <si>
    <t xml:space="preserve">ORD-00660</t>
  </si>
  <si>
    <t xml:space="preserve">ORD-00661</t>
  </si>
  <si>
    <t xml:space="preserve">ORD-00662</t>
  </si>
  <si>
    <t xml:space="preserve">ORD-00663</t>
  </si>
  <si>
    <t xml:space="preserve">ORD-00664</t>
  </si>
  <si>
    <t xml:space="preserve">ORD-00665</t>
  </si>
  <si>
    <t xml:space="preserve">ORD-00666</t>
  </si>
  <si>
    <t xml:space="preserve">ORD-00667</t>
  </si>
  <si>
    <t xml:space="preserve">ORD-00668</t>
  </si>
  <si>
    <t xml:space="preserve">ORD-00669</t>
  </si>
  <si>
    <t xml:space="preserve">ORD-00670</t>
  </si>
  <si>
    <t xml:space="preserve">ORD-00671</t>
  </si>
  <si>
    <t xml:space="preserve">ORD-00672</t>
  </si>
  <si>
    <t xml:space="preserve">ORD-00673</t>
  </si>
  <si>
    <t xml:space="preserve">ORD-00674</t>
  </si>
  <si>
    <t xml:space="preserve">ORD-00675</t>
  </si>
  <si>
    <t xml:space="preserve">ORD-00676</t>
  </si>
  <si>
    <t xml:space="preserve">ORD-00677</t>
  </si>
  <si>
    <t xml:space="preserve">ORD-00678</t>
  </si>
  <si>
    <t xml:space="preserve">ORD-00679</t>
  </si>
  <si>
    <t xml:space="preserve">ORD-00680</t>
  </si>
  <si>
    <t xml:space="preserve">ORD-00681</t>
  </si>
  <si>
    <t xml:space="preserve">ORD-00682</t>
  </si>
  <si>
    <t xml:space="preserve">ORD-00683</t>
  </si>
  <si>
    <t xml:space="preserve">ORD-00684</t>
  </si>
  <si>
    <t xml:space="preserve">ORD-00685</t>
  </si>
  <si>
    <t xml:space="preserve">ORD-00686</t>
  </si>
  <si>
    <t xml:space="preserve">ORD-00687</t>
  </si>
  <si>
    <t xml:space="preserve">ORD-00688</t>
  </si>
  <si>
    <t xml:space="preserve">ORD-00689</t>
  </si>
  <si>
    <t xml:space="preserve">ORD-00690</t>
  </si>
  <si>
    <t xml:space="preserve">ORD-00691</t>
  </si>
  <si>
    <t xml:space="preserve">ORD-00692</t>
  </si>
  <si>
    <t xml:space="preserve">ORD-00693</t>
  </si>
  <si>
    <t xml:space="preserve">ORD-00694</t>
  </si>
  <si>
    <t xml:space="preserve">ORD-00695</t>
  </si>
  <si>
    <t xml:space="preserve">ORD-00696</t>
  </si>
  <si>
    <t xml:space="preserve">ORD-00697</t>
  </si>
  <si>
    <t xml:space="preserve">ORD-00698</t>
  </si>
  <si>
    <t xml:space="preserve">ORD-00699</t>
  </si>
  <si>
    <t xml:space="preserve">ORD-00700</t>
  </si>
  <si>
    <t xml:space="preserve">ORD-01185</t>
  </si>
  <si>
    <t xml:space="preserve">ORD-00702</t>
  </si>
  <si>
    <t xml:space="preserve">ORD-00703</t>
  </si>
  <si>
    <t xml:space="preserve">ORD-00704</t>
  </si>
  <si>
    <t xml:space="preserve">ORD-00705</t>
  </si>
  <si>
    <t xml:space="preserve">ORD-00706</t>
  </si>
  <si>
    <t xml:space="preserve">ORD-00707</t>
  </si>
  <si>
    <t xml:space="preserve">ORD-00708</t>
  </si>
  <si>
    <t xml:space="preserve">ORD-00709</t>
  </si>
  <si>
    <t xml:space="preserve">CUST-0060</t>
  </si>
  <si>
    <t xml:space="preserve">ORD-00710</t>
  </si>
  <si>
    <t xml:space="preserve">ORD-00711</t>
  </si>
  <si>
    <t xml:space="preserve">ORD-00712</t>
  </si>
  <si>
    <t xml:space="preserve">ORD-00713</t>
  </si>
  <si>
    <t xml:space="preserve">ORD-00714</t>
  </si>
  <si>
    <t xml:space="preserve">ORD-00715</t>
  </si>
  <si>
    <t xml:space="preserve">ORD-00716</t>
  </si>
  <si>
    <t xml:space="preserve">CUST-0065</t>
  </si>
  <si>
    <t xml:space="preserve">ORD-00717</t>
  </si>
  <si>
    <t xml:space="preserve">ORD-00718</t>
  </si>
  <si>
    <t xml:space="preserve">ORD-00719</t>
  </si>
  <si>
    <t xml:space="preserve">ORD-00720</t>
  </si>
  <si>
    <t xml:space="preserve">ORD-00721</t>
  </si>
  <si>
    <t xml:space="preserve">ORD-00722</t>
  </si>
  <si>
    <t xml:space="preserve">ORD-00723</t>
  </si>
  <si>
    <t xml:space="preserve">ORD-00724</t>
  </si>
  <si>
    <t xml:space="preserve">ORD-00725</t>
  </si>
  <si>
    <t xml:space="preserve">ORD-00726</t>
  </si>
  <si>
    <t xml:space="preserve">CUST-0211</t>
  </si>
  <si>
    <t xml:space="preserve">ORD-00727</t>
  </si>
  <si>
    <t xml:space="preserve">CUST-0229</t>
  </si>
  <si>
    <t xml:space="preserve">ORD-00728</t>
  </si>
  <si>
    <t xml:space="preserve">ORD-00729</t>
  </si>
  <si>
    <t xml:space="preserve">ORD-00730</t>
  </si>
  <si>
    <t xml:space="preserve">ORD-00731</t>
  </si>
  <si>
    <t xml:space="preserve">ORD-00732</t>
  </si>
  <si>
    <t xml:space="preserve">ORD-00733</t>
  </si>
  <si>
    <t xml:space="preserve">CUST-9846</t>
  </si>
  <si>
    <t xml:space="preserve">ORD-00734</t>
  </si>
  <si>
    <t xml:space="preserve">ORD-00735</t>
  </si>
  <si>
    <t xml:space="preserve">ORD-00736</t>
  </si>
  <si>
    <t xml:space="preserve">ORD-00737</t>
  </si>
  <si>
    <t xml:space="preserve">ORD-00738</t>
  </si>
  <si>
    <t xml:space="preserve">ORD-00739</t>
  </si>
  <si>
    <t xml:space="preserve">ORD-00740</t>
  </si>
  <si>
    <t xml:space="preserve">ORD-00741</t>
  </si>
  <si>
    <t xml:space="preserve">ORD-00742</t>
  </si>
  <si>
    <t xml:space="preserve">ORD-00743</t>
  </si>
  <si>
    <t xml:space="preserve">ORD-00744</t>
  </si>
  <si>
    <t xml:space="preserve">ORD-00745</t>
  </si>
  <si>
    <t xml:space="preserve">ORD-00746</t>
  </si>
  <si>
    <t xml:space="preserve">ORD-00747</t>
  </si>
  <si>
    <t xml:space="preserve">ORD-00748</t>
  </si>
  <si>
    <t xml:space="preserve">ORD-00749</t>
  </si>
  <si>
    <t xml:space="preserve">CUST-0122</t>
  </si>
  <si>
    <t xml:space="preserve">ORD-00750</t>
  </si>
  <si>
    <t xml:space="preserve">ORD-00751</t>
  </si>
  <si>
    <t xml:space="preserve">ORD-00752</t>
  </si>
  <si>
    <t xml:space="preserve">ORD-00753</t>
  </si>
  <si>
    <t xml:space="preserve">ORD-00754</t>
  </si>
  <si>
    <t xml:space="preserve">ORD-00755</t>
  </si>
  <si>
    <t xml:space="preserve">ORD-00756</t>
  </si>
  <si>
    <t xml:space="preserve">ORD-00757</t>
  </si>
  <si>
    <t xml:space="preserve">ORD-00758</t>
  </si>
  <si>
    <t xml:space="preserve">ORD-00759</t>
  </si>
  <si>
    <t xml:space="preserve">ORD-00760</t>
  </si>
  <si>
    <t xml:space="preserve">ORD-00761</t>
  </si>
  <si>
    <t xml:space="preserve">ORD-00762</t>
  </si>
  <si>
    <t xml:space="preserve">CUST-0109</t>
  </si>
  <si>
    <t xml:space="preserve">ORD-00763</t>
  </si>
  <si>
    <t xml:space="preserve">ORD-00764</t>
  </si>
  <si>
    <t xml:space="preserve">CUST-0120</t>
  </si>
  <si>
    <t xml:space="preserve">ORD-00765</t>
  </si>
  <si>
    <t xml:space="preserve">ORD-00766</t>
  </si>
  <si>
    <t xml:space="preserve">ORD-00767</t>
  </si>
  <si>
    <t xml:space="preserve">ORD-00768</t>
  </si>
  <si>
    <t xml:space="preserve">ORD-00769</t>
  </si>
  <si>
    <t xml:space="preserve">ORD-00770</t>
  </si>
  <si>
    <t xml:space="preserve">ORD-00771</t>
  </si>
  <si>
    <t xml:space="preserve">ORD-00772</t>
  </si>
  <si>
    <t xml:space="preserve">ORD-00773</t>
  </si>
  <si>
    <t xml:space="preserve">ORD-00774</t>
  </si>
  <si>
    <t xml:space="preserve">ORD-00775</t>
  </si>
  <si>
    <t xml:space="preserve">ORD-00776</t>
  </si>
  <si>
    <t xml:space="preserve">ORD-00777</t>
  </si>
  <si>
    <t xml:space="preserve">ORD-00778</t>
  </si>
  <si>
    <t xml:space="preserve">ORD-00779</t>
  </si>
  <si>
    <t xml:space="preserve">CUST-0021</t>
  </si>
  <si>
    <t xml:space="preserve">ORD-00780</t>
  </si>
  <si>
    <t xml:space="preserve">ORD-00781</t>
  </si>
  <si>
    <t xml:space="preserve">ORD-00782</t>
  </si>
  <si>
    <t xml:space="preserve">ORD-00783</t>
  </si>
  <si>
    <t xml:space="preserve">ORD-00784</t>
  </si>
  <si>
    <t xml:space="preserve">ORD-00785</t>
  </si>
  <si>
    <t xml:space="preserve">ORD-00786</t>
  </si>
  <si>
    <t xml:space="preserve">ORD-00787</t>
  </si>
  <si>
    <t xml:space="preserve">ORD-00788</t>
  </si>
  <si>
    <t xml:space="preserve">ORD-00789</t>
  </si>
  <si>
    <t xml:space="preserve">CUST-0188</t>
  </si>
  <si>
    <t xml:space="preserve">ORD-00790</t>
  </si>
  <si>
    <t xml:space="preserve">ORD-00791</t>
  </si>
  <si>
    <t xml:space="preserve">ORD-00792</t>
  </si>
  <si>
    <t xml:space="preserve">ORD-00793</t>
  </si>
  <si>
    <t xml:space="preserve">CUST-9568</t>
  </si>
  <si>
    <t xml:space="preserve">ORD-00794</t>
  </si>
  <si>
    <t xml:space="preserve">ORD-00795</t>
  </si>
  <si>
    <t xml:space="preserve">ORD-00796</t>
  </si>
  <si>
    <t xml:space="preserve">ORD-00797</t>
  </si>
  <si>
    <t xml:space="preserve">ORD-00798</t>
  </si>
  <si>
    <t xml:space="preserve">ORD-00799</t>
  </si>
  <si>
    <t xml:space="preserve">ORD-00800</t>
  </si>
  <si>
    <t xml:space="preserve">ORD-00801</t>
  </si>
  <si>
    <t xml:space="preserve">ORD-00802</t>
  </si>
  <si>
    <t xml:space="preserve">ORD-00803</t>
  </si>
  <si>
    <t xml:space="preserve">ORD-00804</t>
  </si>
  <si>
    <t xml:space="preserve">ORD-00805</t>
  </si>
  <si>
    <t xml:space="preserve">ORD-00806</t>
  </si>
  <si>
    <t xml:space="preserve">ORD-00807</t>
  </si>
  <si>
    <t xml:space="preserve">ORD-00808</t>
  </si>
  <si>
    <t xml:space="preserve">ORD-00809</t>
  </si>
  <si>
    <t xml:space="preserve">ORD-00810</t>
  </si>
  <si>
    <t xml:space="preserve">ORD-00811</t>
  </si>
  <si>
    <t xml:space="preserve">ORD-00812</t>
  </si>
  <si>
    <t xml:space="preserve">ORD-00813</t>
  </si>
  <si>
    <t xml:space="preserve">ORD-00814</t>
  </si>
  <si>
    <t xml:space="preserve">ORD-01052</t>
  </si>
  <si>
    <t xml:space="preserve">ORD-00816</t>
  </si>
  <si>
    <t xml:space="preserve">ORD-01136</t>
  </si>
  <si>
    <t xml:space="preserve">ORD-00818</t>
  </si>
  <si>
    <t xml:space="preserve">ORD-00819</t>
  </si>
  <si>
    <t xml:space="preserve">ORD-00820</t>
  </si>
  <si>
    <t xml:space="preserve">CUST-0023</t>
  </si>
  <si>
    <t xml:space="preserve">ORD-00821</t>
  </si>
  <si>
    <t xml:space="preserve">ORD-00822</t>
  </si>
  <si>
    <t xml:space="preserve">CUST-0300</t>
  </si>
  <si>
    <t xml:space="preserve">ORD-00823</t>
  </si>
  <si>
    <t xml:space="preserve">CUST-9578</t>
  </si>
  <si>
    <t xml:space="preserve">ORD-00824</t>
  </si>
  <si>
    <t xml:space="preserve">ORD-00825</t>
  </si>
  <si>
    <t xml:space="preserve">ORD-00826</t>
  </si>
  <si>
    <t xml:space="preserve">ORD-00827</t>
  </si>
  <si>
    <t xml:space="preserve">ORD-00828</t>
  </si>
  <si>
    <t xml:space="preserve">ORD-00829</t>
  </si>
  <si>
    <t xml:space="preserve">ORD-00830</t>
  </si>
  <si>
    <t xml:space="preserve">ORD-00831</t>
  </si>
  <si>
    <t xml:space="preserve">CUST-0105</t>
  </si>
  <si>
    <t xml:space="preserve">ORD-00832</t>
  </si>
  <si>
    <t xml:space="preserve">ORD-00833</t>
  </si>
  <si>
    <t xml:space="preserve">ORD-00834</t>
  </si>
  <si>
    <t xml:space="preserve">ORD-00835</t>
  </si>
  <si>
    <t xml:space="preserve">ORD-00836</t>
  </si>
  <si>
    <t xml:space="preserve">ORD-00837</t>
  </si>
  <si>
    <t xml:space="preserve">ORD-00838</t>
  </si>
  <si>
    <t xml:space="preserve">ORD-00839</t>
  </si>
  <si>
    <t xml:space="preserve">ORD-00840</t>
  </si>
  <si>
    <t xml:space="preserve">ORD-00841</t>
  </si>
  <si>
    <t xml:space="preserve">ORD-00842</t>
  </si>
  <si>
    <t xml:space="preserve">ORD-00843</t>
  </si>
  <si>
    <t xml:space="preserve">ORD-00844</t>
  </si>
  <si>
    <t xml:space="preserve">ORD-00845</t>
  </si>
  <si>
    <t xml:space="preserve">ORD-00846</t>
  </si>
  <si>
    <t xml:space="preserve">ORD-00847</t>
  </si>
  <si>
    <t xml:space="preserve">ORD-00848</t>
  </si>
  <si>
    <t xml:space="preserve">ORD-00849</t>
  </si>
  <si>
    <t xml:space="preserve">ORD-00850</t>
  </si>
  <si>
    <t xml:space="preserve">ORD-00851</t>
  </si>
  <si>
    <t xml:space="preserve">ORD-00852</t>
  </si>
  <si>
    <t xml:space="preserve">ORD-00853</t>
  </si>
  <si>
    <t xml:space="preserve">ORD-00854</t>
  </si>
  <si>
    <t xml:space="preserve">ORD-00855</t>
  </si>
  <si>
    <t xml:space="preserve">ORD-00856</t>
  </si>
  <si>
    <t xml:space="preserve">ORD-00857</t>
  </si>
  <si>
    <t xml:space="preserve">ORD-00858</t>
  </si>
  <si>
    <t xml:space="preserve">ORD-00859</t>
  </si>
  <si>
    <t xml:space="preserve">ORD-00860</t>
  </si>
  <si>
    <t xml:space="preserve">ORD-00861</t>
  </si>
  <si>
    <t xml:space="preserve">ORD-00862</t>
  </si>
  <si>
    <t xml:space="preserve">ORD-00863</t>
  </si>
  <si>
    <t xml:space="preserve">ORD-00864</t>
  </si>
  <si>
    <t xml:space="preserve">ORD-00865</t>
  </si>
  <si>
    <t xml:space="preserve">ORD-00866</t>
  </si>
  <si>
    <t xml:space="preserve">ORD-00867</t>
  </si>
  <si>
    <t xml:space="preserve">ORD-00868</t>
  </si>
  <si>
    <t xml:space="preserve">ORD-00869</t>
  </si>
  <si>
    <t xml:space="preserve">ORD-00870</t>
  </si>
  <si>
    <t xml:space="preserve">CUST-9833</t>
  </si>
  <si>
    <t xml:space="preserve">ORD-00871</t>
  </si>
  <si>
    <t xml:space="preserve">CUST-0076</t>
  </si>
  <si>
    <t xml:space="preserve">ORD-00872</t>
  </si>
  <si>
    <t xml:space="preserve">ORD-00873</t>
  </si>
  <si>
    <t xml:space="preserve">ORD-00874</t>
  </si>
  <si>
    <t xml:space="preserve">ORD-00875</t>
  </si>
  <si>
    <t xml:space="preserve">ORD-00876</t>
  </si>
  <si>
    <t xml:space="preserve">ORD-00877</t>
  </si>
  <si>
    <t xml:space="preserve">ORD-00878</t>
  </si>
  <si>
    <t xml:space="preserve">CUST-0049</t>
  </si>
  <si>
    <t xml:space="preserve">ORD-00879</t>
  </si>
  <si>
    <t xml:space="preserve">ORD-00880</t>
  </si>
  <si>
    <t xml:space="preserve">CUST-0220</t>
  </si>
  <si>
    <t xml:space="preserve">ORD-00882</t>
  </si>
  <si>
    <t xml:space="preserve">ORD-00883</t>
  </si>
  <si>
    <t xml:space="preserve">ORD-00884</t>
  </si>
  <si>
    <t xml:space="preserve">ORD-00885</t>
  </si>
  <si>
    <t xml:space="preserve">ORD-00886</t>
  </si>
  <si>
    <t xml:space="preserve">ORD-00887</t>
  </si>
  <si>
    <t xml:space="preserve">ORD-00888</t>
  </si>
  <si>
    <t xml:space="preserve">ORD-00889</t>
  </si>
  <si>
    <t xml:space="preserve">ORD-00890</t>
  </si>
  <si>
    <t xml:space="preserve">ORD-00891</t>
  </si>
  <si>
    <t xml:space="preserve">ORD-00892</t>
  </si>
  <si>
    <t xml:space="preserve">ORD-00893</t>
  </si>
  <si>
    <t xml:space="preserve">ORD-00894</t>
  </si>
  <si>
    <t xml:space="preserve">ORD-00895</t>
  </si>
  <si>
    <t xml:space="preserve">ORD-00896</t>
  </si>
  <si>
    <t xml:space="preserve">ORD-00898</t>
  </si>
  <si>
    <t xml:space="preserve">CUST-9607</t>
  </si>
  <si>
    <t xml:space="preserve">ORD-00899</t>
  </si>
  <si>
    <t xml:space="preserve">ORD-00900</t>
  </si>
  <si>
    <t xml:space="preserve">ORD-00901</t>
  </si>
  <si>
    <t xml:space="preserve">ORD-00902</t>
  </si>
  <si>
    <t xml:space="preserve">ORD-00903</t>
  </si>
  <si>
    <t xml:space="preserve">ORD-00904</t>
  </si>
  <si>
    <t xml:space="preserve">ORD-00905</t>
  </si>
  <si>
    <t xml:space="preserve">ORD-00906</t>
  </si>
  <si>
    <t xml:space="preserve">ORD-00907</t>
  </si>
  <si>
    <t xml:space="preserve">ORD-00908</t>
  </si>
  <si>
    <t xml:space="preserve">ORD-00909</t>
  </si>
  <si>
    <t xml:space="preserve">ORD-00910</t>
  </si>
  <si>
    <t xml:space="preserve">ORD-00911</t>
  </si>
  <si>
    <t xml:space="preserve">ORD-00912</t>
  </si>
  <si>
    <t xml:space="preserve">ORD-00913</t>
  </si>
  <si>
    <t xml:space="preserve">ORD-00914</t>
  </si>
  <si>
    <t xml:space="preserve">ORD-00915</t>
  </si>
  <si>
    <t xml:space="preserve">ORD-00916</t>
  </si>
  <si>
    <t xml:space="preserve">ORD-00917</t>
  </si>
  <si>
    <t xml:space="preserve">ORD-00918</t>
  </si>
  <si>
    <t xml:space="preserve">ORD-00919</t>
  </si>
  <si>
    <t xml:space="preserve">ORD-00920</t>
  </si>
  <si>
    <t xml:space="preserve">ORD-00921</t>
  </si>
  <si>
    <t xml:space="preserve">ORD-00922</t>
  </si>
  <si>
    <t xml:space="preserve">ORD-00923</t>
  </si>
  <si>
    <t xml:space="preserve">ORD-00924</t>
  </si>
  <si>
    <t xml:space="preserve">ORD-00925</t>
  </si>
  <si>
    <t xml:space="preserve">ORD-00926</t>
  </si>
  <si>
    <t xml:space="preserve">ORD-00927</t>
  </si>
  <si>
    <t xml:space="preserve">ORD-00928</t>
  </si>
  <si>
    <t xml:space="preserve">ORD-00929</t>
  </si>
  <si>
    <t xml:space="preserve">ORD-00930</t>
  </si>
  <si>
    <t xml:space="preserve">ORD-00931</t>
  </si>
  <si>
    <t xml:space="preserve">ORD-00932</t>
  </si>
  <si>
    <t xml:space="preserve">ORD-00933</t>
  </si>
  <si>
    <t xml:space="preserve">ORD-00934</t>
  </si>
  <si>
    <t xml:space="preserve">ORD-00935</t>
  </si>
  <si>
    <t xml:space="preserve">ORD-00936</t>
  </si>
  <si>
    <t xml:space="preserve">ORD-00937</t>
  </si>
  <si>
    <t xml:space="preserve">ORD-00938</t>
  </si>
  <si>
    <t xml:space="preserve">ORD-00939</t>
  </si>
  <si>
    <t xml:space="preserve">ORD-00940</t>
  </si>
  <si>
    <t xml:space="preserve">ORD-00941</t>
  </si>
  <si>
    <t xml:space="preserve">ORD-00942</t>
  </si>
  <si>
    <t xml:space="preserve">ORD-00943</t>
  </si>
  <si>
    <t xml:space="preserve">ORD-00944</t>
  </si>
  <si>
    <t xml:space="preserve">ORD-00945</t>
  </si>
  <si>
    <t xml:space="preserve">ORD-00946</t>
  </si>
  <si>
    <t xml:space="preserve">ORD-00947</t>
  </si>
  <si>
    <t xml:space="preserve">ORD-00948</t>
  </si>
  <si>
    <t xml:space="preserve">ORD-00949</t>
  </si>
  <si>
    <t xml:space="preserve">ORD-00950</t>
  </si>
  <si>
    <t xml:space="preserve"> Delhi </t>
  </si>
  <si>
    <t xml:space="preserve">ORD-00951</t>
  </si>
  <si>
    <t xml:space="preserve">ORD-00952</t>
  </si>
  <si>
    <t xml:space="preserve">ORD-00953</t>
  </si>
  <si>
    <t xml:space="preserve">ORD-00954</t>
  </si>
  <si>
    <t xml:space="preserve">ORD-00955</t>
  </si>
  <si>
    <t xml:space="preserve">ORD-00956</t>
  </si>
  <si>
    <t xml:space="preserve">ORD-00957</t>
  </si>
  <si>
    <t xml:space="preserve">ORD-00958</t>
  </si>
  <si>
    <t xml:space="preserve">ORD-00959</t>
  </si>
  <si>
    <t xml:space="preserve">ORD-00960</t>
  </si>
  <si>
    <t xml:space="preserve">ORD-00961</t>
  </si>
  <si>
    <t xml:space="preserve">ORD-00962</t>
  </si>
  <si>
    <t xml:space="preserve">ORD-00963</t>
  </si>
  <si>
    <t xml:space="preserve">ORD-00964</t>
  </si>
  <si>
    <t xml:space="preserve">ORD-00965</t>
  </si>
  <si>
    <t xml:space="preserve">ORD-00966</t>
  </si>
  <si>
    <t xml:space="preserve">ORD-00967</t>
  </si>
  <si>
    <t xml:space="preserve">ORD-00968</t>
  </si>
  <si>
    <t xml:space="preserve">ORD-00969</t>
  </si>
  <si>
    <t xml:space="preserve">CUST-9555</t>
  </si>
  <si>
    <t xml:space="preserve">ORD-00970</t>
  </si>
  <si>
    <t xml:space="preserve">ORD-00971</t>
  </si>
  <si>
    <t xml:space="preserve">ORD-00972</t>
  </si>
  <si>
    <t xml:space="preserve">ORD-00973</t>
  </si>
  <si>
    <t xml:space="preserve">ORD-00974</t>
  </si>
  <si>
    <t xml:space="preserve">ORD-00975</t>
  </si>
  <si>
    <t xml:space="preserve">ORD-01662</t>
  </si>
  <si>
    <t xml:space="preserve">ORD-00977</t>
  </si>
  <si>
    <t xml:space="preserve">ORD-00978</t>
  </si>
  <si>
    <t xml:space="preserve">ORD-00979</t>
  </si>
  <si>
    <t xml:space="preserve">CUST-9927</t>
  </si>
  <si>
    <t xml:space="preserve">ORD-00980</t>
  </si>
  <si>
    <t xml:space="preserve">ORD-00981</t>
  </si>
  <si>
    <t xml:space="preserve">ORD-00983</t>
  </si>
  <si>
    <t xml:space="preserve">ORD-00984</t>
  </si>
  <si>
    <t xml:space="preserve">ORD-00985</t>
  </si>
  <si>
    <t xml:space="preserve">ORD-00986</t>
  </si>
  <si>
    <t xml:space="preserve">ORD-00987</t>
  </si>
  <si>
    <t xml:space="preserve">ORD-00988</t>
  </si>
  <si>
    <t xml:space="preserve">ORD-00989</t>
  </si>
  <si>
    <t xml:space="preserve">ORD-00990</t>
  </si>
  <si>
    <t xml:space="preserve">ORD-00991</t>
  </si>
  <si>
    <t xml:space="preserve">ORD-00992</t>
  </si>
  <si>
    <t xml:space="preserve">ORD-00993</t>
  </si>
  <si>
    <t xml:space="preserve">ORD-00994</t>
  </si>
  <si>
    <t xml:space="preserve">ORD-00995</t>
  </si>
  <si>
    <t xml:space="preserve">ORD-00996</t>
  </si>
  <si>
    <t xml:space="preserve">ORD-00997</t>
  </si>
  <si>
    <t xml:space="preserve">ORD-00998</t>
  </si>
  <si>
    <t xml:space="preserve">ORD-00999</t>
  </si>
  <si>
    <t xml:space="preserve">ORD-01000</t>
  </si>
  <si>
    <t xml:space="preserve">ORD-01001</t>
  </si>
  <si>
    <t xml:space="preserve">ORD-01002</t>
  </si>
  <si>
    <t xml:space="preserve">ORD-01003</t>
  </si>
  <si>
    <t xml:space="preserve">ORD-01004</t>
  </si>
  <si>
    <t xml:space="preserve">ORD-01005</t>
  </si>
  <si>
    <t xml:space="preserve">ORD-01006</t>
  </si>
  <si>
    <t xml:space="preserve">ORD-01007</t>
  </si>
  <si>
    <t xml:space="preserve">ORD-01008</t>
  </si>
  <si>
    <t xml:space="preserve">ORD-01009</t>
  </si>
  <si>
    <t xml:space="preserve">ORD-01010</t>
  </si>
  <si>
    <t xml:space="preserve">ORD-01011</t>
  </si>
  <si>
    <t xml:space="preserve">ORD-01012</t>
  </si>
  <si>
    <t xml:space="preserve">ORD-01013</t>
  </si>
  <si>
    <t xml:space="preserve">ORD-01014</t>
  </si>
  <si>
    <t xml:space="preserve">ORD-01015</t>
  </si>
  <si>
    <t xml:space="preserve">ORD-01016</t>
  </si>
  <si>
    <t xml:space="preserve">CUST-0276</t>
  </si>
  <si>
    <t xml:space="preserve">ORD-01017</t>
  </si>
  <si>
    <t xml:space="preserve">ORD-01018</t>
  </si>
  <si>
    <t xml:space="preserve">ORD-01019</t>
  </si>
  <si>
    <t xml:space="preserve">ORD-01020</t>
  </si>
  <si>
    <t xml:space="preserve">ORD-01021</t>
  </si>
  <si>
    <t xml:space="preserve">ORD-01022</t>
  </si>
  <si>
    <t xml:space="preserve">ORD-01023</t>
  </si>
  <si>
    <t xml:space="preserve">ORD-01024</t>
  </si>
  <si>
    <t xml:space="preserve">ORD-01025</t>
  </si>
  <si>
    <t xml:space="preserve">ORD-01026</t>
  </si>
  <si>
    <t xml:space="preserve">ORD-01027</t>
  </si>
  <si>
    <t xml:space="preserve">ORD-01028</t>
  </si>
  <si>
    <t xml:space="preserve">ORD-01029</t>
  </si>
  <si>
    <t xml:space="preserve">ORD-01030</t>
  </si>
  <si>
    <t xml:space="preserve">ORD-01031</t>
  </si>
  <si>
    <t xml:space="preserve">ORD-01032</t>
  </si>
  <si>
    <t xml:space="preserve">ORD-01033</t>
  </si>
  <si>
    <t xml:space="preserve">ORD-01034</t>
  </si>
  <si>
    <t xml:space="preserve">ORD-01035</t>
  </si>
  <si>
    <t xml:space="preserve">ORD-01036</t>
  </si>
  <si>
    <t xml:space="preserve">ORD-01037</t>
  </si>
  <si>
    <t xml:space="preserve">ORD-01038</t>
  </si>
  <si>
    <t xml:space="preserve">ORD-01039</t>
  </si>
  <si>
    <t xml:space="preserve">ORD-01040</t>
  </si>
  <si>
    <t xml:space="preserve">ORD-01041</t>
  </si>
  <si>
    <t xml:space="preserve">ORD-01042</t>
  </si>
  <si>
    <t xml:space="preserve">ORD-01043</t>
  </si>
  <si>
    <t xml:space="preserve">ORD-01044</t>
  </si>
  <si>
    <t xml:space="preserve">ORD-01045</t>
  </si>
  <si>
    <t xml:space="preserve">CUST-0015</t>
  </si>
  <si>
    <t xml:space="preserve">ORD-01046</t>
  </si>
  <si>
    <t xml:space="preserve">ORD-01047</t>
  </si>
  <si>
    <t xml:space="preserve">ORD-01048</t>
  </si>
  <si>
    <t xml:space="preserve">ORD-01049</t>
  </si>
  <si>
    <t xml:space="preserve">CUST-0288</t>
  </si>
  <si>
    <t xml:space="preserve">ORD-01050</t>
  </si>
  <si>
    <t xml:space="preserve">ORD-01051</t>
  </si>
  <si>
    <t xml:space="preserve">ORD-01053</t>
  </si>
  <si>
    <t xml:space="preserve">ORD-01054</t>
  </si>
  <si>
    <t xml:space="preserve">ORD-01055</t>
  </si>
  <si>
    <t xml:space="preserve">ORD-01056</t>
  </si>
  <si>
    <t xml:space="preserve">ORD-01057</t>
  </si>
  <si>
    <t xml:space="preserve">ORD-01058</t>
  </si>
  <si>
    <t xml:space="preserve">ORD-01059</t>
  </si>
  <si>
    <t xml:space="preserve">ORD-01060</t>
  </si>
  <si>
    <t xml:space="preserve">ORD-01061</t>
  </si>
  <si>
    <t xml:space="preserve">ORD-01062</t>
  </si>
  <si>
    <t xml:space="preserve">ORD-01063</t>
  </si>
  <si>
    <t xml:space="preserve">ORD-01064</t>
  </si>
  <si>
    <t xml:space="preserve">ORD-01065</t>
  </si>
  <si>
    <t xml:space="preserve">ORD-01066</t>
  </si>
  <si>
    <t xml:space="preserve">ORD-01067</t>
  </si>
  <si>
    <t xml:space="preserve">ORD-01068</t>
  </si>
  <si>
    <t xml:space="preserve">ORD-01069</t>
  </si>
  <si>
    <t xml:space="preserve">ORD-01070</t>
  </si>
  <si>
    <t xml:space="preserve">ORD-01071</t>
  </si>
  <si>
    <t xml:space="preserve">ORD-01072</t>
  </si>
  <si>
    <t xml:space="preserve">ORD-01073</t>
  </si>
  <si>
    <t xml:space="preserve">ORD-01074</t>
  </si>
  <si>
    <t xml:space="preserve">ORD-01075</t>
  </si>
  <si>
    <t xml:space="preserve">CUST-9754</t>
  </si>
  <si>
    <t xml:space="preserve">ORD-01076</t>
  </si>
  <si>
    <t xml:space="preserve">ORD-01077</t>
  </si>
  <si>
    <t xml:space="preserve">ORD-01078</t>
  </si>
  <si>
    <t xml:space="preserve">ORD-01079</t>
  </si>
  <si>
    <t xml:space="preserve">ORD-01080</t>
  </si>
  <si>
    <t xml:space="preserve">ORD-01081</t>
  </si>
  <si>
    <t xml:space="preserve">ORD-01082</t>
  </si>
  <si>
    <t xml:space="preserve">ORD-01083</t>
  </si>
  <si>
    <t xml:space="preserve">ORD-01084</t>
  </si>
  <si>
    <t xml:space="preserve">ORD-01085</t>
  </si>
  <si>
    <t xml:space="preserve">ORD-01086</t>
  </si>
  <si>
    <t xml:space="preserve">ORD-01087</t>
  </si>
  <si>
    <t xml:space="preserve">ORD-01088</t>
  </si>
  <si>
    <t xml:space="preserve">ORD-01089</t>
  </si>
  <si>
    <t xml:space="preserve">CUST-0100</t>
  </si>
  <si>
    <t xml:space="preserve">ORD-01090</t>
  </si>
  <si>
    <t xml:space="preserve">ORD-01091</t>
  </si>
  <si>
    <t xml:space="preserve">ORD-01092</t>
  </si>
  <si>
    <t xml:space="preserve">ORD-01093</t>
  </si>
  <si>
    <t xml:space="preserve">ORD-01094</t>
  </si>
  <si>
    <t xml:space="preserve">ORD-01095</t>
  </si>
  <si>
    <t xml:space="preserve">ORD-01096</t>
  </si>
  <si>
    <t xml:space="preserve">ORD-01097</t>
  </si>
  <si>
    <t xml:space="preserve">ORD-01098</t>
  </si>
  <si>
    <t xml:space="preserve">ORD-01099</t>
  </si>
  <si>
    <t xml:space="preserve">ORD-01100</t>
  </si>
  <si>
    <t xml:space="preserve">ORD-01101</t>
  </si>
  <si>
    <t xml:space="preserve">ORD-01102</t>
  </si>
  <si>
    <t xml:space="preserve">ORD-01103</t>
  </si>
  <si>
    <t xml:space="preserve">ORD-01104</t>
  </si>
  <si>
    <t xml:space="preserve">ORD-01105</t>
  </si>
  <si>
    <t xml:space="preserve">ORD-01106</t>
  </si>
  <si>
    <t xml:space="preserve">ORD-01107</t>
  </si>
  <si>
    <t xml:space="preserve">ORD-01108</t>
  </si>
  <si>
    <t xml:space="preserve">ORD-01109</t>
  </si>
  <si>
    <t xml:space="preserve">ORD-01110</t>
  </si>
  <si>
    <t xml:space="preserve">ORD-01111</t>
  </si>
  <si>
    <t xml:space="preserve">ORD-01112</t>
  </si>
  <si>
    <t xml:space="preserve">ORD-01113</t>
  </si>
  <si>
    <t xml:space="preserve">ORD-01114</t>
  </si>
  <si>
    <t xml:space="preserve">ORD-01115</t>
  </si>
  <si>
    <t xml:space="preserve">ORD-01116</t>
  </si>
  <si>
    <t xml:space="preserve">ORD-01117</t>
  </si>
  <si>
    <t xml:space="preserve">ORD-01118</t>
  </si>
  <si>
    <t xml:space="preserve">ORD-01119</t>
  </si>
  <si>
    <t xml:space="preserve">ORD-01120</t>
  </si>
  <si>
    <t xml:space="preserve">ORD-01121</t>
  </si>
  <si>
    <t xml:space="preserve">ORD-01122</t>
  </si>
  <si>
    <t xml:space="preserve">ORD-01123</t>
  </si>
  <si>
    <t xml:space="preserve">ORD-01124</t>
  </si>
  <si>
    <t xml:space="preserve">ORD-01125</t>
  </si>
  <si>
    <t xml:space="preserve">ORD-01126</t>
  </si>
  <si>
    <t xml:space="preserve">ORD-01127</t>
  </si>
  <si>
    <t xml:space="preserve">ORD-01128</t>
  </si>
  <si>
    <t xml:space="preserve">ORD-01129</t>
  </si>
  <si>
    <t xml:space="preserve">ORD-01130</t>
  </si>
  <si>
    <t xml:space="preserve">ORD-01131</t>
  </si>
  <si>
    <t xml:space="preserve">ORD-01132</t>
  </si>
  <si>
    <t xml:space="preserve">ORD-01133</t>
  </si>
  <si>
    <t xml:space="preserve">ORD-01134</t>
  </si>
  <si>
    <t xml:space="preserve">ORD-01135</t>
  </si>
  <si>
    <t xml:space="preserve">ORD-01137</t>
  </si>
  <si>
    <t xml:space="preserve">CUST-0116</t>
  </si>
  <si>
    <t xml:space="preserve">ORD-01138</t>
  </si>
  <si>
    <t xml:space="preserve">ORD-01139</t>
  </si>
  <si>
    <t xml:space="preserve">ORD-01140</t>
  </si>
  <si>
    <t xml:space="preserve">ORD-01141</t>
  </si>
  <si>
    <t xml:space="preserve">CUST-0268</t>
  </si>
  <si>
    <t xml:space="preserve">ORD-01142</t>
  </si>
  <si>
    <t xml:space="preserve">ORD-01143</t>
  </si>
  <si>
    <t xml:space="preserve">ORD-01144</t>
  </si>
  <si>
    <t xml:space="preserve">ORD-01145</t>
  </si>
  <si>
    <t xml:space="preserve">ORD-01146</t>
  </si>
  <si>
    <t xml:space="preserve">ORD-01147</t>
  </si>
  <si>
    <t xml:space="preserve">ORD-01148</t>
  </si>
  <si>
    <t xml:space="preserve">ORD-01149</t>
  </si>
  <si>
    <t xml:space="preserve">ORD-01150</t>
  </si>
  <si>
    <t xml:space="preserve">ORD-01151</t>
  </si>
  <si>
    <t xml:space="preserve">ORD-01152</t>
  </si>
  <si>
    <t xml:space="preserve">ORD-01153</t>
  </si>
  <si>
    <t xml:space="preserve">ORD-01154</t>
  </si>
  <si>
    <t xml:space="preserve">ORD-01155</t>
  </si>
  <si>
    <t xml:space="preserve">ORD-01156</t>
  </si>
  <si>
    <t xml:space="preserve">ORD-01157</t>
  </si>
  <si>
    <t xml:space="preserve">ORD-01158</t>
  </si>
  <si>
    <t xml:space="preserve">ORD-01159</t>
  </si>
  <si>
    <t xml:space="preserve">ORD-01160</t>
  </si>
  <si>
    <t xml:space="preserve">ORD-01161</t>
  </si>
  <si>
    <t xml:space="preserve">ORD-01162</t>
  </si>
  <si>
    <t xml:space="preserve">ORD-01163</t>
  </si>
  <si>
    <t xml:space="preserve">ORD-01164</t>
  </si>
  <si>
    <t xml:space="preserve">ORD-01165</t>
  </si>
  <si>
    <t xml:space="preserve">ORD-01166</t>
  </si>
  <si>
    <t xml:space="preserve">ORD-01167</t>
  </si>
  <si>
    <t xml:space="preserve">ORD-01168</t>
  </si>
  <si>
    <t xml:space="preserve">ORD-01169</t>
  </si>
  <si>
    <t xml:space="preserve">ORD-01170</t>
  </si>
  <si>
    <t xml:space="preserve">ORD-01171</t>
  </si>
  <si>
    <t xml:space="preserve">ORD-01172</t>
  </si>
  <si>
    <t xml:space="preserve">ORD-01173</t>
  </si>
  <si>
    <t xml:space="preserve">ORD-01174</t>
  </si>
  <si>
    <t xml:space="preserve">ORD-01175</t>
  </si>
  <si>
    <t xml:space="preserve">ORD-01176</t>
  </si>
  <si>
    <t xml:space="preserve">CUST-0014</t>
  </si>
  <si>
    <t xml:space="preserve">ORD-01177</t>
  </si>
  <si>
    <t xml:space="preserve">ORD-01178</t>
  </si>
  <si>
    <t xml:space="preserve">ORD-01179</t>
  </si>
  <si>
    <t xml:space="preserve">ORD-01180</t>
  </si>
  <si>
    <t xml:space="preserve">ORD-01181</t>
  </si>
  <si>
    <t xml:space="preserve">ORD-01182</t>
  </si>
  <si>
    <t xml:space="preserve">ORD-01183</t>
  </si>
  <si>
    <t xml:space="preserve">ORD-01184</t>
  </si>
  <si>
    <t xml:space="preserve">ORD-01186</t>
  </si>
  <si>
    <t xml:space="preserve">ORD-01187</t>
  </si>
  <si>
    <t xml:space="preserve">ORD-01188</t>
  </si>
  <si>
    <t xml:space="preserve">ORD-01189</t>
  </si>
  <si>
    <t xml:space="preserve">ORD-01190</t>
  </si>
  <si>
    <t xml:space="preserve">ORD-01191</t>
  </si>
  <si>
    <t xml:space="preserve">ORD-01192</t>
  </si>
  <si>
    <t xml:space="preserve">ORD-01193</t>
  </si>
  <si>
    <t xml:space="preserve">ORD-01194</t>
  </si>
  <si>
    <t xml:space="preserve">ORD-01196</t>
  </si>
  <si>
    <t xml:space="preserve">ORD-01197</t>
  </si>
  <si>
    <t xml:space="preserve">ORD-01198</t>
  </si>
  <si>
    <t xml:space="preserve">ORD-01199</t>
  </si>
  <si>
    <t xml:space="preserve">ORD-01200</t>
  </si>
  <si>
    <t xml:space="preserve">ORD-01201</t>
  </si>
  <si>
    <t xml:space="preserve">ORD-01202</t>
  </si>
  <si>
    <t xml:space="preserve">ORD-01203</t>
  </si>
  <si>
    <t xml:space="preserve">ORD-01204</t>
  </si>
  <si>
    <t xml:space="preserve">ORD-01205</t>
  </si>
  <si>
    <t xml:space="preserve">ORD-01206</t>
  </si>
  <si>
    <t xml:space="preserve">ORD-01207</t>
  </si>
  <si>
    <t xml:space="preserve">ORD-01208</t>
  </si>
  <si>
    <t xml:space="preserve">ORD-01209</t>
  </si>
  <si>
    <t xml:space="preserve">ORD-01210</t>
  </si>
  <si>
    <t xml:space="preserve">ORD-01211</t>
  </si>
  <si>
    <t xml:space="preserve">ORD-01212</t>
  </si>
  <si>
    <t xml:space="preserve">ORD-01213</t>
  </si>
  <si>
    <t xml:space="preserve">ORD-01214</t>
  </si>
  <si>
    <t xml:space="preserve">ORD-01215</t>
  </si>
  <si>
    <t xml:space="preserve">ORD-01216</t>
  </si>
  <si>
    <t xml:space="preserve">ORD-01217</t>
  </si>
  <si>
    <t xml:space="preserve">ORD-01218</t>
  </si>
  <si>
    <t xml:space="preserve">ORD-01219</t>
  </si>
  <si>
    <t xml:space="preserve">ORD-01220</t>
  </si>
  <si>
    <t xml:space="preserve">ORD-01221</t>
  </si>
  <si>
    <t xml:space="preserve">ORD-01222</t>
  </si>
  <si>
    <t xml:space="preserve">ORD-01223</t>
  </si>
  <si>
    <t xml:space="preserve">ORD-01224</t>
  </si>
  <si>
    <t xml:space="preserve">ORD-01225</t>
  </si>
  <si>
    <t xml:space="preserve">ORD-01226</t>
  </si>
  <si>
    <t xml:space="preserve">ORD-01227</t>
  </si>
  <si>
    <t xml:space="preserve">ORD-01228</t>
  </si>
  <si>
    <t xml:space="preserve">ORD-01229</t>
  </si>
  <si>
    <t xml:space="preserve">ORD-01230</t>
  </si>
  <si>
    <t xml:space="preserve">ORD-01231</t>
  </si>
  <si>
    <t xml:space="preserve">ORD-01232</t>
  </si>
  <si>
    <t xml:space="preserve">ORD-01233</t>
  </si>
  <si>
    <t xml:space="preserve">ORD-01234</t>
  </si>
  <si>
    <t xml:space="preserve">ORD-01235</t>
  </si>
  <si>
    <t xml:space="preserve">ORD-01236</t>
  </si>
  <si>
    <t xml:space="preserve">ORD-01237</t>
  </si>
  <si>
    <t xml:space="preserve">CUST-0099</t>
  </si>
  <si>
    <t xml:space="preserve">ORD-01239</t>
  </si>
  <si>
    <t xml:space="preserve">ORD-01240</t>
  </si>
  <si>
    <t xml:space="preserve">ORD-01241</t>
  </si>
  <si>
    <t xml:space="preserve">ORD-01365</t>
  </si>
  <si>
    <t xml:space="preserve">ORD-01243</t>
  </si>
  <si>
    <t xml:space="preserve">ORD-01244</t>
  </si>
  <si>
    <t xml:space="preserve">ORD-01245</t>
  </si>
  <si>
    <t xml:space="preserve">ORD-01246</t>
  </si>
  <si>
    <t xml:space="preserve">ORD-01247</t>
  </si>
  <si>
    <t xml:space="preserve">ORD-01248</t>
  </si>
  <si>
    <t xml:space="preserve">ORD-01249</t>
  </si>
  <si>
    <t xml:space="preserve">ORD-01250</t>
  </si>
  <si>
    <t xml:space="preserve">ORD-01251</t>
  </si>
  <si>
    <t xml:space="preserve">ORD-01252</t>
  </si>
  <si>
    <t xml:space="preserve">ORD-01253</t>
  </si>
  <si>
    <t xml:space="preserve">ORD-01254</t>
  </si>
  <si>
    <t xml:space="preserve">ORD-01255</t>
  </si>
  <si>
    <t xml:space="preserve">ORD-01256</t>
  </si>
  <si>
    <t xml:space="preserve">ORD-01257</t>
  </si>
  <si>
    <t xml:space="preserve">ORD-01258</t>
  </si>
  <si>
    <t xml:space="preserve">ORD-01259</t>
  </si>
  <si>
    <t xml:space="preserve">ORD-01260</t>
  </si>
  <si>
    <t xml:space="preserve">ORD-01261</t>
  </si>
  <si>
    <t xml:space="preserve">ORD-01262</t>
  </si>
  <si>
    <t xml:space="preserve">ORD-01263</t>
  </si>
  <si>
    <t xml:space="preserve">ORD-01264</t>
  </si>
  <si>
    <t xml:space="preserve">ORD-01265</t>
  </si>
  <si>
    <t xml:space="preserve">ORD-01266</t>
  </si>
  <si>
    <t xml:space="preserve">ORD-01267</t>
  </si>
  <si>
    <t xml:space="preserve">CUST-9684</t>
  </si>
  <si>
    <t xml:space="preserve">ORD-01268</t>
  </si>
  <si>
    <t xml:space="preserve">ORD-01269</t>
  </si>
  <si>
    <t xml:space="preserve">ORD-01270</t>
  </si>
  <si>
    <t xml:space="preserve">ORD-01271</t>
  </si>
  <si>
    <t xml:space="preserve">ORD-01272</t>
  </si>
  <si>
    <t xml:space="preserve">ORD-01273</t>
  </si>
  <si>
    <t xml:space="preserve">ORD-01274</t>
  </si>
  <si>
    <t xml:space="preserve">ORD-01275</t>
  </si>
  <si>
    <t xml:space="preserve">ORD-01276</t>
  </si>
  <si>
    <t xml:space="preserve">ORD-01277</t>
  </si>
  <si>
    <t xml:space="preserve">ORD-01278</t>
  </si>
  <si>
    <t xml:space="preserve">ORD-01279</t>
  </si>
  <si>
    <t xml:space="preserve">ORD-01280</t>
  </si>
  <si>
    <t xml:space="preserve">ORD-01281</t>
  </si>
  <si>
    <t xml:space="preserve">ORD-01282</t>
  </si>
  <si>
    <t xml:space="preserve">ORD-01283</t>
  </si>
  <si>
    <t xml:space="preserve">ORD-01284</t>
  </si>
  <si>
    <t xml:space="preserve">ORD-01285</t>
  </si>
  <si>
    <t xml:space="preserve">ORD-01286</t>
  </si>
  <si>
    <t xml:space="preserve">ORD-01287</t>
  </si>
  <si>
    <t xml:space="preserve">ORD-01288</t>
  </si>
  <si>
    <t xml:space="preserve">ORD-01289</t>
  </si>
  <si>
    <t xml:space="preserve">ORD-01290</t>
  </si>
  <si>
    <t xml:space="preserve">ORD-01291</t>
  </si>
  <si>
    <t xml:space="preserve">ORD-01292</t>
  </si>
  <si>
    <t xml:space="preserve">ORD-01293</t>
  </si>
  <si>
    <t xml:space="preserve">ORD-01294</t>
  </si>
  <si>
    <t xml:space="preserve">ORD-01295</t>
  </si>
  <si>
    <t xml:space="preserve">ORD-01296</t>
  </si>
  <si>
    <t xml:space="preserve">ORD-01297</t>
  </si>
  <si>
    <t xml:space="preserve">ORD-01298</t>
  </si>
  <si>
    <t xml:space="preserve">ORD-01299</t>
  </si>
  <si>
    <t xml:space="preserve">ORD-01300</t>
  </si>
  <si>
    <t xml:space="preserve">ORD-01301</t>
  </si>
  <si>
    <t xml:space="preserve">ORD-01302</t>
  </si>
  <si>
    <t xml:space="preserve">ORD-01303</t>
  </si>
  <si>
    <t xml:space="preserve">ORD-01304</t>
  </si>
  <si>
    <t xml:space="preserve">ORD-01305</t>
  </si>
  <si>
    <t xml:space="preserve">ORD-01306</t>
  </si>
  <si>
    <t xml:space="preserve">ORD-01307</t>
  </si>
  <si>
    <t xml:space="preserve">ORD-01308</t>
  </si>
  <si>
    <t xml:space="preserve">ORD-01309</t>
  </si>
  <si>
    <t xml:space="preserve">ORD-01310</t>
  </si>
  <si>
    <t xml:space="preserve">ORD-01311</t>
  </si>
  <si>
    <t xml:space="preserve">ORD-01312</t>
  </si>
  <si>
    <t xml:space="preserve">ORD-01313</t>
  </si>
  <si>
    <t xml:space="preserve">ORD-01314</t>
  </si>
  <si>
    <t xml:space="preserve">ORD-01315</t>
  </si>
  <si>
    <t xml:space="preserve">ORD-01316</t>
  </si>
  <si>
    <t xml:space="preserve">ORD-01317</t>
  </si>
  <si>
    <t xml:space="preserve">ORD-01318</t>
  </si>
  <si>
    <t xml:space="preserve">ORD-01319</t>
  </si>
  <si>
    <t xml:space="preserve">ORD-01320</t>
  </si>
  <si>
    <t xml:space="preserve">ORD-01321</t>
  </si>
  <si>
    <t xml:space="preserve">ORD-01322</t>
  </si>
  <si>
    <t xml:space="preserve">ORD-01323</t>
  </si>
  <si>
    <t xml:space="preserve">ORD-01324</t>
  </si>
  <si>
    <t xml:space="preserve">ORD-01325</t>
  </si>
  <si>
    <t xml:space="preserve">ORD-01326</t>
  </si>
  <si>
    <t xml:space="preserve">ORD-01327</t>
  </si>
  <si>
    <t xml:space="preserve">ORD-01328</t>
  </si>
  <si>
    <t xml:space="preserve">CUST-0286</t>
  </si>
  <si>
    <t xml:space="preserve">ORD-01329</t>
  </si>
  <si>
    <t xml:space="preserve">ORD-01330</t>
  </si>
  <si>
    <t xml:space="preserve">ORD-01331</t>
  </si>
  <si>
    <t xml:space="preserve">ORD-01332</t>
  </si>
  <si>
    <t xml:space="preserve">HYDERABAD</t>
  </si>
  <si>
    <t xml:space="preserve">ORD-01333</t>
  </si>
  <si>
    <t xml:space="preserve">ORD-01334</t>
  </si>
  <si>
    <t xml:space="preserve">ORD-01335</t>
  </si>
  <si>
    <t xml:space="preserve">ORD-01336</t>
  </si>
  <si>
    <t xml:space="preserve">ORD-01337</t>
  </si>
  <si>
    <t xml:space="preserve">ORD-01338</t>
  </si>
  <si>
    <t xml:space="preserve">CUST-9595</t>
  </si>
  <si>
    <t xml:space="preserve">ORD-01339</t>
  </si>
  <si>
    <t xml:space="preserve">ORD-01340</t>
  </si>
  <si>
    <t xml:space="preserve">ORD-01341</t>
  </si>
  <si>
    <t xml:space="preserve">ORD-01342</t>
  </si>
  <si>
    <t xml:space="preserve">ORD-01343</t>
  </si>
  <si>
    <t xml:space="preserve">ORD-01344</t>
  </si>
  <si>
    <t xml:space="preserve">ORD-01345</t>
  </si>
  <si>
    <t xml:space="preserve">ORD-01346</t>
  </si>
  <si>
    <t xml:space="preserve">ORD-01347</t>
  </si>
  <si>
    <t xml:space="preserve">ORD-01348</t>
  </si>
  <si>
    <t xml:space="preserve">ORD-01349</t>
  </si>
  <si>
    <t xml:space="preserve">ORD-01350</t>
  </si>
  <si>
    <t xml:space="preserve">ORD-01351</t>
  </si>
  <si>
    <t xml:space="preserve">ORD-01352</t>
  </si>
  <si>
    <t xml:space="preserve">ORD-01353</t>
  </si>
  <si>
    <t xml:space="preserve">ORD-01354</t>
  </si>
  <si>
    <t xml:space="preserve">ORD-01355</t>
  </si>
  <si>
    <t xml:space="preserve">ORD-01356</t>
  </si>
  <si>
    <t xml:space="preserve">ORD-01357</t>
  </si>
  <si>
    <t xml:space="preserve">ORD-01358</t>
  </si>
  <si>
    <t xml:space="preserve">ORD-01359</t>
  </si>
  <si>
    <t xml:space="preserve">ORD-01360</t>
  </si>
  <si>
    <t xml:space="preserve">ORD-01361</t>
  </si>
  <si>
    <t xml:space="preserve">ORD-01362</t>
  </si>
  <si>
    <t xml:space="preserve">ORD-01363</t>
  </si>
  <si>
    <t xml:space="preserve">ORD-01364</t>
  </si>
  <si>
    <t xml:space="preserve">ORD-01366</t>
  </si>
  <si>
    <t xml:space="preserve">ORD-01367</t>
  </si>
  <si>
    <t xml:space="preserve">ORD-01368</t>
  </si>
  <si>
    <t xml:space="preserve">ORD-01369</t>
  </si>
  <si>
    <t xml:space="preserve">ORD-01370</t>
  </si>
  <si>
    <t xml:space="preserve">ORD-01371</t>
  </si>
  <si>
    <t xml:space="preserve">ORD-01372</t>
  </si>
  <si>
    <t xml:space="preserve">ORD-01373</t>
  </si>
  <si>
    <t xml:space="preserve">ORD-01374</t>
  </si>
  <si>
    <t xml:space="preserve">ORD-01375</t>
  </si>
  <si>
    <t xml:space="preserve">ORD-01376</t>
  </si>
  <si>
    <t xml:space="preserve">ORD-01377</t>
  </si>
  <si>
    <t xml:space="preserve">ORD-01378</t>
  </si>
  <si>
    <t xml:space="preserve">ORD-01379</t>
  </si>
  <si>
    <t xml:space="preserve">ORD-01380</t>
  </si>
  <si>
    <t xml:space="preserve">ORD-01381</t>
  </si>
  <si>
    <t xml:space="preserve">ORD-01382</t>
  </si>
  <si>
    <t xml:space="preserve">ORD-01383</t>
  </si>
  <si>
    <t xml:space="preserve">ORD-01384</t>
  </si>
  <si>
    <t xml:space="preserve">ORD-01385</t>
  </si>
  <si>
    <t xml:space="preserve">CUST-0029</t>
  </si>
  <si>
    <t xml:space="preserve">ORD-01386</t>
  </si>
  <si>
    <t xml:space="preserve">ORD-01388</t>
  </si>
  <si>
    <t xml:space="preserve">ORD-01389</t>
  </si>
  <si>
    <t xml:space="preserve">ORD-01390</t>
  </si>
  <si>
    <t xml:space="preserve">ORD-01391</t>
  </si>
  <si>
    <t xml:space="preserve">ORD-01392</t>
  </si>
  <si>
    <t xml:space="preserve">ORD-01393</t>
  </si>
  <si>
    <t xml:space="preserve">ORD-01394</t>
  </si>
  <si>
    <t xml:space="preserve">ORD-01395</t>
  </si>
  <si>
    <t xml:space="preserve">ORD-01396</t>
  </si>
  <si>
    <t xml:space="preserve">ORD-01397</t>
  </si>
  <si>
    <t xml:space="preserve">ORD-01398</t>
  </si>
  <si>
    <t xml:space="preserve">ORD-01399</t>
  </si>
  <si>
    <t xml:space="preserve">ORD-01400</t>
  </si>
  <si>
    <t xml:space="preserve">CUST-0207</t>
  </si>
  <si>
    <t xml:space="preserve">ORD-01401</t>
  </si>
  <si>
    <t xml:space="preserve">ORD-01402</t>
  </si>
  <si>
    <t xml:space="preserve">ORD-01403</t>
  </si>
  <si>
    <t xml:space="preserve">ORD-01404</t>
  </si>
  <si>
    <t xml:space="preserve">ORD-01405</t>
  </si>
  <si>
    <t xml:space="preserve">ORD-01406</t>
  </si>
  <si>
    <t xml:space="preserve">ORD-01407</t>
  </si>
  <si>
    <t xml:space="preserve">ORD-01408</t>
  </si>
  <si>
    <t xml:space="preserve">ORD-01409</t>
  </si>
  <si>
    <t xml:space="preserve">ORD-01410</t>
  </si>
  <si>
    <t xml:space="preserve">ORD-01411</t>
  </si>
  <si>
    <t xml:space="preserve">ORD-01412</t>
  </si>
  <si>
    <t xml:space="preserve">ORD-01413</t>
  </si>
  <si>
    <t xml:space="preserve">ORD-01414</t>
  </si>
  <si>
    <t xml:space="preserve">ORD-01415</t>
  </si>
  <si>
    <t xml:space="preserve">ORD-01416</t>
  </si>
  <si>
    <t xml:space="preserve">ORD-01417</t>
  </si>
  <si>
    <t xml:space="preserve">ORD-01418</t>
  </si>
  <si>
    <t xml:space="preserve">ORD-01419</t>
  </si>
  <si>
    <t xml:space="preserve">ORD-01420</t>
  </si>
  <si>
    <t xml:space="preserve">ORD-01421</t>
  </si>
  <si>
    <t xml:space="preserve">ORD-01422</t>
  </si>
  <si>
    <t xml:space="preserve">ORD-01423</t>
  </si>
  <si>
    <t xml:space="preserve">ORD-01424</t>
  </si>
  <si>
    <t xml:space="preserve">ORD-01425</t>
  </si>
  <si>
    <t xml:space="preserve">ORD-01426</t>
  </si>
  <si>
    <t xml:space="preserve">ORD-01427</t>
  </si>
  <si>
    <t xml:space="preserve">ORD-01428</t>
  </si>
  <si>
    <t xml:space="preserve">ORD-01429</t>
  </si>
  <si>
    <t xml:space="preserve">ORD-01430</t>
  </si>
  <si>
    <t xml:space="preserve">ORD-01431</t>
  </si>
  <si>
    <t xml:space="preserve">ORD-01432</t>
  </si>
  <si>
    <t xml:space="preserve">ORD-01433</t>
  </si>
  <si>
    <t xml:space="preserve">ORD-01434</t>
  </si>
  <si>
    <t xml:space="preserve">CUST-9889</t>
  </si>
  <si>
    <t xml:space="preserve">ORD-01435</t>
  </si>
  <si>
    <t xml:space="preserve">ORD-01436</t>
  </si>
  <si>
    <t xml:space="preserve">ORD-01437</t>
  </si>
  <si>
    <t xml:space="preserve">ORD-01438</t>
  </si>
  <si>
    <t xml:space="preserve">ORD-01439</t>
  </si>
  <si>
    <t xml:space="preserve">ORD-01440</t>
  </si>
  <si>
    <t xml:space="preserve">ORD-01441</t>
  </si>
  <si>
    <t xml:space="preserve">ORD-01442</t>
  </si>
  <si>
    <t xml:space="preserve">ORD-01443</t>
  </si>
  <si>
    <t xml:space="preserve">ORD-01444</t>
  </si>
  <si>
    <t xml:space="preserve">ORD-01446</t>
  </si>
  <si>
    <t xml:space="preserve">ORD-01447</t>
  </si>
  <si>
    <t xml:space="preserve">ORD-01448</t>
  </si>
  <si>
    <t xml:space="preserve">ORD-01449</t>
  </si>
  <si>
    <t xml:space="preserve">ORD-01450</t>
  </si>
  <si>
    <t xml:space="preserve">ORD-01451</t>
  </si>
  <si>
    <t xml:space="preserve">ORD-01452</t>
  </si>
  <si>
    <t xml:space="preserve">ORD-01453</t>
  </si>
  <si>
    <t xml:space="preserve">ORD-01454</t>
  </si>
  <si>
    <t xml:space="preserve">ORD-01455</t>
  </si>
  <si>
    <t xml:space="preserve">ORD-01456</t>
  </si>
  <si>
    <t xml:space="preserve">ORD-01457</t>
  </si>
  <si>
    <t xml:space="preserve">ORD-01458</t>
  </si>
  <si>
    <t xml:space="preserve">ORD-01459</t>
  </si>
  <si>
    <t xml:space="preserve">ORD-01460</t>
  </si>
  <si>
    <t xml:space="preserve">ORD-01461</t>
  </si>
  <si>
    <t xml:space="preserve">ORD-01462</t>
  </si>
  <si>
    <t xml:space="preserve">ORD-01463</t>
  </si>
  <si>
    <t xml:space="preserve">ORD-01464</t>
  </si>
  <si>
    <t xml:space="preserve">ORD-01465</t>
  </si>
  <si>
    <t xml:space="preserve">CUST-9851</t>
  </si>
  <si>
    <t xml:space="preserve">ORD-01466</t>
  </si>
  <si>
    <t xml:space="preserve">ORD-01467</t>
  </si>
  <si>
    <t xml:space="preserve">ORD-01468</t>
  </si>
  <si>
    <t xml:space="preserve">ORD-01469</t>
  </si>
  <si>
    <t xml:space="preserve">ORD-01470</t>
  </si>
  <si>
    <t xml:space="preserve">ORD-01471</t>
  </si>
  <si>
    <t xml:space="preserve">ORD-01472</t>
  </si>
  <si>
    <t xml:space="preserve">ORD-01473</t>
  </si>
  <si>
    <t xml:space="preserve">ORD-01474</t>
  </si>
  <si>
    <t xml:space="preserve">ORD-01475</t>
  </si>
  <si>
    <t xml:space="preserve">ORD-01476</t>
  </si>
  <si>
    <t xml:space="preserve">ORD-01477</t>
  </si>
  <si>
    <t xml:space="preserve">ORD-01478</t>
  </si>
  <si>
    <t xml:space="preserve">ORD-01479</t>
  </si>
  <si>
    <t xml:space="preserve">ORD-01480</t>
  </si>
  <si>
    <t xml:space="preserve">ORD-01481</t>
  </si>
  <si>
    <t xml:space="preserve">ORD-01482</t>
  </si>
  <si>
    <t xml:space="preserve">ORD-01483</t>
  </si>
  <si>
    <t xml:space="preserve">ORD-01484</t>
  </si>
  <si>
    <t xml:space="preserve">CUST-9844</t>
  </si>
  <si>
    <t xml:space="preserve">ORD-01485</t>
  </si>
  <si>
    <t xml:space="preserve">ORD-01486</t>
  </si>
  <si>
    <t xml:space="preserve">ORD-01487</t>
  </si>
  <si>
    <t xml:space="preserve">ORD-01488</t>
  </si>
  <si>
    <t xml:space="preserve">ORD-01489</t>
  </si>
  <si>
    <t xml:space="preserve">ORD-01490</t>
  </si>
  <si>
    <t xml:space="preserve">ORD-01491</t>
  </si>
  <si>
    <t xml:space="preserve">ORD-01492</t>
  </si>
  <si>
    <t xml:space="preserve">ORD-01493</t>
  </si>
  <si>
    <t xml:space="preserve">ORD-01494</t>
  </si>
  <si>
    <t xml:space="preserve">ORD-01495</t>
  </si>
  <si>
    <t xml:space="preserve">ORD-01496</t>
  </si>
  <si>
    <t xml:space="preserve">ORD-01497</t>
  </si>
  <si>
    <t xml:space="preserve">ORD-01498</t>
  </si>
  <si>
    <t xml:space="preserve">ORD-01499</t>
  </si>
  <si>
    <t xml:space="preserve">ORD-01500</t>
  </si>
  <si>
    <t xml:space="preserve">ORD-01501</t>
  </si>
  <si>
    <t xml:space="preserve">ORD-01502</t>
  </si>
  <si>
    <t xml:space="preserve">ORD-01503</t>
  </si>
  <si>
    <t xml:space="preserve">ORD-01504</t>
  </si>
  <si>
    <t xml:space="preserve">ORD-01505</t>
  </si>
  <si>
    <t xml:space="preserve">ORD-01506</t>
  </si>
  <si>
    <t xml:space="preserve">ORD-01507</t>
  </si>
  <si>
    <t xml:space="preserve">ORD-01508</t>
  </si>
  <si>
    <t xml:space="preserve">ORD-01509</t>
  </si>
  <si>
    <t xml:space="preserve">ORD-01510</t>
  </si>
  <si>
    <t xml:space="preserve">ORD-01511</t>
  </si>
  <si>
    <t xml:space="preserve">CUST-9582</t>
  </si>
  <si>
    <t xml:space="preserve">ORD-01512</t>
  </si>
  <si>
    <t xml:space="preserve">ORD-01513</t>
  </si>
  <si>
    <t xml:space="preserve">CUST-9565</t>
  </si>
  <si>
    <t xml:space="preserve">ORD-01514</t>
  </si>
  <si>
    <t xml:space="preserve">ORD-01515</t>
  </si>
  <si>
    <t xml:space="preserve">ORD-01516</t>
  </si>
  <si>
    <t xml:space="preserve">ORD-01517</t>
  </si>
  <si>
    <t xml:space="preserve">ORD-01518</t>
  </si>
  <si>
    <t xml:space="preserve">ORD-01519</t>
  </si>
  <si>
    <t xml:space="preserve">ORD-01520</t>
  </si>
  <si>
    <t xml:space="preserve">ORD-01521</t>
  </si>
  <si>
    <t xml:space="preserve">ORD-01522</t>
  </si>
  <si>
    <t xml:space="preserve">ORD-01523</t>
  </si>
  <si>
    <t xml:space="preserve">ORD-01524</t>
  </si>
  <si>
    <t xml:space="preserve">ORD-01525</t>
  </si>
  <si>
    <t xml:space="preserve">ORD-01526</t>
  </si>
  <si>
    <t xml:space="preserve">ORD-01527</t>
  </si>
  <si>
    <t xml:space="preserve">ORD-01528</t>
  </si>
  <si>
    <t xml:space="preserve">ORD-01529</t>
  </si>
  <si>
    <t xml:space="preserve">ORD-01530</t>
  </si>
  <si>
    <t xml:space="preserve">ORD-01821</t>
  </si>
  <si>
    <t xml:space="preserve">ORD-01532</t>
  </si>
  <si>
    <t xml:space="preserve">ORD-01533</t>
  </si>
  <si>
    <t xml:space="preserve">ORD-01534</t>
  </si>
  <si>
    <t xml:space="preserve">ORD-01535</t>
  </si>
  <si>
    <t xml:space="preserve">ORD-01536</t>
  </si>
  <si>
    <t xml:space="preserve">ORD-01537</t>
  </si>
  <si>
    <t xml:space="preserve">ORD-01538</t>
  </si>
  <si>
    <t xml:space="preserve">ORD-01539</t>
  </si>
  <si>
    <t xml:space="preserve">ORD-01540</t>
  </si>
  <si>
    <t xml:space="preserve">ORD-01541</t>
  </si>
  <si>
    <t xml:space="preserve">ORD-01542</t>
  </si>
  <si>
    <t xml:space="preserve">ORD-01543</t>
  </si>
  <si>
    <t xml:space="preserve">ORD-01544</t>
  </si>
  <si>
    <t xml:space="preserve">ORD-01545</t>
  </si>
  <si>
    <t xml:space="preserve">ORD-01546</t>
  </si>
  <si>
    <t xml:space="preserve">ORD-01547</t>
  </si>
  <si>
    <t xml:space="preserve">ORD-01548</t>
  </si>
  <si>
    <t xml:space="preserve">ORD-01549</t>
  </si>
  <si>
    <t xml:space="preserve">ORD-01550</t>
  </si>
  <si>
    <t xml:space="preserve">ORD-01551</t>
  </si>
  <si>
    <t xml:space="preserve">ORD-01552</t>
  </si>
  <si>
    <t xml:space="preserve">ORD-01553</t>
  </si>
  <si>
    <t xml:space="preserve">ORD-01554</t>
  </si>
  <si>
    <t xml:space="preserve">ORD-01555</t>
  </si>
  <si>
    <t xml:space="preserve">CUST-9841</t>
  </si>
  <si>
    <t xml:space="preserve">ORD-01556</t>
  </si>
  <si>
    <t xml:space="preserve">ORD-01557</t>
  </si>
  <si>
    <t xml:space="preserve">CUST-0140</t>
  </si>
  <si>
    <t xml:space="preserve">ORD-01558</t>
  </si>
  <si>
    <t xml:space="preserve">ORD-01559</t>
  </si>
  <si>
    <t xml:space="preserve">ORD-01560</t>
  </si>
  <si>
    <t xml:space="preserve">ORD-01561</t>
  </si>
  <si>
    <t xml:space="preserve">ORD-01562</t>
  </si>
  <si>
    <t xml:space="preserve">ORD-01563</t>
  </si>
  <si>
    <t xml:space="preserve">ORD-01564</t>
  </si>
  <si>
    <t xml:space="preserve">ORD-01565</t>
  </si>
  <si>
    <t xml:space="preserve">ORD-01566</t>
  </si>
  <si>
    <t xml:space="preserve">ORD-01567</t>
  </si>
  <si>
    <t xml:space="preserve">ORD-01568</t>
  </si>
  <si>
    <t xml:space="preserve">ORD-01569</t>
  </si>
  <si>
    <t xml:space="preserve">ORD-01570</t>
  </si>
  <si>
    <t xml:space="preserve">ORD-01571</t>
  </si>
  <si>
    <t xml:space="preserve">ORD-01572</t>
  </si>
  <si>
    <t xml:space="preserve">ORD-01573</t>
  </si>
  <si>
    <t xml:space="preserve">ORD-01574</t>
  </si>
  <si>
    <t xml:space="preserve">ORD-01575</t>
  </si>
  <si>
    <t xml:space="preserve">ORD-01576</t>
  </si>
  <si>
    <t xml:space="preserve">ORD-01577</t>
  </si>
  <si>
    <t xml:space="preserve">ORD-01578</t>
  </si>
  <si>
    <t xml:space="preserve">ORD-01579</t>
  </si>
  <si>
    <t xml:space="preserve">ORD-01580</t>
  </si>
  <si>
    <t xml:space="preserve">ORD-01581</t>
  </si>
  <si>
    <t xml:space="preserve">ORD-01582</t>
  </si>
  <si>
    <t xml:space="preserve">ORD-01583</t>
  </si>
  <si>
    <t xml:space="preserve">ORD-01584</t>
  </si>
  <si>
    <t xml:space="preserve">ORD-01585</t>
  </si>
  <si>
    <t xml:space="preserve">ORD-01586</t>
  </si>
  <si>
    <t xml:space="preserve">ORD-01587</t>
  </si>
  <si>
    <t xml:space="preserve">ORD-01588</t>
  </si>
  <si>
    <t xml:space="preserve">ORD-01589</t>
  </si>
  <si>
    <t xml:space="preserve">ORD-01590</t>
  </si>
  <si>
    <t xml:space="preserve">ORD-01591</t>
  </si>
  <si>
    <t xml:space="preserve">ORD-01592</t>
  </si>
  <si>
    <t xml:space="preserve">ORD-01593</t>
  </si>
  <si>
    <t xml:space="preserve">ORD-01594</t>
  </si>
  <si>
    <t xml:space="preserve">ORD-01595</t>
  </si>
  <si>
    <t xml:space="preserve">CHENNAI</t>
  </si>
  <si>
    <t xml:space="preserve">ORD-01596</t>
  </si>
  <si>
    <t xml:space="preserve">ORD-01597</t>
  </si>
  <si>
    <t xml:space="preserve">ORD-01598</t>
  </si>
  <si>
    <t xml:space="preserve">ORD-01599</t>
  </si>
  <si>
    <t xml:space="preserve">ORD-01600</t>
  </si>
  <si>
    <t xml:space="preserve">ORD-01601</t>
  </si>
  <si>
    <t xml:space="preserve">ORD-01602</t>
  </si>
  <si>
    <t xml:space="preserve">ORD-01603</t>
  </si>
  <si>
    <t xml:space="preserve">ORD-01604</t>
  </si>
  <si>
    <t xml:space="preserve">ORD-01605</t>
  </si>
  <si>
    <t xml:space="preserve">ORD-01606</t>
  </si>
  <si>
    <t xml:space="preserve">ORD-01607</t>
  </si>
  <si>
    <t xml:space="preserve">ORD-01608</t>
  </si>
  <si>
    <t xml:space="preserve">ORD-01609</t>
  </si>
  <si>
    <t xml:space="preserve">ORD-01610</t>
  </si>
  <si>
    <t xml:space="preserve">ORD-01611</t>
  </si>
  <si>
    <t xml:space="preserve">ORD-01612</t>
  </si>
  <si>
    <t xml:space="preserve">ORD-01613</t>
  </si>
  <si>
    <t xml:space="preserve">ORD-01614</t>
  </si>
  <si>
    <t xml:space="preserve">ORD-01615</t>
  </si>
  <si>
    <t xml:space="preserve">ORD-01616</t>
  </si>
  <si>
    <t xml:space="preserve">ORD-01617</t>
  </si>
  <si>
    <t xml:space="preserve">ORD-01618</t>
  </si>
  <si>
    <t xml:space="preserve">ORD-01619</t>
  </si>
  <si>
    <t xml:space="preserve">ORD-01620</t>
  </si>
  <si>
    <t xml:space="preserve">ORD-01621</t>
  </si>
  <si>
    <t xml:space="preserve">ORD-01622</t>
  </si>
  <si>
    <t xml:space="preserve">ORD-01624</t>
  </si>
  <si>
    <t xml:space="preserve">ORD-01625</t>
  </si>
  <si>
    <t xml:space="preserve">ORD-01626</t>
  </si>
  <si>
    <t xml:space="preserve">ORD-01627</t>
  </si>
  <si>
    <t xml:space="preserve">ORD-01628</t>
  </si>
  <si>
    <t xml:space="preserve">ORD-01629</t>
  </si>
  <si>
    <t xml:space="preserve">ORD-01630</t>
  </si>
  <si>
    <t xml:space="preserve">ORD-01631</t>
  </si>
  <si>
    <t xml:space="preserve">ORD-01632</t>
  </si>
  <si>
    <t xml:space="preserve">ORD-01633</t>
  </si>
  <si>
    <t xml:space="preserve">ORD-01634</t>
  </si>
  <si>
    <t xml:space="preserve">ORD-01635</t>
  </si>
  <si>
    <t xml:space="preserve">ORD-01636</t>
  </si>
  <si>
    <t xml:space="preserve">ORD-01637</t>
  </si>
  <si>
    <t xml:space="preserve">ORD-01638</t>
  </si>
  <si>
    <t xml:space="preserve">ORD-01639</t>
  </si>
  <si>
    <t xml:space="preserve">ORD-01640</t>
  </si>
  <si>
    <t xml:space="preserve">ORD-01641</t>
  </si>
  <si>
    <t xml:space="preserve">ORD-01642</t>
  </si>
  <si>
    <t xml:space="preserve">ORD-01643</t>
  </si>
  <si>
    <t xml:space="preserve">ORD-01644</t>
  </si>
  <si>
    <t xml:space="preserve">ORD-01645</t>
  </si>
  <si>
    <t xml:space="preserve">ORD-01646</t>
  </si>
  <si>
    <t xml:space="preserve">ORD-01647</t>
  </si>
  <si>
    <t xml:space="preserve">ORD-01648</t>
  </si>
  <si>
    <t xml:space="preserve">ORD-01649</t>
  </si>
  <si>
    <t xml:space="preserve">ORD-01650</t>
  </si>
  <si>
    <t xml:space="preserve">ORD-01651</t>
  </si>
  <si>
    <t xml:space="preserve">ORD-01652</t>
  </si>
  <si>
    <t xml:space="preserve">ORD-01653</t>
  </si>
  <si>
    <t xml:space="preserve">ORD-01654</t>
  </si>
  <si>
    <t xml:space="preserve">CUST-9719</t>
  </si>
  <si>
    <t xml:space="preserve">ORD-01655</t>
  </si>
  <si>
    <t xml:space="preserve">ORD-01656</t>
  </si>
  <si>
    <t xml:space="preserve">ORD-01657</t>
  </si>
  <si>
    <t xml:space="preserve">ORD-01658</t>
  </si>
  <si>
    <t xml:space="preserve">ORD-01659</t>
  </si>
  <si>
    <t xml:space="preserve">ORD-01660</t>
  </si>
  <si>
    <t xml:space="preserve">ORD-01661</t>
  </si>
  <si>
    <t xml:space="preserve">ORD-01663</t>
  </si>
  <si>
    <t xml:space="preserve">ORD-01664</t>
  </si>
  <si>
    <t xml:space="preserve">ORD-01665</t>
  </si>
  <si>
    <t xml:space="preserve">ORD-01666</t>
  </si>
  <si>
    <t xml:space="preserve">ORD-01667</t>
  </si>
  <si>
    <t xml:space="preserve">ORD-01668</t>
  </si>
  <si>
    <t xml:space="preserve">ORD-01669</t>
  </si>
  <si>
    <t xml:space="preserve">CUST-9765</t>
  </si>
  <si>
    <t xml:space="preserve">ORD-01670</t>
  </si>
  <si>
    <t xml:space="preserve">ORD-01671</t>
  </si>
  <si>
    <t xml:space="preserve">ORD-01672</t>
  </si>
  <si>
    <t xml:space="preserve">CUST-9552</t>
  </si>
  <si>
    <t xml:space="preserve">ORD-01673</t>
  </si>
  <si>
    <t xml:space="preserve">ORD-01674</t>
  </si>
  <si>
    <t xml:space="preserve">ORD-01675</t>
  </si>
  <si>
    <t xml:space="preserve">ORD-01676</t>
  </si>
  <si>
    <t xml:space="preserve">ORD-01677</t>
  </si>
  <si>
    <t xml:space="preserve">ORD-01678</t>
  </si>
  <si>
    <t xml:space="preserve">ORD-01679</t>
  </si>
  <si>
    <t xml:space="preserve">ORD-01680</t>
  </si>
  <si>
    <t xml:space="preserve">ORD-01681</t>
  </si>
  <si>
    <t xml:space="preserve">ORD-01682</t>
  </si>
  <si>
    <t xml:space="preserve">ORD-01683</t>
  </si>
  <si>
    <t xml:space="preserve">ORD-01684</t>
  </si>
  <si>
    <t xml:space="preserve">ORD-01685</t>
  </si>
  <si>
    <t xml:space="preserve">CUST-9740</t>
  </si>
  <si>
    <t xml:space="preserve">ORD-01686</t>
  </si>
  <si>
    <t xml:space="preserve">ORD-01687</t>
  </si>
  <si>
    <t xml:space="preserve">ORD-01688</t>
  </si>
  <si>
    <t xml:space="preserve">ORD-01689</t>
  </si>
  <si>
    <t xml:space="preserve">ORD-01690</t>
  </si>
  <si>
    <t xml:space="preserve">ORD-01691</t>
  </si>
  <si>
    <t xml:space="preserve">ORD-01692</t>
  </si>
  <si>
    <t xml:space="preserve">ORD-01693</t>
  </si>
  <si>
    <t xml:space="preserve">ORD-01694</t>
  </si>
  <si>
    <t xml:space="preserve">ORD-01695</t>
  </si>
  <si>
    <t xml:space="preserve">ORD-01696</t>
  </si>
  <si>
    <t xml:space="preserve">ORD-01697</t>
  </si>
  <si>
    <t xml:space="preserve">ORD-01698</t>
  </si>
  <si>
    <t xml:space="preserve">ORD-01699</t>
  </si>
  <si>
    <t xml:space="preserve">ORD-01700</t>
  </si>
  <si>
    <t xml:space="preserve">ORD-01701</t>
  </si>
  <si>
    <t xml:space="preserve">ORD-01702</t>
  </si>
  <si>
    <t xml:space="preserve">ORD-01703</t>
  </si>
  <si>
    <t xml:space="preserve">ORD-01704</t>
  </si>
  <si>
    <t xml:space="preserve">ORD-01705</t>
  </si>
  <si>
    <t xml:space="preserve">ORD-01706</t>
  </si>
  <si>
    <t xml:space="preserve">ORD-01707</t>
  </si>
  <si>
    <t xml:space="preserve">ORD-01708</t>
  </si>
  <si>
    <t xml:space="preserve">ORD-01709</t>
  </si>
  <si>
    <t xml:space="preserve">ORD-01710</t>
  </si>
  <si>
    <t xml:space="preserve">ORD-01711</t>
  </si>
  <si>
    <t xml:space="preserve">ORD-01712</t>
  </si>
  <si>
    <t xml:space="preserve">ORD-01713</t>
  </si>
  <si>
    <t xml:space="preserve">ORD-01714</t>
  </si>
  <si>
    <t xml:space="preserve">ORD-01715</t>
  </si>
  <si>
    <t xml:space="preserve">ORD-01716</t>
  </si>
  <si>
    <t xml:space="preserve">ORD-01717</t>
  </si>
  <si>
    <t xml:space="preserve">ORD-01718</t>
  </si>
  <si>
    <t xml:space="preserve">ORD-01719</t>
  </si>
  <si>
    <t xml:space="preserve">ORD-01720</t>
  </si>
  <si>
    <t xml:space="preserve">ORD-01721</t>
  </si>
  <si>
    <t xml:space="preserve">ORD-01722</t>
  </si>
  <si>
    <t xml:space="preserve">ORD-01723</t>
  </si>
  <si>
    <t xml:space="preserve">ORD-01724</t>
  </si>
  <si>
    <t xml:space="preserve">ORD-01725</t>
  </si>
  <si>
    <t xml:space="preserve">ORD-01726</t>
  </si>
  <si>
    <t xml:space="preserve">ORD-01727</t>
  </si>
  <si>
    <t xml:space="preserve">ORD-01728</t>
  </si>
  <si>
    <t xml:space="preserve">ORD-01729</t>
  </si>
  <si>
    <t xml:space="preserve">ORD-01730</t>
  </si>
  <si>
    <t xml:space="preserve">ORD-01731</t>
  </si>
  <si>
    <t xml:space="preserve">ORD-01732</t>
  </si>
  <si>
    <t xml:space="preserve">ORD-01733</t>
  </si>
  <si>
    <t xml:space="preserve">ORD-01734</t>
  </si>
  <si>
    <t xml:space="preserve">ORD-01735</t>
  </si>
  <si>
    <t xml:space="preserve">ORD-01736</t>
  </si>
  <si>
    <t xml:space="preserve">ORD-01737</t>
  </si>
  <si>
    <t xml:space="preserve">ORD-01738</t>
  </si>
  <si>
    <t xml:space="preserve">ORD-01739</t>
  </si>
  <si>
    <t xml:space="preserve">ORD-01740</t>
  </si>
  <si>
    <t xml:space="preserve">ORD-01741</t>
  </si>
  <si>
    <t xml:space="preserve">ORD-01742</t>
  </si>
  <si>
    <t xml:space="preserve">ORD-01743</t>
  </si>
  <si>
    <t xml:space="preserve">ORD-01744</t>
  </si>
  <si>
    <t xml:space="preserve">ORD-01745</t>
  </si>
  <si>
    <t xml:space="preserve">ORD-01746</t>
  </si>
  <si>
    <t xml:space="preserve">ORD-01747</t>
  </si>
  <si>
    <t xml:space="preserve">ORD-01748</t>
  </si>
  <si>
    <t xml:space="preserve">ORD-01749</t>
  </si>
  <si>
    <t xml:space="preserve">ORD-01750</t>
  </si>
  <si>
    <t xml:space="preserve">ORD-01751</t>
  </si>
  <si>
    <t xml:space="preserve">ORD-01752</t>
  </si>
  <si>
    <t xml:space="preserve">ORD-01753</t>
  </si>
  <si>
    <t xml:space="preserve">ORD-01754</t>
  </si>
  <si>
    <t xml:space="preserve">ORD-01755</t>
  </si>
  <si>
    <t xml:space="preserve">ORD-01756</t>
  </si>
  <si>
    <t xml:space="preserve">ORD-01757</t>
  </si>
  <si>
    <t xml:space="preserve">ORD-01758</t>
  </si>
  <si>
    <t xml:space="preserve">ORD-01759</t>
  </si>
  <si>
    <t xml:space="preserve">ORD-01760</t>
  </si>
  <si>
    <t xml:space="preserve">ORD-01761</t>
  </si>
  <si>
    <t xml:space="preserve">ORD-01762</t>
  </si>
  <si>
    <t xml:space="preserve">ORD-01763</t>
  </si>
  <si>
    <t xml:space="preserve">ORD-01764</t>
  </si>
  <si>
    <t xml:space="preserve">ORD-01765</t>
  </si>
  <si>
    <t xml:space="preserve">ORD-01766</t>
  </si>
  <si>
    <t xml:space="preserve">ORD-01767</t>
  </si>
  <si>
    <t xml:space="preserve">ORD-01768</t>
  </si>
  <si>
    <t xml:space="preserve">ORD-01769</t>
  </si>
  <si>
    <t xml:space="preserve">ORD-01771</t>
  </si>
  <si>
    <t xml:space="preserve">ORD-01772</t>
  </si>
  <si>
    <t xml:space="preserve">ORD-01773</t>
  </si>
  <si>
    <t xml:space="preserve">ORD-01774</t>
  </si>
  <si>
    <t xml:space="preserve">ORD-01775</t>
  </si>
  <si>
    <t xml:space="preserve">ORD-01776</t>
  </si>
  <si>
    <t xml:space="preserve">ORD-01777</t>
  </si>
  <si>
    <t xml:space="preserve">ORD-01778</t>
  </si>
  <si>
    <t xml:space="preserve">ORD-01779</t>
  </si>
  <si>
    <t xml:space="preserve">ORD-01780</t>
  </si>
  <si>
    <t xml:space="preserve">ORD-01781</t>
  </si>
  <si>
    <t xml:space="preserve">ORD-01782</t>
  </si>
  <si>
    <t xml:space="preserve">ORD-01783</t>
  </si>
  <si>
    <t xml:space="preserve">ORD-01784</t>
  </si>
  <si>
    <t xml:space="preserve">ORD-01785</t>
  </si>
  <si>
    <t xml:space="preserve">ORD-01786</t>
  </si>
  <si>
    <t xml:space="preserve">ORD-01787</t>
  </si>
  <si>
    <t xml:space="preserve">ORD-01788</t>
  </si>
  <si>
    <t xml:space="preserve">ORD-01789</t>
  </si>
  <si>
    <t xml:space="preserve">ORD-01790</t>
  </si>
  <si>
    <t xml:space="preserve">ORD-01792</t>
  </si>
  <si>
    <t xml:space="preserve">ORD-01793</t>
  </si>
  <si>
    <t xml:space="preserve">ORD-01794</t>
  </si>
  <si>
    <t xml:space="preserve">ORD-01795</t>
  </si>
  <si>
    <t xml:space="preserve">ORD-01796</t>
  </si>
  <si>
    <t xml:space="preserve">ORD-01797</t>
  </si>
  <si>
    <t xml:space="preserve">ORD-01798</t>
  </si>
  <si>
    <t xml:space="preserve">ORD-01799</t>
  </si>
  <si>
    <t xml:space="preserve">ORD-01800</t>
  </si>
  <si>
    <t xml:space="preserve">ORD-01801</t>
  </si>
  <si>
    <t xml:space="preserve">ORD-01802</t>
  </si>
  <si>
    <t xml:space="preserve">ORD-01803</t>
  </si>
  <si>
    <t xml:space="preserve">ORD-01804</t>
  </si>
  <si>
    <t xml:space="preserve">ORD-01805</t>
  </si>
  <si>
    <t xml:space="preserve">CUST-9725</t>
  </si>
  <si>
    <t xml:space="preserve">ORD-01806</t>
  </si>
  <si>
    <t xml:space="preserve">ORD-01807</t>
  </si>
  <si>
    <t xml:space="preserve">ORD-01808</t>
  </si>
  <si>
    <t xml:space="preserve">ORD-01809</t>
  </si>
  <si>
    <t xml:space="preserve">ORD-01810</t>
  </si>
  <si>
    <t xml:space="preserve">ORD-01811</t>
  </si>
  <si>
    <t xml:space="preserve">ORD-01812</t>
  </si>
  <si>
    <t xml:space="preserve">ORD-01813</t>
  </si>
  <si>
    <t xml:space="preserve">ORD-01814</t>
  </si>
  <si>
    <t xml:space="preserve">ORD-01815</t>
  </si>
  <si>
    <t xml:space="preserve">CUST-9630</t>
  </si>
  <si>
    <t xml:space="preserve">ORD-01816</t>
  </si>
  <si>
    <t xml:space="preserve">ORD-01817</t>
  </si>
  <si>
    <t xml:space="preserve">ORD-01818</t>
  </si>
  <si>
    <t xml:space="preserve">ORD-01819</t>
  </si>
  <si>
    <t xml:space="preserve">ORD-01820</t>
  </si>
  <si>
    <t xml:space="preserve">ORD-01822</t>
  </si>
  <si>
    <t xml:space="preserve">ORD-01823</t>
  </si>
  <si>
    <t xml:space="preserve">ORD-01824</t>
  </si>
  <si>
    <t xml:space="preserve">ORD-01825</t>
  </si>
  <si>
    <t xml:space="preserve">ORD-01826</t>
  </si>
  <si>
    <t xml:space="preserve">ORD-01827</t>
  </si>
  <si>
    <t xml:space="preserve">ORD-01828</t>
  </si>
  <si>
    <t xml:space="preserve">ORD-01829</t>
  </si>
  <si>
    <t xml:space="preserve">ORD-01830</t>
  </si>
  <si>
    <t xml:space="preserve">ORD-01831</t>
  </si>
  <si>
    <t xml:space="preserve">ORD-01832</t>
  </si>
  <si>
    <t xml:space="preserve">ORD-01833</t>
  </si>
  <si>
    <t xml:space="preserve">ORD-01834</t>
  </si>
  <si>
    <t xml:space="preserve">ORD-01835</t>
  </si>
  <si>
    <t xml:space="preserve">ORD-01836</t>
  </si>
  <si>
    <t xml:space="preserve">ORD-01837</t>
  </si>
  <si>
    <t xml:space="preserve">ORD-01838</t>
  </si>
  <si>
    <t xml:space="preserve">ORD-01839</t>
  </si>
  <si>
    <t xml:space="preserve">ORD-01840</t>
  </si>
  <si>
    <t xml:space="preserve">ORD-01841</t>
  </si>
  <si>
    <t xml:space="preserve">ORD-01842</t>
  </si>
  <si>
    <t xml:space="preserve">ORD-01843</t>
  </si>
  <si>
    <t xml:space="preserve">ORD-01844</t>
  </si>
  <si>
    <t xml:space="preserve">ORD-01845</t>
  </si>
  <si>
    <t xml:space="preserve">ORD-01846</t>
  </si>
  <si>
    <t xml:space="preserve">ORD-01847</t>
  </si>
  <si>
    <t xml:space="preserve">ORD-01848</t>
  </si>
  <si>
    <t xml:space="preserve">ORD-01849</t>
  </si>
  <si>
    <t xml:space="preserve">ORD-01850</t>
  </si>
  <si>
    <t xml:space="preserve">ORD-01851</t>
  </si>
  <si>
    <t xml:space="preserve">ORD-01852</t>
  </si>
  <si>
    <t xml:space="preserve">ORD-01853</t>
  </si>
  <si>
    <t xml:space="preserve">ORD-01854</t>
  </si>
  <si>
    <t xml:space="preserve">ORD-01855</t>
  </si>
  <si>
    <t xml:space="preserve">ORD-01856</t>
  </si>
  <si>
    <t xml:space="preserve">ORD-01857</t>
  </si>
  <si>
    <t xml:space="preserve">ORD-01858</t>
  </si>
  <si>
    <t xml:space="preserve">ORD-01859</t>
  </si>
  <si>
    <t xml:space="preserve">ORD-01860</t>
  </si>
  <si>
    <t xml:space="preserve">ORD-01861</t>
  </si>
  <si>
    <t xml:space="preserve">ORD-01862</t>
  </si>
  <si>
    <t xml:space="preserve">ORD-01863</t>
  </si>
  <si>
    <t xml:space="preserve">ORD-01864</t>
  </si>
  <si>
    <t xml:space="preserve">ORD-01865</t>
  </si>
  <si>
    <t xml:space="preserve">ORD-01866</t>
  </si>
  <si>
    <t xml:space="preserve">ORD-01867</t>
  </si>
  <si>
    <t xml:space="preserve">ORD-01868</t>
  </si>
  <si>
    <t xml:space="preserve">ORD-01869</t>
  </si>
  <si>
    <t xml:space="preserve">ORD-01870</t>
  </si>
  <si>
    <t xml:space="preserve">ORD-01871</t>
  </si>
  <si>
    <t xml:space="preserve">ORD-01872</t>
  </si>
  <si>
    <t xml:space="preserve">ORD-01874</t>
  </si>
  <si>
    <t xml:space="preserve">ORD-01875</t>
  </si>
  <si>
    <t xml:space="preserve">ORD-01876</t>
  </si>
  <si>
    <t xml:space="preserve">ORD-01877</t>
  </si>
  <si>
    <t xml:space="preserve">ORD-01878</t>
  </si>
  <si>
    <t xml:space="preserve">ORD-01879</t>
  </si>
  <si>
    <t xml:space="preserve">ORD-01880</t>
  </si>
  <si>
    <t xml:space="preserve">ORD-01881</t>
  </si>
  <si>
    <t xml:space="preserve">ORD-01882</t>
  </si>
  <si>
    <t xml:space="preserve">ORD-01883</t>
  </si>
  <si>
    <t xml:space="preserve">ORD-01884</t>
  </si>
  <si>
    <t xml:space="preserve">CUST-9967</t>
  </si>
  <si>
    <t xml:space="preserve">ORD-01885</t>
  </si>
  <si>
    <t xml:space="preserve">ORD-01886</t>
  </si>
  <si>
    <t xml:space="preserve">ORD-01887</t>
  </si>
  <si>
    <t xml:space="preserve">ORD-01888</t>
  </si>
  <si>
    <t xml:space="preserve">ORD-01889</t>
  </si>
  <si>
    <t xml:space="preserve">ORD-01890</t>
  </si>
  <si>
    <t xml:space="preserve">ORD-01891</t>
  </si>
  <si>
    <t xml:space="preserve">ORD-01892</t>
  </si>
  <si>
    <t xml:space="preserve">ORD-01893</t>
  </si>
  <si>
    <t xml:space="preserve">ORD-01894</t>
  </si>
  <si>
    <t xml:space="preserve">ORD-01895</t>
  </si>
  <si>
    <t xml:space="preserve">ORD-01896</t>
  </si>
  <si>
    <t xml:space="preserve">ORD-01897</t>
  </si>
  <si>
    <t xml:space="preserve">ORD-01898</t>
  </si>
  <si>
    <t xml:space="preserve">ORD-01899</t>
  </si>
  <si>
    <t xml:space="preserve">ORD-01900</t>
  </si>
  <si>
    <t xml:space="preserve">ORD-01901</t>
  </si>
  <si>
    <t xml:space="preserve">ORD-01902</t>
  </si>
  <si>
    <t xml:space="preserve">ORD-01903</t>
  </si>
  <si>
    <t xml:space="preserve">ORD-01904</t>
  </si>
  <si>
    <t xml:space="preserve">ORD-01905</t>
  </si>
  <si>
    <t xml:space="preserve">ORD-01906</t>
  </si>
  <si>
    <t xml:space="preserve">ORD-01907</t>
  </si>
  <si>
    <t xml:space="preserve">ORD-01908</t>
  </si>
  <si>
    <t xml:space="preserve">ORD-01909</t>
  </si>
  <si>
    <t xml:space="preserve">ORD-01910</t>
  </si>
  <si>
    <t xml:space="preserve">ORD-01911</t>
  </si>
  <si>
    <t xml:space="preserve">ORD-01912</t>
  </si>
  <si>
    <t xml:space="preserve">ORD-01913</t>
  </si>
  <si>
    <t xml:space="preserve">ORD-01914</t>
  </si>
  <si>
    <t xml:space="preserve">ORD-01915</t>
  </si>
  <si>
    <t xml:space="preserve">ORD-01916</t>
  </si>
  <si>
    <t xml:space="preserve">ORD-01917</t>
  </si>
  <si>
    <t xml:space="preserve">ORD-01918</t>
  </si>
  <si>
    <t xml:space="preserve">ORD-01919</t>
  </si>
  <si>
    <t xml:space="preserve"> Chennai </t>
  </si>
  <si>
    <t xml:space="preserve">ORD-01920</t>
  </si>
  <si>
    <t xml:space="preserve">ORD-01921</t>
  </si>
  <si>
    <t xml:space="preserve">ORD-01922</t>
  </si>
  <si>
    <t xml:space="preserve">ORD-01923</t>
  </si>
  <si>
    <t xml:space="preserve">ORD-01924</t>
  </si>
  <si>
    <t xml:space="preserve">ORD-01925</t>
  </si>
  <si>
    <t xml:space="preserve">ORD-01926</t>
  </si>
  <si>
    <t xml:space="preserve">ORD-01927</t>
  </si>
  <si>
    <t xml:space="preserve">ORD-01928</t>
  </si>
  <si>
    <t xml:space="preserve">ORD-01929</t>
  </si>
  <si>
    <t xml:space="preserve">ORD-01930</t>
  </si>
  <si>
    <t xml:space="preserve">CUST-9905</t>
  </si>
  <si>
    <t xml:space="preserve">ORD-01931</t>
  </si>
  <si>
    <t xml:space="preserve">ORD-01932</t>
  </si>
  <si>
    <t xml:space="preserve">ORD-01933</t>
  </si>
  <si>
    <t xml:space="preserve">ORD-01934</t>
  </si>
  <si>
    <t xml:space="preserve">ORD-01935</t>
  </si>
  <si>
    <t xml:space="preserve">ORD-01936</t>
  </si>
  <si>
    <t xml:space="preserve">ORD-01937</t>
  </si>
  <si>
    <t xml:space="preserve">ORD-01938</t>
  </si>
  <si>
    <t xml:space="preserve">ORD-01939</t>
  </si>
  <si>
    <t xml:space="preserve">ORD-01940</t>
  </si>
  <si>
    <t xml:space="preserve">ORD-01941</t>
  </si>
  <si>
    <t xml:space="preserve">ORD-01942</t>
  </si>
  <si>
    <t xml:space="preserve">ORD-01943</t>
  </si>
  <si>
    <t xml:space="preserve">ORD-01944</t>
  </si>
  <si>
    <t xml:space="preserve">ORD-01945</t>
  </si>
  <si>
    <t xml:space="preserve">ORD-01946</t>
  </si>
  <si>
    <t xml:space="preserve">ORD-01947</t>
  </si>
  <si>
    <t xml:space="preserve">ORD-01948</t>
  </si>
  <si>
    <t xml:space="preserve">ORD-01949</t>
  </si>
  <si>
    <t xml:space="preserve">ORD-01950</t>
  </si>
  <si>
    <t xml:space="preserve">ORD-01951</t>
  </si>
  <si>
    <t xml:space="preserve">ORD-01952</t>
  </si>
  <si>
    <t xml:space="preserve">ORD-01953</t>
  </si>
  <si>
    <t xml:space="preserve">ORD-01954</t>
  </si>
  <si>
    <t xml:space="preserve">ORD-01955</t>
  </si>
  <si>
    <t xml:space="preserve">ORD-01956</t>
  </si>
  <si>
    <t xml:space="preserve">ORD-01957</t>
  </si>
  <si>
    <t xml:space="preserve">ORD-01958</t>
  </si>
  <si>
    <t xml:space="preserve">ORD-01959</t>
  </si>
  <si>
    <t xml:space="preserve">ORD-01960</t>
  </si>
  <si>
    <t xml:space="preserve">ORD-01961</t>
  </si>
  <si>
    <t xml:space="preserve">ORD-01962</t>
  </si>
  <si>
    <t xml:space="preserve">ORD-01963</t>
  </si>
  <si>
    <t xml:space="preserve">ORD-01964</t>
  </si>
  <si>
    <t xml:space="preserve">ORD-01965</t>
  </si>
  <si>
    <t xml:space="preserve">ORD-01966</t>
  </si>
  <si>
    <t xml:space="preserve">ORD-01967</t>
  </si>
  <si>
    <t xml:space="preserve">ORD-01968</t>
  </si>
  <si>
    <t xml:space="preserve">ORD-01969</t>
  </si>
  <si>
    <t xml:space="preserve">ORD-01970</t>
  </si>
  <si>
    <t xml:space="preserve">ORD-01971</t>
  </si>
  <si>
    <t xml:space="preserve">ORD-01972</t>
  </si>
  <si>
    <t xml:space="preserve">ORD-01973</t>
  </si>
  <si>
    <t xml:space="preserve">ORD-01974</t>
  </si>
  <si>
    <t xml:space="preserve">ORD-01975</t>
  </si>
  <si>
    <t xml:space="preserve">ORD-01976</t>
  </si>
  <si>
    <t xml:space="preserve">ORD-01977</t>
  </si>
  <si>
    <t xml:space="preserve">ORD-01978</t>
  </si>
  <si>
    <t xml:space="preserve">ORD-01979</t>
  </si>
  <si>
    <t xml:space="preserve">ORD-01980</t>
  </si>
  <si>
    <t xml:space="preserve">ORD-01981</t>
  </si>
  <si>
    <t xml:space="preserve">ORD-01982</t>
  </si>
  <si>
    <t xml:space="preserve">ORD-01983</t>
  </si>
  <si>
    <t xml:space="preserve">ORD-01984</t>
  </si>
  <si>
    <t xml:space="preserve">ORD-01985</t>
  </si>
  <si>
    <t xml:space="preserve">ORD-01986</t>
  </si>
  <si>
    <t xml:space="preserve">ORD-01987</t>
  </si>
  <si>
    <t xml:space="preserve">ORD-01988</t>
  </si>
  <si>
    <t xml:space="preserve">ORD-01989</t>
  </si>
  <si>
    <t xml:space="preserve">ORD-01990</t>
  </si>
  <si>
    <t xml:space="preserve">ORD-01991</t>
  </si>
  <si>
    <t xml:space="preserve">ORD-01992</t>
  </si>
  <si>
    <t xml:space="preserve">ORD-01993</t>
  </si>
  <si>
    <t xml:space="preserve">ORD-01994</t>
  </si>
  <si>
    <t xml:space="preserve">ORD-01995</t>
  </si>
  <si>
    <t xml:space="preserve">ORD-01996</t>
  </si>
  <si>
    <t xml:space="preserve">ORD-01997</t>
  </si>
  <si>
    <t xml:space="preserve">ORD-01998</t>
  </si>
  <si>
    <t xml:space="preserve">ORD-01999</t>
  </si>
  <si>
    <t xml:space="preserve">ORD-02000</t>
  </si>
  <si>
    <t xml:space="preserve">customer_name</t>
  </si>
  <si>
    <t xml:space="preserve">age</t>
  </si>
  <si>
    <t xml:space="preserve">city</t>
  </si>
  <si>
    <t xml:space="preserve">segment</t>
  </si>
  <si>
    <t xml:space="preserve">signup_date</t>
  </si>
  <si>
    <t xml:space="preserve">Amit Agarwal</t>
  </si>
  <si>
    <t xml:space="preserve">Retail</t>
  </si>
  <si>
    <t xml:space="preserve">Vihaan Malhotra</t>
  </si>
  <si>
    <t xml:space="preserve">Corporate</t>
  </si>
  <si>
    <t xml:space="preserve">Navya Malhotra</t>
  </si>
  <si>
    <t xml:space="preserve">Aaradhya Mehta</t>
  </si>
  <si>
    <t xml:space="preserve">delhi</t>
  </si>
  <si>
    <t xml:space="preserve">Myra Malhotra</t>
  </si>
  <si>
    <t xml:space="preserve">Shaurya Iyer</t>
  </si>
  <si>
    <t xml:space="preserve">SMB</t>
  </si>
  <si>
    <t xml:space="preserve">Dhruv Joshi</t>
  </si>
  <si>
    <t xml:space="preserve">Kavita Malhotra</t>
  </si>
  <si>
    <t xml:space="preserve">Neha Malhotra</t>
  </si>
  <si>
    <t xml:space="preserve">Aaradhya Gupta</t>
  </si>
  <si>
    <t xml:space="preserve">Diya Menon</t>
  </si>
  <si>
    <t xml:space="preserve">Prisha Desai</t>
  </si>
  <si>
    <t xml:space="preserve">Aryan Chopra</t>
  </si>
  <si>
    <t xml:space="preserve">Priya Malhotra</t>
  </si>
  <si>
    <t xml:space="preserve">Aadhya Bhatt</t>
  </si>
  <si>
    <t xml:space="preserve">Vivaan Nair</t>
  </si>
  <si>
    <t xml:space="preserve">Pranav Reddy</t>
  </si>
  <si>
    <t xml:space="preserve">Ahana Agarwal</t>
  </si>
  <si>
    <t xml:space="preserve">Myra Shah</t>
  </si>
  <si>
    <t xml:space="preserve">Dhruv Iyer</t>
  </si>
  <si>
    <t xml:space="preserve">Aditya Shah</t>
  </si>
  <si>
    <t xml:space="preserve">Kavya Sharma</t>
  </si>
  <si>
    <t xml:space="preserve">Rohan Kapoor</t>
  </si>
  <si>
    <t xml:space="preserve">Angel Gupta</t>
  </si>
  <si>
    <t xml:space="preserve">Anika Menon</t>
  </si>
  <si>
    <t xml:space="preserve">Diya Sharma   </t>
  </si>
  <si>
    <t xml:space="preserve">Navya Reddy</t>
  </si>
  <si>
    <t xml:space="preserve">Aarav Chopra</t>
  </si>
  <si>
    <t xml:space="preserve">Ananya Agarwal</t>
  </si>
  <si>
    <t xml:space="preserve">Advik Joshi</t>
  </si>
  <si>
    <t xml:space="preserve">Vijay Kumar</t>
  </si>
  <si>
    <t xml:space="preserve">Rohit Kumar</t>
  </si>
  <si>
    <t xml:space="preserve">Pari Shah</t>
  </si>
  <si>
    <t xml:space="preserve">Rahul Rao</t>
  </si>
  <si>
    <t xml:space="preserve">Aaradhya Desai</t>
  </si>
  <si>
    <t xml:space="preserve">Rohit Singh</t>
  </si>
  <si>
    <t xml:space="preserve">Iraa Mehta</t>
  </si>
  <si>
    <t xml:space="preserve">Rudra Verma</t>
  </si>
  <si>
    <t xml:space="preserve">Shaurya Menon</t>
  </si>
  <si>
    <t xml:space="preserve">Aarav Nair</t>
  </si>
  <si>
    <t xml:space="preserve">Pranav Gupta</t>
  </si>
  <si>
    <t xml:space="preserve">Rohan Reddy   </t>
  </si>
  <si>
    <t xml:space="preserve">Advik Kumar</t>
  </si>
  <si>
    <t xml:space="preserve">Myra Reddy</t>
  </si>
  <si>
    <t xml:space="preserve">Rohan Bhatt</t>
  </si>
  <si>
    <t xml:space="preserve">Rudra Agarwal</t>
  </si>
  <si>
    <t xml:space="preserve">Prisha Kumar</t>
  </si>
  <si>
    <t xml:space="preserve">Prisha Chopra</t>
  </si>
  <si>
    <t xml:space="preserve">Aadhya Reddy</t>
  </si>
  <si>
    <t xml:space="preserve">Myra Singh</t>
  </si>
  <si>
    <t xml:space="preserve">Rahul Kumar</t>
  </si>
  <si>
    <t xml:space="preserve">Pari Kumar</t>
  </si>
  <si>
    <t xml:space="preserve">Vivaan Shah</t>
  </si>
  <si>
    <t xml:space="preserve">Aarohi Patel</t>
  </si>
  <si>
    <t xml:space="preserve">Vivaan Verma</t>
  </si>
  <si>
    <t xml:space="preserve">Kavya Iyer</t>
  </si>
  <si>
    <t xml:space="preserve">Riya Mehta</t>
  </si>
  <si>
    <t xml:space="preserve">Priya Mehta</t>
  </si>
  <si>
    <t xml:space="preserve">Rahul Joshi</t>
  </si>
  <si>
    <t xml:space="preserve">Prisha Malhotra</t>
  </si>
  <si>
    <t xml:space="preserve">Kartik Chopra</t>
  </si>
  <si>
    <t xml:space="preserve">Rudra Singh</t>
  </si>
  <si>
    <t xml:space="preserve">Kabir Singh</t>
  </si>
  <si>
    <t xml:space="preserve">Aaradhya Bhatt</t>
  </si>
  <si>
    <t xml:space="preserve">Kiara Rao</t>
  </si>
  <si>
    <t xml:space="preserve">Kavya Chopra</t>
  </si>
  <si>
    <t xml:space="preserve">Kavita Menon</t>
  </si>
  <si>
    <t xml:space="preserve">Diya Shah</t>
  </si>
  <si>
    <t xml:space="preserve">Neha Menon</t>
  </si>
  <si>
    <t xml:space="preserve"> Anvi Kumar </t>
  </si>
  <si>
    <t xml:space="preserve">Pranav Malhotra</t>
  </si>
  <si>
    <t xml:space="preserve">Kabir Nair</t>
  </si>
  <si>
    <t xml:space="preserve">Vihaan Bhatt</t>
  </si>
  <si>
    <t xml:space="preserve">Rudra Desai</t>
  </si>
  <si>
    <t xml:space="preserve">Diya Patel</t>
  </si>
  <si>
    <t xml:space="preserve">Myra Gupta   </t>
  </si>
  <si>
    <t xml:space="preserve">Kiara Chopra</t>
  </si>
  <si>
    <t xml:space="preserve">Amit Iyer</t>
  </si>
  <si>
    <t xml:space="preserve">Amit Kumar</t>
  </si>
  <si>
    <t xml:space="preserve">Aditya Bhatt</t>
  </si>
  <si>
    <t xml:space="preserve">Meera Reddy</t>
  </si>
  <si>
    <t xml:space="preserve">Shaurya Bhatt</t>
  </si>
  <si>
    <t xml:space="preserve">Riya Patel</t>
  </si>
  <si>
    <t xml:space="preserve">Shaurya Reddy</t>
  </si>
  <si>
    <t xml:space="preserve">Aditya Kumar</t>
  </si>
  <si>
    <t xml:space="preserve">Ishaan Chopra</t>
  </si>
  <si>
    <t xml:space="preserve">Vijay Reddy</t>
  </si>
  <si>
    <t xml:space="preserve">Ahana Singh</t>
  </si>
  <si>
    <t xml:space="preserve">Kabir Chopra</t>
  </si>
  <si>
    <t xml:space="preserve">Dhruv Nair</t>
  </si>
  <si>
    <t xml:space="preserve">Suresh Mehta</t>
  </si>
  <si>
    <t xml:space="preserve">Kabir Shah</t>
  </si>
  <si>
    <t xml:space="preserve">  Pari Malhotra</t>
  </si>
  <si>
    <t xml:space="preserve">Riya Singh</t>
  </si>
  <si>
    <t xml:space="preserve">Iraa Kapoor</t>
  </si>
  <si>
    <t xml:space="preserve">Anika Malhotra</t>
  </si>
  <si>
    <t xml:space="preserve">Angel Sharma</t>
  </si>
  <si>
    <t xml:space="preserve">Myra Gupta</t>
  </si>
  <si>
    <t xml:space="preserve">Rudra Kapoor</t>
  </si>
  <si>
    <t xml:space="preserve">Advik Nair</t>
  </si>
  <si>
    <t xml:space="preserve">Pooja Singh</t>
  </si>
  <si>
    <t xml:space="preserve">Kiara Shah</t>
  </si>
  <si>
    <t xml:space="preserve">Aryan Agarwal</t>
  </si>
  <si>
    <t xml:space="preserve">Navya Mehta</t>
  </si>
  <si>
    <t xml:space="preserve">Ishaan Kapoor   </t>
  </si>
  <si>
    <t xml:space="preserve">Angel Shah</t>
  </si>
  <si>
    <t xml:space="preserve">Dhruv Gupta</t>
  </si>
  <si>
    <t xml:space="preserve">Ayaan Reddy</t>
  </si>
  <si>
    <t xml:space="preserve">Anika Shah</t>
  </si>
  <si>
    <t xml:space="preserve">Anvi Reddy</t>
  </si>
  <si>
    <t xml:space="preserve">Reyansh Patel</t>
  </si>
  <si>
    <t xml:space="preserve">Ritvik Kapoor</t>
  </si>
  <si>
    <t xml:space="preserve">BENGALURU</t>
  </si>
  <si>
    <t xml:space="preserve">Rohan Rao</t>
  </si>
  <si>
    <t xml:space="preserve">Myra Patel</t>
  </si>
  <si>
    <t xml:space="preserve">Aaradhya Joshi</t>
  </si>
  <si>
    <t xml:space="preserve">Vihaan Chopra</t>
  </si>
  <si>
    <t xml:space="preserve">Rohit Shah</t>
  </si>
  <si>
    <t xml:space="preserve"> Priya Kumar </t>
  </si>
  <si>
    <t xml:space="preserve">Pari Joshi</t>
  </si>
  <si>
    <t xml:space="preserve">Shaurya Agarwal</t>
  </si>
  <si>
    <t xml:space="preserve">Aryan Desai</t>
  </si>
  <si>
    <t xml:space="preserve">Neha Agarwal</t>
  </si>
  <si>
    <t xml:space="preserve">Angel Joshi</t>
  </si>
  <si>
    <t xml:space="preserve">Rohit Iyer</t>
  </si>
  <si>
    <t xml:space="preserve">hyderabad</t>
  </si>
  <si>
    <t xml:space="preserve">Kabir Kapoor</t>
  </si>
  <si>
    <t xml:space="preserve">Krishna Kapoor</t>
  </si>
  <si>
    <t xml:space="preserve">  Ishaan Joshi</t>
  </si>
  <si>
    <t xml:space="preserve">Iraa Kumar</t>
  </si>
  <si>
    <t xml:space="preserve">Ritvik Shah</t>
  </si>
  <si>
    <t xml:space="preserve">Aarohi Mehta</t>
  </si>
  <si>
    <t xml:space="preserve">Arjun Shah</t>
  </si>
  <si>
    <t xml:space="preserve">Riya Desai</t>
  </si>
  <si>
    <t xml:space="preserve">Aadhya Kumar</t>
  </si>
  <si>
    <t xml:space="preserve">Kavya Kumar</t>
  </si>
  <si>
    <t xml:space="preserve">Ishaan Verma</t>
  </si>
  <si>
    <t xml:space="preserve">chennai</t>
  </si>
  <si>
    <t xml:space="preserve">Karan Gupta</t>
  </si>
  <si>
    <t xml:space="preserve">  Kavita Shah</t>
  </si>
  <si>
    <t xml:space="preserve">Anika Bhatt</t>
  </si>
  <si>
    <t xml:space="preserve">Riya Kapoor   </t>
  </si>
  <si>
    <t xml:space="preserve">Aarohi Iyer</t>
  </si>
  <si>
    <t xml:space="preserve">Advik Menon</t>
  </si>
  <si>
    <t xml:space="preserve">Sanvi Menon</t>
  </si>
  <si>
    <t xml:space="preserve">Suresh Bhatt</t>
  </si>
  <si>
    <t xml:space="preserve">Aaradhya Verma</t>
  </si>
  <si>
    <t xml:space="preserve">Ayaan Chopra</t>
  </si>
  <si>
    <t xml:space="preserve">Pari Desai</t>
  </si>
  <si>
    <t xml:space="preserve">Anvi Patel</t>
  </si>
  <si>
    <t xml:space="preserve">Vihaan Kapoor</t>
  </si>
  <si>
    <t xml:space="preserve">Dhruv Kumar   </t>
  </si>
  <si>
    <t xml:space="preserve">Pooja Reddy</t>
  </si>
  <si>
    <t xml:space="preserve">Anaya Chopra</t>
  </si>
  <si>
    <t xml:space="preserve">Priya Joshi</t>
  </si>
  <si>
    <t xml:space="preserve">Krishna Reddy</t>
  </si>
  <si>
    <t xml:space="preserve">Meera Malhotra</t>
  </si>
  <si>
    <t xml:space="preserve">Neha Kumar</t>
  </si>
  <si>
    <t xml:space="preserve">Kartik Patel</t>
  </si>
  <si>
    <t xml:space="preserve">Vivaan Kumar</t>
  </si>
  <si>
    <t xml:space="preserve">Reyansh Verma</t>
  </si>
  <si>
    <t xml:space="preserve">Vihaan Gupta</t>
  </si>
  <si>
    <t xml:space="preserve">Aarav Iyer</t>
  </si>
  <si>
    <t xml:space="preserve">Aarav Singh</t>
  </si>
  <si>
    <t xml:space="preserve">Aditya Chopra</t>
  </si>
  <si>
    <t xml:space="preserve">Kiara Singh</t>
  </si>
  <si>
    <t xml:space="preserve">Sanvi Agarwal</t>
  </si>
  <si>
    <t xml:space="preserve">Suresh Nair</t>
  </si>
  <si>
    <t xml:space="preserve">Sara Desai</t>
  </si>
  <si>
    <t xml:space="preserve">Vivaan Gupta</t>
  </si>
  <si>
    <t xml:space="preserve">Amit Chopra</t>
  </si>
  <si>
    <t xml:space="preserve">Kabir Desai</t>
  </si>
  <si>
    <t xml:space="preserve">Aaradhya Malhotra</t>
  </si>
  <si>
    <t xml:space="preserve">Anika Mehta</t>
  </si>
  <si>
    <t xml:space="preserve">Aadhya Kapoor</t>
  </si>
  <si>
    <t xml:space="preserve">Advik Agarwal</t>
  </si>
  <si>
    <t xml:space="preserve">Navya Rao</t>
  </si>
  <si>
    <t xml:space="preserve">Rohit Chopra</t>
  </si>
  <si>
    <t xml:space="preserve">Kabir Joshi</t>
  </si>
  <si>
    <t xml:space="preserve">Kartik Kumar</t>
  </si>
  <si>
    <t xml:space="preserve">Riya Verma</t>
  </si>
  <si>
    <t xml:space="preserve">Anaya Sharma</t>
  </si>
  <si>
    <t xml:space="preserve">Aryan Menon</t>
  </si>
  <si>
    <t xml:space="preserve"> Shaurya Rao </t>
  </si>
  <si>
    <t xml:space="preserve">Rahul Singh</t>
  </si>
  <si>
    <t xml:space="preserve">Vijay Shah</t>
  </si>
  <si>
    <t xml:space="preserve">Karan Agarwal</t>
  </si>
  <si>
    <t xml:space="preserve">Sara Malhotra</t>
  </si>
  <si>
    <t xml:space="preserve">Myra Kapoor</t>
  </si>
  <si>
    <t xml:space="preserve">Kavya Mehta</t>
  </si>
  <si>
    <t xml:space="preserve">Reyansh Gupta</t>
  </si>
  <si>
    <t xml:space="preserve">Ishaan Mehta</t>
  </si>
  <si>
    <t xml:space="preserve">Krishna Mehta</t>
  </si>
  <si>
    <t xml:space="preserve">Aadhya Shah</t>
  </si>
  <si>
    <t xml:space="preserve">Ritvik Agarwal</t>
  </si>
  <si>
    <t xml:space="preserve">Aryan Singh</t>
  </si>
  <si>
    <t xml:space="preserve">Ayaan Joshi</t>
  </si>
  <si>
    <t xml:space="preserve">Ayaan Singh</t>
  </si>
  <si>
    <t xml:space="preserve">Anika Rao</t>
  </si>
  <si>
    <t xml:space="preserve">Shaurya Kumar</t>
  </si>
  <si>
    <t xml:space="preserve">Priya Chopra</t>
  </si>
  <si>
    <t xml:space="preserve">Pari Verma</t>
  </si>
  <si>
    <t xml:space="preserve">Anvi Malhotra</t>
  </si>
  <si>
    <t xml:space="preserve">Kavita Bhatt</t>
  </si>
  <si>
    <t xml:space="preserve">Krishna Menon</t>
  </si>
  <si>
    <t xml:space="preserve">Pooja Kumar</t>
  </si>
  <si>
    <t xml:space="preserve">Anika Singh   </t>
  </si>
  <si>
    <t xml:space="preserve">Kavita Sharma</t>
  </si>
  <si>
    <t xml:space="preserve">Suresh Kumar</t>
  </si>
  <si>
    <t xml:space="preserve">Aarav Mehta</t>
  </si>
  <si>
    <t xml:space="preserve">Aaradhya Iyer</t>
  </si>
  <si>
    <t xml:space="preserve">Karan Singh</t>
  </si>
  <si>
    <t xml:space="preserve">Aadhya Singh</t>
  </si>
  <si>
    <t xml:space="preserve">Aarav Menon</t>
  </si>
  <si>
    <t xml:space="preserve">Kiara Agarwal</t>
  </si>
  <si>
    <t xml:space="preserve">Ahana Patel</t>
  </si>
  <si>
    <t xml:space="preserve">Iraa Shah</t>
  </si>
  <si>
    <t xml:space="preserve">Rohit Kapoor</t>
  </si>
  <si>
    <t xml:space="preserve">Kavita Agarwal</t>
  </si>
  <si>
    <t xml:space="preserve">Rudra Gupta</t>
  </si>
  <si>
    <t xml:space="preserve">Dhruv Verma</t>
  </si>
  <si>
    <t xml:space="preserve">Ananya Verma</t>
  </si>
  <si>
    <t xml:space="preserve">Aditya Nair</t>
  </si>
  <si>
    <t xml:space="preserve">Pari Kapoor</t>
  </si>
  <si>
    <t xml:space="preserve">Prisha Patel</t>
  </si>
  <si>
    <t xml:space="preserve">Aryan Iyer</t>
  </si>
  <si>
    <t xml:space="preserve">Kavita Shah   </t>
  </si>
  <si>
    <t xml:space="preserve">Pari Patel</t>
  </si>
  <si>
    <t xml:space="preserve">Aadhya Mehta</t>
  </si>
  <si>
    <t xml:space="preserve">Ananya Malhotra</t>
  </si>
  <si>
    <t xml:space="preserve">Anika Joshi</t>
  </si>
  <si>
    <t xml:space="preserve">Neha Patel</t>
  </si>
  <si>
    <t xml:space="preserve">Sanvi Shah</t>
  </si>
  <si>
    <t xml:space="preserve">Navya Menon</t>
  </si>
  <si>
    <t xml:space="preserve">Neha Mehta</t>
  </si>
  <si>
    <t xml:space="preserve">Sara Joshi</t>
  </si>
  <si>
    <t xml:space="preserve">Diya Reddy</t>
  </si>
  <si>
    <t xml:space="preserve">Kabir Menon</t>
  </si>
  <si>
    <t xml:space="preserve">Rahul Desai</t>
  </si>
  <si>
    <t xml:space="preserve">Arjun Kapoor</t>
  </si>
  <si>
    <t xml:space="preserve">Riya Kapoor</t>
  </si>
  <si>
    <t xml:space="preserve">  Ishaan Kumar</t>
  </si>
  <si>
    <t xml:space="preserve">Ishaan Kumar</t>
  </si>
  <si>
    <t xml:space="preserve">Aarohi Gupta</t>
  </si>
  <si>
    <t xml:space="preserve">Aditya Patel</t>
  </si>
  <si>
    <t xml:space="preserve">Ananya Menon</t>
  </si>
  <si>
    <t xml:space="preserve">Myra Bhatt</t>
  </si>
  <si>
    <t xml:space="preserve">Pranav Bhatt</t>
  </si>
  <si>
    <t xml:space="preserve">Kavita Mehta</t>
  </si>
  <si>
    <t xml:space="preserve">Aadhya Desai</t>
  </si>
  <si>
    <t xml:space="preserve">Myra Kumar</t>
  </si>
  <si>
    <t xml:space="preserve">Kartik Malhotra</t>
  </si>
  <si>
    <t xml:space="preserve">Kavita Patel</t>
  </si>
  <si>
    <t xml:space="preserve">Kabir Gupta</t>
  </si>
  <si>
    <t xml:space="preserve">Dhruv Reddy</t>
  </si>
  <si>
    <t xml:space="preserve">Arjun Singh</t>
  </si>
  <si>
    <t xml:space="preserve">Rohan Sharma</t>
  </si>
  <si>
    <t xml:space="preserve">Aarohi Nair</t>
  </si>
  <si>
    <t xml:space="preserve">Anaya Joshi</t>
  </si>
  <si>
    <t xml:space="preserve">Ayaan Verma</t>
  </si>
  <si>
    <t xml:space="preserve">Krishna Desai</t>
  </si>
  <si>
    <t xml:space="preserve">Meera Chopra</t>
  </si>
  <si>
    <t xml:space="preserve">Rohan Menon</t>
  </si>
  <si>
    <t xml:space="preserve">Neha Desai</t>
  </si>
  <si>
    <t xml:space="preserve">Rohan Agarwal</t>
  </si>
  <si>
    <t xml:space="preserve">Navya Sharma</t>
  </si>
  <si>
    <t xml:space="preserve">Vivaan Agarwal</t>
  </si>
  <si>
    <t xml:space="preserve">Rahul Iyer</t>
  </si>
  <si>
    <t xml:space="preserve">Rohit Nair</t>
  </si>
  <si>
    <t xml:space="preserve">product_name</t>
  </si>
  <si>
    <t xml:space="preserve">category</t>
  </si>
  <si>
    <t xml:space="preserve">unit_cost</t>
  </si>
  <si>
    <t xml:space="preserve">is_active</t>
  </si>
  <si>
    <t xml:space="preserve">Smartphone Pro</t>
  </si>
  <si>
    <t xml:space="preserve">Electronics</t>
  </si>
  <si>
    <t xml:space="preserve">Wireless Earbuds</t>
  </si>
  <si>
    <t xml:space="preserve">Smart Watch</t>
  </si>
  <si>
    <t xml:space="preserve">Laptop Bag</t>
  </si>
  <si>
    <t xml:space="preserve">Power Bank</t>
  </si>
  <si>
    <t xml:space="preserve">Bluetooth Speaker</t>
  </si>
  <si>
    <t xml:space="preserve">USB-C Cable</t>
  </si>
  <si>
    <t xml:space="preserve">Wireless Mouse</t>
  </si>
  <si>
    <t xml:space="preserve">Mechanical Keyboard</t>
  </si>
  <si>
    <t xml:space="preserve">Tablet Stand</t>
  </si>
  <si>
    <t xml:space="preserve">Cotton T-Shirt</t>
  </si>
  <si>
    <t xml:space="preserve">Apparel</t>
  </si>
  <si>
    <t xml:space="preserve">Denim Jeans</t>
  </si>
  <si>
    <t xml:space="preserve">Formal Shirt</t>
  </si>
  <si>
    <t xml:space="preserve">Winter Jacket</t>
  </si>
  <si>
    <t xml:space="preserve">Sports Shoes</t>
  </si>
  <si>
    <t xml:space="preserve">Casual Sneakers</t>
  </si>
  <si>
    <t xml:space="preserve">Silk Saree</t>
  </si>
  <si>
    <t xml:space="preserve">Kurta Set</t>
  </si>
  <si>
    <t xml:space="preserve">Track Pants</t>
  </si>
  <si>
    <t xml:space="preserve">Woolen Sweater</t>
  </si>
  <si>
    <t xml:space="preserve">Basmati Rice 5kg</t>
  </si>
  <si>
    <t xml:space="preserve">Grocery</t>
  </si>
  <si>
    <t xml:space="preserve">Wheat Flour 10kg</t>
  </si>
  <si>
    <t xml:space="preserve">Cooking Oil 5L</t>
  </si>
  <si>
    <t xml:space="preserve">Turmeric Powder 500g</t>
  </si>
  <si>
    <t xml:space="preserve">Chili Powder 500g</t>
  </si>
  <si>
    <t xml:space="preserve">Sugar 5kg</t>
  </si>
  <si>
    <t xml:space="preserve">Tea Leaves 1kg</t>
  </si>
  <si>
    <t xml:space="preserve">Coffee Beans 500g</t>
  </si>
  <si>
    <t xml:space="preserve">Ghee 1L</t>
  </si>
  <si>
    <t xml:space="preserve">Salt 1kg</t>
  </si>
  <si>
    <t xml:space="preserve">Bed Sheet Set</t>
  </si>
  <si>
    <t xml:space="preserve">Home</t>
  </si>
  <si>
    <t xml:space="preserve">Pillow Cover Pair</t>
  </si>
  <si>
    <t xml:space="preserve">Curtain Set</t>
  </si>
  <si>
    <t xml:space="preserve">Kitchen Towel Set</t>
  </si>
  <si>
    <t xml:space="preserve">Doormat</t>
  </si>
  <si>
    <t xml:space="preserve">Wall Clock</t>
  </si>
  <si>
    <t xml:space="preserve">Table Lamp</t>
  </si>
  <si>
    <t xml:space="preserve">Storage Box</t>
  </si>
  <si>
    <t xml:space="preserve">Photo Frame</t>
  </si>
  <si>
    <t xml:space="preserve">Cushion Cover</t>
  </si>
  <si>
    <t xml:space="preserve">Face Wash 100ml</t>
  </si>
  <si>
    <t xml:space="preserve">Beauty</t>
  </si>
  <si>
    <t xml:space="preserve">Moisturizer 200ml</t>
  </si>
  <si>
    <t xml:space="preserve">Shampoo 500ml</t>
  </si>
  <si>
    <t xml:space="preserve">Conditioner 500ml</t>
  </si>
  <si>
    <t xml:space="preserve">Body Lotion 400ml</t>
  </si>
  <si>
    <t xml:space="preserve">Sunscreen SPF50</t>
  </si>
  <si>
    <t xml:space="preserve">Lipstick</t>
  </si>
  <si>
    <t xml:space="preserve">Kajal</t>
  </si>
  <si>
    <t xml:space="preserve">Hair Oil 200ml</t>
  </si>
  <si>
    <t xml:space="preserve">Perfume 100ml</t>
  </si>
  <si>
    <t xml:space="preserve">Yoga Mat</t>
  </si>
  <si>
    <t xml:space="preserve">Sports</t>
  </si>
  <si>
    <t xml:space="preserve">Dumbbells 5kg</t>
  </si>
  <si>
    <t xml:space="preserve">Skipping Rope</t>
  </si>
  <si>
    <t xml:space="preserve">Cricket Bat</t>
  </si>
  <si>
    <t xml:space="preserve">Football Size 5</t>
  </si>
  <si>
    <t xml:space="preserve">Badminton Racket</t>
  </si>
  <si>
    <t xml:space="preserve">Tennis Ball Pack</t>
  </si>
  <si>
    <t xml:space="preserve">Cycling Helmet</t>
  </si>
  <si>
    <t xml:space="preserve">Water Bottle 1L</t>
  </si>
  <si>
    <t xml:space="preserve">Gym Gloves</t>
  </si>
  <si>
    <t xml:space="preserve">rep_id</t>
  </si>
  <si>
    <t xml:space="preserve">rep_name</t>
  </si>
  <si>
    <t xml:space="preserve">region</t>
  </si>
  <si>
    <t xml:space="preserve">hire_date</t>
  </si>
  <si>
    <t xml:space="preserve">team_lead_id</t>
  </si>
  <si>
    <t xml:space="preserve">Rajesh Malhotra</t>
  </si>
  <si>
    <t xml:space="preserve">North</t>
  </si>
  <si>
    <t xml:space="preserve">Sunita Malhotra</t>
  </si>
  <si>
    <t xml:space="preserve">Amit Singh</t>
  </si>
  <si>
    <t xml:space="preserve">Priya Singh</t>
  </si>
  <si>
    <t xml:space="preserve">Vikram Patel</t>
  </si>
  <si>
    <t xml:space="preserve">Suresh Menon</t>
  </si>
  <si>
    <t xml:space="preserve">Manoj Patel</t>
  </si>
  <si>
    <t xml:space="preserve">South</t>
  </si>
  <si>
    <t xml:space="preserve">Divya Rao</t>
  </si>
  <si>
    <t xml:space="preserve">Anil Verma</t>
  </si>
  <si>
    <t xml:space="preserve">Pooja Nair</t>
  </si>
  <si>
    <t xml:space="preserve">Sanjay Kapoor</t>
  </si>
  <si>
    <t xml:space="preserve">Ritu Menon</t>
  </si>
  <si>
    <t xml:space="preserve">Deepak Shah</t>
  </si>
  <si>
    <t xml:space="preserve">Anjali Chopra</t>
  </si>
  <si>
    <t xml:space="preserve">Naveen Singh</t>
  </si>
  <si>
    <t xml:space="preserve">East</t>
  </si>
  <si>
    <t xml:space="preserve">Shalini Patel</t>
  </si>
  <si>
    <t xml:space="preserve">Prakash Shah</t>
  </si>
  <si>
    <t xml:space="preserve">Meera Iyer</t>
  </si>
  <si>
    <t xml:space="preserve">Gaurav Desai</t>
  </si>
  <si>
    <t xml:space="preserve">Nisha Menon</t>
  </si>
  <si>
    <t xml:space="preserve">Vinod Kumar</t>
  </si>
  <si>
    <t xml:space="preserve">Rekha Chopra</t>
  </si>
  <si>
    <t xml:space="preserve">West</t>
  </si>
  <si>
    <t xml:space="preserve">Ashok Reddy</t>
  </si>
  <si>
    <t xml:space="preserve">Sonia Malhotra</t>
  </si>
  <si>
    <t xml:space="preserve">Ramesh Bhatt</t>
  </si>
  <si>
    <t xml:space="preserve">Preeti Shah</t>
  </si>
  <si>
    <t xml:space="preserve">Arun Iyer</t>
  </si>
  <si>
    <t xml:space="preserve">Kiran Bhatt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</si>
  <si>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</si>
  <si>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</si>
  <si>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</si>
  <si>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</si>
  <si>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</si>
  <si>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</si>
  <si>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</si>
  <si>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</si>
  <si>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</si>
  <si>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</si>
  <si>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</si>
  <si>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</si>
  <si>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Q1 - LOOKUP FUNCTIONS  (25 marks total)</t>
  </si>
  <si>
    <t xml:space="preserve">VLOOKUP · INDEX-MATCH · Two-way lookup · Chain lookup · Approximate lookup · Self-join</t>
  </si>
  <si>
    <t xml:space="preserve">Q#</t>
  </si>
  <si>
    <t xml:space="preserve">Question</t>
  </si>
  <si>
    <t xml:space="preserve">Hint</t>
  </si>
  <si>
    <t xml:space="preserve">Your Answer</t>
  </si>
  <si>
    <t xml:space="preserve">Format</t>
  </si>
  <si>
    <t xml:space="preserve">Q1.1</t>
  </si>
  <si>
    <t xml:space="preserve">For order ORD-00234, what is the customer_id?</t>
  </si>
  <si>
    <t xml:space="preserve">Simple VLOOKUP on Orders sheet.</t>
  </si>
  <si>
    <t xml:space="preserve">CUST-####</t>
  </si>
  <si>
    <t xml:space="preserve">Q1.2</t>
  </si>
  <si>
    <t xml:space="preserve">For order ORD-00456, what is the product_name? (You will need to look up the product_id first, then find its name in Products.)</t>
  </si>
  <si>
    <t xml:space="preserve">Two-step lookup, or nested VLOOKUP.</t>
  </si>
  <si>
    <t xml:space="preserve">Text</t>
  </si>
  <si>
    <t xml:space="preserve">Q1.3</t>
  </si>
  <si>
    <t xml:space="preserve">For order ORD-00987, what is the rep_name of the sales rep? Note: the rep_name is in a column that appears to the LEFT of what you might look up first.</t>
  </si>
  <si>
    <t xml:space="preserve">VLOOKUP has directional limits - INDEX/MATCH does not.</t>
  </si>
  <si>
    <t xml:space="preserve">Q1.4</t>
  </si>
  <si>
    <t xml:space="preserve">From the Targets sheet, what is the target value for rep R012 in the month Mar-24?</t>
  </si>
  <si>
    <t xml:space="preserve">Two-way lookup: row = rep_id, column = month.</t>
  </si>
  <si>
    <t xml:space="preserve">Whole number</t>
  </si>
  <si>
    <t xml:space="preserve">Q1.5</t>
  </si>
  <si>
    <t xml:space="preserve">For order ORD-01500, what is the CATEGORY of the product ordered? (Chain: order → product_id → category)</t>
  </si>
  <si>
    <t xml:space="preserve">Multi-hop lookup across sheets.</t>
  </si>
  <si>
    <t xml:space="preserve">Q1.6</t>
  </si>
  <si>
    <t xml:space="preserve">For order ORD-00789, which DISCOUNT SLAB does it fall in? Use the slab table below (rows 20-24). Slab breakpoints are the LOWER bound of each range.</t>
  </si>
  <si>
    <t xml:space="preserve">Approximate-match VLOOKUP (sort ascending, TRUE / omit last arg).</t>
  </si>
  <si>
    <t xml:space="preserve">Q1.7</t>
  </si>
  <si>
    <t xml:space="preserve">For order ORD-01234, in one cell produce the string:  "&lt;rep_name&gt; (&lt;sales_region&gt;)"  - e.g. "Amit Singh (South)".</t>
  </si>
  <si>
    <t xml:space="preserve">Two lookups joined with &amp; or CONCATENATE.</t>
  </si>
  <si>
    <t xml:space="preserve">Q1.8</t>
  </si>
  <si>
    <t xml:space="preserve">What is the rep_name of the TEAM LEAD for rep R017? (The Sales_Reps sheet has team_lead_id - you need to self-join to find that person's name.)</t>
  </si>
  <si>
    <t xml:space="preserve">Look up the team_lead_id, then look up THAT id's rep_name.</t>
  </si>
  <si>
    <t xml:space="preserve">DISCOUNT SLAB REFERENCE TABLE (use for Q1.6)</t>
  </si>
  <si>
    <t xml:space="preserve">Discount % (Lower)</t>
  </si>
  <si>
    <t xml:space="preserve">Slab</t>
  </si>
  <si>
    <t xml:space="preserve">Bronze</t>
  </si>
  <si>
    <t xml:space="preserve">Silver</t>
  </si>
  <si>
    <t xml:space="preserve">Gold</t>
  </si>
  <si>
    <t xml:space="preserve">Platinum</t>
  </si>
  <si>
    <t xml:space="preserve">Q2 - DATA CLEANING &amp; QUALITY DIAGNOSTICS  (20 marks total)</t>
  </si>
  <si>
    <t xml:space="preserve">Duplicates · Whitespace · Case Inconsistency · Referential Integrity · Discontinued SKUs · Anomaly Patterns</t>
  </si>
  <si>
    <t xml:space="preserve">Q2.1</t>
  </si>
  <si>
    <t xml:space="preserve">How many DUPLICATE rows exist in the Orders sheet (i.e., how many order_id values appear more than once)? Count each duplicate as ONE (not the extras).</t>
  </si>
  <si>
    <t xml:space="preserve">COUNTIF &gt; 1, then count. Watch what you're counting - rows or IDs.</t>
  </si>
  <si>
    <t xml:space="preserve">Q2.2</t>
  </si>
  <si>
    <t xml:space="preserve">How many customers in the Customers sheet have LEADING or TRAILING whitespace in their customer_name?</t>
  </si>
  <si>
    <t xml:space="preserve">Compare LEN vs LEN(TRIM). Or use SUMPRODUCT with a boolean.</t>
  </si>
  <si>
    <t xml:space="preserve">Q2.3</t>
  </si>
  <si>
    <t xml:space="preserve">The Customers sheet has some cities in inconsistent case (e.g., "mumbai", "MUMBAI", "Mumbai"). How many DISTINCT cities exist AFTER standardizing case?</t>
  </si>
  <si>
    <t xml:space="preserve">Combine PROPER/UPPER with a de-dup count. SUMPRODUCT + 1/COUNTIF trick works.</t>
  </si>
  <si>
    <t xml:space="preserve">Q2.4</t>
  </si>
  <si>
    <t xml:space="preserve">How many orders reference a customer_id that DOES NOT EXIST in the Customers sheet? (Broken foreign key)</t>
  </si>
  <si>
    <t xml:space="preserve">Use MATCH with ISNA/ISERROR, then count.</t>
  </si>
  <si>
    <t xml:space="preserve">Q2.5</t>
  </si>
  <si>
    <t xml:space="preserve">How many orders reference a product that is currently DISCONTINUED (is_active = FALSE in the Products sheet)?</t>
  </si>
  <si>
    <t xml:space="preserve">VLOOKUP the is_active flag, then count where FALSE.</t>
  </si>
  <si>
    <t xml:space="preserve">Q2.6</t>
  </si>
  <si>
    <t xml:space="preserve">Find the "suspicious pattern": how many orders have payment_status = "Cancelled" AND a discount_pct &gt; 20%? (This pattern often indicates promo abuse - a real-world diagnostic query.)</t>
  </si>
  <si>
    <t xml:space="preserve">COUNTIFS with two criteria.</t>
  </si>
  <si>
    <t xml:space="preserve">Q3 - CONDITIONAL AGGREGATION  (25 marks total)</t>
  </si>
  <si>
    <t xml:space="preserve">SUMIFS · COUNTIFS · AVERAGEIFS · Nested IF logic · Multi-sheet aggregation · Top-N logic</t>
  </si>
  <si>
    <t xml:space="preserve">Q3.1</t>
  </si>
  <si>
    <t xml:space="preserve">What is the TOTAL REVENUE (sum of final_amount) for orders in Q3 2024 (Jul-Sep) where ship_city is Mumbai?</t>
  </si>
  <si>
    <t xml:space="preserve">SUMIFS with 3 conditions: date &gt;= start, date &lt;= end, city = Mumbai. Beware case issues.</t>
  </si>
  <si>
    <t xml:space="preserve">Currency</t>
  </si>
  <si>
    <t xml:space="preserve">Q3.2</t>
  </si>
  <si>
    <t xml:space="preserve">How many orders have discount_pct &gt; 15% AND payment_status = "Completed"?</t>
  </si>
  <si>
    <t xml:space="preserve">COUNTIFS with two conditions.</t>
  </si>
  <si>
    <t xml:space="preserve">Q3.3</t>
  </si>
  <si>
    <t xml:space="preserve">What is the AVERAGE final_amount for orders where the product CATEGORY is "Electronics" AND the customer SEGMENT is "Corporate"? Note: Both fields come from OTHER sheets - you'll need helper columns.</t>
  </si>
  <si>
    <t xml:space="preserve">Helper columns in Orders: VLOOKUP category from Products, VLOOKUP segment from Customers. Then AVERAGEIFS.</t>
  </si>
  <si>
    <t xml:space="preserve">Q3.4</t>
  </si>
  <si>
    <t xml:space="preserve">What is the COMBINED REVENUE of the TOP 3 reps by total revenue? (Sum of the 3 highest rep totals.)</t>
  </si>
  <si>
    <t xml:space="preserve">Compute per-rep totals, then use SUMPRODUCT with LARGE, or sort and sum top 3.</t>
  </si>
  <si>
    <t xml:space="preserve">Q3.5</t>
  </si>
  <si>
    <t xml:space="preserve">For rep R015 in Nov-24: compute the actual revenue and compare to the target (from Targets sheet). Report the PERFORMANCE TIER using: &lt;80% → "Below", 80-120% → "On Track", &gt;120% → "Exceeds". Return only the tier text.</t>
  </si>
  <si>
    <t xml:space="preserve">Nested IF (or IFS): compute actual/target ratio, then classify.</t>
  </si>
  <si>
    <t xml:space="preserve">Q3.6</t>
  </si>
  <si>
    <t xml:space="preserve">What is the TOTAL revenue from Corporate segment customers aged between 30 and 40 (both inclusive)?</t>
  </si>
  <si>
    <t xml:space="preserve">Helper columns for age and segment. Then SUMIFS with numeric range.</t>
  </si>
  <si>
    <t xml:space="preserve">Q4 - PIVOT TABLES  (20 marks total)</t>
  </si>
  <si>
    <t xml:space="preserve">2D Pivots · Filters · % of Row Total · Date Grouping · Calculated Fields · Cross-Sheet Data</t>
  </si>
  <si>
    <t xml:space="preserve">Q4.1</t>
  </si>
  <si>
    <t xml:space="preserve">Build a pivot with sales_region as rows and product category as columns, values = SUM of final_amount. What value appears at the intersection of "South" and "Electronics"?</t>
  </si>
  <si>
    <t xml:space="preserve">You need to add category (from Products) and region (from Sales_Reps) as columns to Orders first. Insert PivotTable from combined data.</t>
  </si>
  <si>
    <t xml:space="preserve">Q4.2</t>
  </si>
  <si>
    <t xml:space="preserve">Build a pivot: rows = order month (Jan-24 through Dec-24), columns = sales_rep_id, values = SUM of final_amount. What is the HIGHEST single value in the entire pivot? (One number.)</t>
  </si>
  <si>
    <t xml:space="preserve">After building, use MAX() over the pivot data range, or scan visually.</t>
  </si>
  <si>
    <t xml:space="preserve">Q4.3</t>
  </si>
  <si>
    <t xml:space="preserve">For the North sales_region only: what PERCENTAGE of total revenue comes from the Apparel category? Configure the pivot with Show Values As → % of Row Total.</t>
  </si>
  <si>
    <t xml:space="preserve">Pivot: rows=region, cols=category, values=sum(final_amount), Show Values As = % of Row Total.</t>
  </si>
  <si>
    <t xml:space="preserve">Percentage</t>
  </si>
  <si>
    <t xml:space="preserve">Q4.4</t>
  </si>
  <si>
    <t xml:space="preserve">Group order dates by QUARTER in a pivot. What is the total revenue for Q4 2024 (Oct-Dec)?</t>
  </si>
  <si>
    <t xml:space="preserve">PivotTable → Group By → Quarter. Or SUMIFS with date range.</t>
  </si>
  <si>
    <t xml:space="preserve">Q4.5</t>
  </si>
  <si>
    <t xml:space="preserve">Create a CALCULATED FIELD in the pivot: profit_margin = (unit_price - unit_cost) / unit_price. What is the AVERAGE profit_margin for orders shipped to Delhi? Give as a percentage.</t>
  </si>
  <si>
    <t xml:space="preserve">Add unit_cost via VLOOKUP as helper column. Create pivot calculated field, filter to Delhi.</t>
  </si>
  <si>
    <t xml:space="preserve">Q5 - ADVANCED  (10 marks total)</t>
  </si>
  <si>
    <t xml:space="preserve">RANK · Running Totals · TEXTJOIN · LARGE + INDEX/MATCH · Multi-condition top-N</t>
  </si>
  <si>
    <t xml:space="preserve">Q5.1</t>
  </si>
  <si>
    <t xml:space="preserve">Rank all sales reps by total revenue (highest = rank 1). Who (name) is at RANK #7?</t>
  </si>
  <si>
    <t xml:space="preserve">Per-rep totals, then use RANK.EQ, or sort. Return the rep_name at position 7.</t>
  </si>
  <si>
    <t xml:space="preserve">Q5.2</t>
  </si>
  <si>
    <t xml:space="preserve">What is the CUMULATIVE revenue from Jan 2024 through the end of Aug 2024? (Sum of final_amount where order_date &lt;= 31-Aug-2024.)</t>
  </si>
  <si>
    <t xml:space="preserve">SUMIFS with date &lt;=.</t>
  </si>
  <si>
    <t xml:space="preserve">Q5.3</t>
  </si>
  <si>
    <t xml:space="preserve">Among orders where the sales rep is in the WEST region: which product (by name) has the 2nd highest total revenue?</t>
  </si>
  <si>
    <t xml:space="preserve">Helper: sales_region on orders. Filter/pivot to West, sum by product, rank, get #2, VLOOKUP product name.</t>
  </si>
  <si>
    <t xml:space="preserve">Q5.4</t>
  </si>
  <si>
    <t xml:space="preserve">Concatenate the names of the top 5 reps by revenue into a single cell, separated by " | " (space-pipe-space).</t>
  </si>
  <si>
    <t xml:space="preserve">TEXTJOIN with delimiter " | ". Combine with LARGE to pull top 5.</t>
  </si>
  <si>
    <t xml:space="preserve">Q5.5</t>
  </si>
  <si>
    <t xml:space="preserve">What is the HIGHEST single order value (final_amount) where ship_city = "Bengaluru" AND the product's category = "Grocery"?</t>
  </si>
  <si>
    <t xml:space="preserve">MAXIFS with a category helper column, or nested MAX(IF()).</t>
  </si>
  <si>
    <t xml:space="preserve">ship_city_clean</t>
  </si>
  <si>
    <t xml:space="preserve">sales_region</t>
  </si>
  <si>
    <t xml:space="preserve">profit_margin</t>
  </si>
  <si>
    <t xml:space="preserve">total_revenue</t>
  </si>
  <si>
    <t xml:space="preserve">rank</t>
  </si>
  <si>
    <t xml:space="preserve">top_n</t>
  </si>
  <si>
    <t xml:space="preserve">rep_name (top 5)</t>
  </si>
  <si>
    <t xml:space="preserve">west_revenue</t>
  </si>
  <si>
    <t xml:space="preserve">month \ rep_id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</si>
</sst>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General"/>
    <numFmt numFmtId="167" formatCode="#,##0"/>
    <numFmt numFmtId="168" formatCode="0"/>
    <numFmt numFmtId="169" formatCode="#,##0.00"/>
    <numFmt numFmtId="170" formatCode="0.00%"/>
    <numFmt numFmtId="171" formatCode="mmm\-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7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8" min="5" style="0" width="15"/>
  </cols>
  <sheetData>
    <row r="1" customFormat="false" ht="19.5" hidden="false" customHeight="true" outlineLevel="0" collapsed="false">
      <c r="A1" s="1" t="s">
        <v>0</v>
      </c>
    </row>
    <row r="2" customFormat="false" ht="16.5" hidden="false" customHeight="true" outlineLevel="0" collapsed="false">
      <c r="A2" s="2" t="s">
        <v>1</v>
      </c>
    </row>
    <row r="3" customFormat="false" ht="14.25" hidden="false" customHeight="fals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4.2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14.25" hidden="false" customHeight="fals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14.25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9" customFormat="false" ht="14.25" hidden="false" customHeight="fals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4.25" hidden="false" customHeight="false" outlineLevel="0" collapsed="false">
      <c r="A10" s="5" t="s">
        <v>7</v>
      </c>
      <c r="B10" s="5"/>
      <c r="C10" s="5"/>
      <c r="D10" s="5"/>
      <c r="E10" s="5"/>
      <c r="F10" s="5"/>
      <c r="G10" s="5"/>
      <c r="H10" s="5"/>
    </row>
    <row r="11" customFormat="false" ht="14.25" hidden="false" customHeight="false" outlineLevel="0" collapsed="false">
      <c r="A11" s="5" t="s">
        <v>8</v>
      </c>
      <c r="B11" s="5"/>
      <c r="C11" s="5"/>
      <c r="D11" s="5"/>
      <c r="E11" s="5"/>
      <c r="F11" s="5"/>
      <c r="G11" s="5"/>
      <c r="H11" s="5"/>
    </row>
    <row r="12" customFormat="false" ht="14.25" hidden="false" customHeight="false" outlineLevel="0" collapsed="false">
      <c r="A12" s="5" t="s">
        <v>9</v>
      </c>
      <c r="B12" s="5"/>
      <c r="C12" s="5"/>
      <c r="D12" s="5"/>
      <c r="E12" s="5"/>
      <c r="F12" s="5"/>
      <c r="G12" s="5"/>
      <c r="H12" s="5"/>
    </row>
    <row r="14" customFormat="false" ht="15" hidden="false" customHeight="true" outlineLevel="0" collapsed="false">
      <c r="A14" s="6" t="s">
        <v>10</v>
      </c>
    </row>
    <row r="15" customFormat="false" ht="14.25" hidden="false" customHeight="false" outlineLevel="0" collapsed="false">
      <c r="A15" s="5" t="s">
        <v>11</v>
      </c>
      <c r="B15" s="5"/>
      <c r="C15" s="5"/>
      <c r="D15" s="5"/>
      <c r="E15" s="5"/>
      <c r="F15" s="5"/>
      <c r="G15" s="5"/>
      <c r="H15" s="5"/>
    </row>
    <row r="16" customFormat="false" ht="14.25" hidden="false" customHeight="false" outlineLevel="0" collapsed="false">
      <c r="A16" s="5" t="s">
        <v>12</v>
      </c>
      <c r="B16" s="5"/>
      <c r="C16" s="5"/>
      <c r="D16" s="5"/>
      <c r="E16" s="5"/>
      <c r="F16" s="5"/>
      <c r="G16" s="5"/>
      <c r="H16" s="5"/>
    </row>
    <row r="17" customFormat="false" ht="14.25" hidden="false" customHeight="false" outlineLevel="0" collapsed="false">
      <c r="A17" s="5" t="s">
        <v>13</v>
      </c>
      <c r="B17" s="5"/>
      <c r="C17" s="5"/>
      <c r="D17" s="5"/>
      <c r="E17" s="5"/>
      <c r="F17" s="5"/>
      <c r="G17" s="5"/>
      <c r="H17" s="5"/>
    </row>
    <row r="18" customFormat="false" ht="14.25" hidden="false" customHeight="false" outlineLevel="0" collapsed="false">
      <c r="A18" s="5" t="s">
        <v>14</v>
      </c>
      <c r="B18" s="5"/>
      <c r="C18" s="5"/>
      <c r="D18" s="5"/>
      <c r="E18" s="5"/>
      <c r="F18" s="5"/>
      <c r="G18" s="5"/>
      <c r="H18" s="5"/>
    </row>
    <row r="19" customFormat="false" ht="14.25" hidden="false" customHeight="false" outlineLevel="0" collapsed="false">
      <c r="A19" s="5" t="s">
        <v>15</v>
      </c>
      <c r="B19" s="5"/>
      <c r="C19" s="5"/>
      <c r="D19" s="5"/>
      <c r="E19" s="5"/>
      <c r="F19" s="5"/>
      <c r="G19" s="5"/>
      <c r="H19" s="5"/>
    </row>
    <row r="20" customFormat="false" ht="14.25" hidden="false" customHeight="false" outlineLevel="0" collapsed="false">
      <c r="A20" s="5" t="s">
        <v>16</v>
      </c>
      <c r="B20" s="5"/>
      <c r="C20" s="5"/>
      <c r="D20" s="5"/>
      <c r="E20" s="5"/>
      <c r="F20" s="5"/>
      <c r="G20" s="5"/>
      <c r="H20" s="5"/>
    </row>
    <row r="22" customFormat="false" ht="15" hidden="false" customHeight="true" outlineLevel="0" collapsed="false">
      <c r="A22" s="6" t="s">
        <v>17</v>
      </c>
    </row>
    <row r="23" customFormat="false" ht="14.25" hidden="false" customHeight="false" outlineLevel="0" collapsed="false">
      <c r="A23" s="7" t="s">
        <v>18</v>
      </c>
      <c r="B23" s="8" t="s">
        <v>19</v>
      </c>
      <c r="C23" s="7" t="s">
        <v>20</v>
      </c>
      <c r="D23" s="7" t="s">
        <v>21</v>
      </c>
    </row>
    <row r="24" customFormat="false" ht="14.25" hidden="false" customHeight="false" outlineLevel="0" collapsed="false">
      <c r="A24" s="9" t="s">
        <v>22</v>
      </c>
      <c r="B24" s="10" t="s">
        <v>23</v>
      </c>
      <c r="C24" s="9" t="s">
        <v>24</v>
      </c>
      <c r="D24" s="9" t="s">
        <v>25</v>
      </c>
    </row>
    <row r="25" customFormat="false" ht="14.25" hidden="false" customHeight="false" outlineLevel="0" collapsed="false">
      <c r="A25" s="9" t="s">
        <v>26</v>
      </c>
      <c r="B25" s="10" t="s">
        <v>27</v>
      </c>
      <c r="C25" s="9" t="s">
        <v>28</v>
      </c>
      <c r="D25" s="9" t="s">
        <v>29</v>
      </c>
    </row>
    <row r="26" customFormat="false" ht="14.25" hidden="false" customHeight="false" outlineLevel="0" collapsed="false">
      <c r="A26" s="9" t="s">
        <v>30</v>
      </c>
      <c r="B26" s="10" t="s">
        <v>31</v>
      </c>
      <c r="C26" s="9" t="s">
        <v>28</v>
      </c>
      <c r="D26" s="9" t="s">
        <v>25</v>
      </c>
    </row>
    <row r="27" customFormat="false" ht="14.25" hidden="false" customHeight="false" outlineLevel="0" collapsed="false">
      <c r="A27" s="9" t="s">
        <v>32</v>
      </c>
      <c r="B27" s="10" t="s">
        <v>33</v>
      </c>
      <c r="C27" s="9" t="s">
        <v>34</v>
      </c>
      <c r="D27" s="9" t="s">
        <v>29</v>
      </c>
    </row>
    <row r="28" customFormat="false" ht="14.25" hidden="false" customHeight="false" outlineLevel="0" collapsed="false">
      <c r="A28" s="9" t="s">
        <v>35</v>
      </c>
      <c r="B28" s="10" t="s">
        <v>36</v>
      </c>
      <c r="C28" s="9" t="s">
        <v>34</v>
      </c>
      <c r="D28" s="9" t="s">
        <v>37</v>
      </c>
    </row>
    <row r="29" customFormat="false" ht="14.25" hidden="false" customHeight="false" outlineLevel="0" collapsed="false">
      <c r="A29" s="11"/>
      <c r="B29" s="12" t="s">
        <v>38</v>
      </c>
      <c r="C29" s="11" t="s">
        <v>39</v>
      </c>
      <c r="D29" s="11" t="s">
        <v>40</v>
      </c>
    </row>
    <row r="32" customFormat="false" ht="15" hidden="false" customHeight="true" outlineLevel="0" collapsed="false">
      <c r="A32" s="6" t="s">
        <v>41</v>
      </c>
    </row>
    <row r="33" customFormat="false" ht="14.25" hidden="false" customHeight="false" outlineLevel="0" collapsed="false">
      <c r="A33" s="7" t="s">
        <v>21</v>
      </c>
      <c r="B33" s="7" t="s">
        <v>42</v>
      </c>
      <c r="C33" s="8" t="s">
        <v>43</v>
      </c>
    </row>
    <row r="34" customFormat="false" ht="14.25" hidden="false" customHeight="false" outlineLevel="0" collapsed="false">
      <c r="A34" s="9" t="s">
        <v>44</v>
      </c>
      <c r="B34" s="9" t="s">
        <v>45</v>
      </c>
      <c r="C34" s="10" t="s">
        <v>46</v>
      </c>
    </row>
    <row r="35" customFormat="false" ht="14.25" hidden="false" customHeight="false" outlineLevel="0" collapsed="false">
      <c r="A35" s="9" t="s">
        <v>47</v>
      </c>
      <c r="B35" s="9" t="s">
        <v>48</v>
      </c>
      <c r="C35" s="10" t="s">
        <v>49</v>
      </c>
    </row>
    <row r="36" customFormat="false" ht="14.25" hidden="false" customHeight="false" outlineLevel="0" collapsed="false">
      <c r="A36" s="9" t="s">
        <v>50</v>
      </c>
      <c r="B36" s="9" t="s">
        <v>51</v>
      </c>
      <c r="C36" s="10" t="s">
        <v>52</v>
      </c>
    </row>
    <row r="37" customFormat="false" ht="14.25" hidden="false" customHeight="false" outlineLevel="0" collapsed="false">
      <c r="A37" s="9" t="s">
        <v>53</v>
      </c>
      <c r="B37" s="9" t="s">
        <v>54</v>
      </c>
      <c r="C37" s="10" t="s">
        <v>55</v>
      </c>
    </row>
    <row r="38" customFormat="false" ht="14.25" hidden="false" customHeight="false" outlineLevel="0" collapsed="false">
      <c r="A38" s="9" t="s">
        <v>56</v>
      </c>
      <c r="B38" s="9" t="s">
        <v>57</v>
      </c>
      <c r="C38" s="10" t="s">
        <v>58</v>
      </c>
    </row>
    <row r="41" customFormat="false" ht="15" hidden="false" customHeight="true" outlineLevel="0" collapsed="false">
      <c r="A41" s="6" t="s">
        <v>59</v>
      </c>
    </row>
    <row r="42" customFormat="false" ht="14.25" hidden="false" customHeight="false" outlineLevel="0" collapsed="false">
      <c r="A42" s="13" t="s">
        <v>60</v>
      </c>
      <c r="B42" s="13" t="s">
        <v>61</v>
      </c>
      <c r="C42" s="13" t="s">
        <v>62</v>
      </c>
      <c r="D42" s="13" t="s">
        <v>63</v>
      </c>
    </row>
    <row r="43" customFormat="false" ht="36.75" hidden="false" customHeight="true" outlineLevel="0" collapsed="false">
      <c r="A43" s="14" t="s">
        <v>64</v>
      </c>
      <c r="B43" s="14" t="s">
        <v>65</v>
      </c>
      <c r="C43" s="14" t="s">
        <v>66</v>
      </c>
      <c r="D43" s="14" t="s">
        <v>67</v>
      </c>
    </row>
    <row r="44" customFormat="false" ht="24" hidden="false" customHeight="true" outlineLevel="0" collapsed="false">
      <c r="A44" s="14" t="s">
        <v>68</v>
      </c>
      <c r="B44" s="14" t="s">
        <v>69</v>
      </c>
      <c r="C44" s="14" t="s">
        <v>70</v>
      </c>
      <c r="D44" s="14" t="s">
        <v>71</v>
      </c>
    </row>
    <row r="45" customFormat="false" ht="24" hidden="false" customHeight="true" outlineLevel="0" collapsed="false">
      <c r="A45" s="14" t="s">
        <v>72</v>
      </c>
      <c r="B45" s="14" t="s">
        <v>73</v>
      </c>
      <c r="C45" s="14" t="s">
        <v>74</v>
      </c>
      <c r="D45" s="14" t="s">
        <v>75</v>
      </c>
    </row>
    <row r="46" customFormat="false" ht="24" hidden="false" customHeight="true" outlineLevel="0" collapsed="false">
      <c r="A46" s="14" t="s">
        <v>76</v>
      </c>
      <c r="B46" s="14" t="s">
        <v>39</v>
      </c>
      <c r="C46" s="14" t="s">
        <v>77</v>
      </c>
      <c r="D46" s="14" t="s">
        <v>78</v>
      </c>
    </row>
    <row r="47" customFormat="false" ht="24" hidden="false" customHeight="true" outlineLevel="0" collapsed="false">
      <c r="A47" s="14" t="s">
        <v>79</v>
      </c>
      <c r="B47" s="14" t="s">
        <v>80</v>
      </c>
      <c r="C47" s="14" t="s">
        <v>81</v>
      </c>
      <c r="D47" s="14" t="s">
        <v>82</v>
      </c>
    </row>
  </sheetData>
  <mergeCells count="14">
    <mergeCell ref="A5:F5"/>
    <mergeCell ref="A6:H6"/>
    <mergeCell ref="A7:H7"/>
    <mergeCell ref="A8:H8"/>
    <mergeCell ref="A9:H9"/>
    <mergeCell ref="A10:H10"/>
    <mergeCell ref="A11:H11"/>
    <mergeCell ref="A12:H12"/>
    <mergeCell ref="A15:H15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K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1"/>
  </cols>
  <sheetData>
    <row r="1" customFormat="false" ht="14.25" hidden="false" customHeight="false" outlineLevel="0" collapsed="false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  <c r="H1" s="7" t="s">
        <v>90</v>
      </c>
      <c r="I1" s="7" t="s">
        <v>91</v>
      </c>
      <c r="J1" s="7" t="s">
        <v>92</v>
      </c>
      <c r="K1" s="7" t="s">
        <v>93</v>
      </c>
    </row>
    <row r="2" customFormat="false" ht="14.25" hidden="false" customHeight="false" outlineLevel="0" collapsed="false">
      <c r="A2" s="15" t="s">
        <v>94</v>
      </c>
      <c r="B2" s="16" t="n">
        <v>45549</v>
      </c>
      <c r="C2" s="15" t="s">
        <v>95</v>
      </c>
      <c r="D2" s="15" t="s">
        <v>96</v>
      </c>
      <c r="E2" s="15" t="s">
        <v>97</v>
      </c>
      <c r="F2" s="17" t="n">
        <v>8</v>
      </c>
      <c r="G2" s="17" t="n">
        <v>3620</v>
      </c>
      <c r="H2" s="17" t="n">
        <v>15.4</v>
      </c>
      <c r="I2" s="17" t="n">
        <v>24500.16</v>
      </c>
      <c r="J2" s="15" t="s">
        <v>98</v>
      </c>
      <c r="K2" s="15" t="s">
        <v>99</v>
      </c>
    </row>
    <row r="3" customFormat="false" ht="14.25" hidden="false" customHeight="false" outlineLevel="0" collapsed="false">
      <c r="A3" s="15" t="s">
        <v>100</v>
      </c>
      <c r="B3" s="16" t="n">
        <v>45340</v>
      </c>
      <c r="C3" s="15" t="s">
        <v>101</v>
      </c>
      <c r="D3" s="15" t="s">
        <v>102</v>
      </c>
      <c r="E3" s="15" t="s">
        <v>103</v>
      </c>
      <c r="F3" s="17" t="n">
        <v>2</v>
      </c>
      <c r="G3" s="17" t="n">
        <v>820</v>
      </c>
      <c r="H3" s="17" t="n">
        <v>10.8</v>
      </c>
      <c r="I3" s="17" t="n">
        <v>1462.88</v>
      </c>
      <c r="J3" s="15" t="s">
        <v>104</v>
      </c>
      <c r="K3" s="15" t="s">
        <v>105</v>
      </c>
    </row>
    <row r="4" customFormat="false" ht="14.25" hidden="false" customHeight="false" outlineLevel="0" collapsed="false">
      <c r="A4" s="15" t="s">
        <v>106</v>
      </c>
      <c r="B4" s="16" t="n">
        <v>45371</v>
      </c>
      <c r="C4" s="15" t="s">
        <v>107</v>
      </c>
      <c r="D4" s="15" t="s">
        <v>108</v>
      </c>
      <c r="E4" s="15" t="s">
        <v>109</v>
      </c>
      <c r="F4" s="17" t="n">
        <v>8</v>
      </c>
      <c r="G4" s="17" t="n">
        <v>470</v>
      </c>
      <c r="H4" s="17" t="n">
        <v>3.3</v>
      </c>
      <c r="I4" s="17" t="n">
        <v>3635.92</v>
      </c>
      <c r="J4" s="15" t="s">
        <v>104</v>
      </c>
      <c r="K4" s="15" t="s">
        <v>110</v>
      </c>
    </row>
    <row r="5" customFormat="false" ht="14.25" hidden="false" customHeight="false" outlineLevel="0" collapsed="false">
      <c r="A5" s="15" t="s">
        <v>111</v>
      </c>
      <c r="B5" s="16" t="n">
        <v>45413</v>
      </c>
      <c r="C5" s="15" t="s">
        <v>112</v>
      </c>
      <c r="D5" s="15" t="s">
        <v>113</v>
      </c>
      <c r="E5" s="15" t="s">
        <v>114</v>
      </c>
      <c r="F5" s="17" t="n">
        <v>1</v>
      </c>
      <c r="G5" s="17" t="n">
        <v>3660</v>
      </c>
      <c r="H5" s="17" t="n">
        <v>15.7</v>
      </c>
      <c r="I5" s="17" t="n">
        <v>3085.38</v>
      </c>
      <c r="J5" s="15" t="s">
        <v>98</v>
      </c>
      <c r="K5" s="15" t="s">
        <v>110</v>
      </c>
    </row>
    <row r="6" customFormat="false" ht="14.25" hidden="false" customHeight="false" outlineLevel="0" collapsed="false">
      <c r="A6" s="15" t="s">
        <v>115</v>
      </c>
      <c r="B6" s="16" t="n">
        <v>45611</v>
      </c>
      <c r="C6" s="15" t="s">
        <v>116</v>
      </c>
      <c r="D6" s="15" t="s">
        <v>117</v>
      </c>
      <c r="E6" s="15" t="s">
        <v>118</v>
      </c>
      <c r="F6" s="17" t="n">
        <v>1</v>
      </c>
      <c r="G6" s="17" t="n">
        <v>3160</v>
      </c>
      <c r="H6" s="17" t="n">
        <v>26</v>
      </c>
      <c r="I6" s="17" t="n">
        <v>2338.4</v>
      </c>
      <c r="J6" s="15" t="s">
        <v>98</v>
      </c>
      <c r="K6" s="15" t="s">
        <v>105</v>
      </c>
    </row>
    <row r="7" customFormat="false" ht="14.25" hidden="false" customHeight="false" outlineLevel="0" collapsed="false">
      <c r="A7" s="15" t="s">
        <v>119</v>
      </c>
      <c r="B7" s="16" t="n">
        <v>45406</v>
      </c>
      <c r="C7" s="15" t="s">
        <v>120</v>
      </c>
      <c r="D7" s="15" t="s">
        <v>121</v>
      </c>
      <c r="E7" s="15" t="s">
        <v>122</v>
      </c>
      <c r="F7" s="17" t="n">
        <v>4</v>
      </c>
      <c r="G7" s="17" t="n">
        <v>370</v>
      </c>
      <c r="H7" s="17" t="n">
        <v>29</v>
      </c>
      <c r="I7" s="17" t="n">
        <v>1050.8</v>
      </c>
      <c r="J7" s="15" t="s">
        <v>98</v>
      </c>
      <c r="K7" s="15" t="s">
        <v>123</v>
      </c>
    </row>
    <row r="8" customFormat="false" ht="14.25" hidden="false" customHeight="false" outlineLevel="0" collapsed="false">
      <c r="A8" s="15" t="s">
        <v>124</v>
      </c>
      <c r="B8" s="16" t="n">
        <v>45455</v>
      </c>
      <c r="C8" s="15" t="s">
        <v>125</v>
      </c>
      <c r="D8" s="15" t="s">
        <v>126</v>
      </c>
      <c r="E8" s="15" t="s">
        <v>127</v>
      </c>
      <c r="F8" s="17" t="n">
        <v>3</v>
      </c>
      <c r="G8" s="17" t="n">
        <v>960</v>
      </c>
      <c r="H8" s="17" t="n">
        <v>5.8</v>
      </c>
      <c r="I8" s="17" t="n">
        <v>2712.96</v>
      </c>
      <c r="J8" s="15" t="s">
        <v>98</v>
      </c>
      <c r="K8" s="15" t="s">
        <v>128</v>
      </c>
    </row>
    <row r="9" customFormat="false" ht="14.25" hidden="false" customHeight="false" outlineLevel="0" collapsed="false">
      <c r="A9" s="15" t="s">
        <v>129</v>
      </c>
      <c r="B9" s="16" t="n">
        <v>45617</v>
      </c>
      <c r="C9" s="15" t="s">
        <v>130</v>
      </c>
      <c r="D9" s="15" t="s">
        <v>131</v>
      </c>
      <c r="E9" s="15" t="s">
        <v>132</v>
      </c>
      <c r="F9" s="17" t="n">
        <v>8</v>
      </c>
      <c r="G9" s="17" t="n">
        <v>1430</v>
      </c>
      <c r="H9" s="17" t="n">
        <v>2.4</v>
      </c>
      <c r="I9" s="17" t="n">
        <v>11165.44</v>
      </c>
      <c r="J9" s="15" t="s">
        <v>98</v>
      </c>
      <c r="K9" s="15" t="s">
        <v>128</v>
      </c>
    </row>
    <row r="10" customFormat="false" ht="14.25" hidden="false" customHeight="false" outlineLevel="0" collapsed="false">
      <c r="A10" s="15" t="s">
        <v>133</v>
      </c>
      <c r="B10" s="16" t="n">
        <v>45549</v>
      </c>
      <c r="C10" s="15" t="s">
        <v>134</v>
      </c>
      <c r="D10" s="15" t="s">
        <v>135</v>
      </c>
      <c r="E10" s="15" t="s">
        <v>118</v>
      </c>
      <c r="F10" s="17" t="n">
        <v>3</v>
      </c>
      <c r="G10" s="17" t="n">
        <v>5490</v>
      </c>
      <c r="H10" s="17" t="n">
        <v>14.2</v>
      </c>
      <c r="I10" s="17" t="n">
        <v>14131.26</v>
      </c>
      <c r="J10" s="15" t="s">
        <v>98</v>
      </c>
      <c r="K10" s="15" t="s">
        <v>128</v>
      </c>
    </row>
    <row r="11" customFormat="false" ht="14.25" hidden="false" customHeight="false" outlineLevel="0" collapsed="false">
      <c r="A11" s="15" t="s">
        <v>136</v>
      </c>
      <c r="B11" s="16" t="n">
        <v>45396</v>
      </c>
      <c r="C11" s="15" t="s">
        <v>137</v>
      </c>
      <c r="D11" s="15" t="s">
        <v>138</v>
      </c>
      <c r="E11" s="15" t="s">
        <v>139</v>
      </c>
      <c r="F11" s="17" t="n">
        <v>3</v>
      </c>
      <c r="G11" s="17" t="n">
        <v>970</v>
      </c>
      <c r="H11" s="17" t="n">
        <v>1.2</v>
      </c>
      <c r="I11" s="17" t="n">
        <v>2875.08</v>
      </c>
      <c r="J11" s="15" t="s">
        <v>98</v>
      </c>
      <c r="K11" s="15" t="s">
        <v>99</v>
      </c>
    </row>
    <row r="12" customFormat="false" ht="14.25" hidden="false" customHeight="false" outlineLevel="0" collapsed="false">
      <c r="A12" s="15" t="s">
        <v>140</v>
      </c>
      <c r="B12" s="16" t="n">
        <v>45560</v>
      </c>
      <c r="C12" s="15" t="s">
        <v>141</v>
      </c>
      <c r="D12" s="15" t="s">
        <v>142</v>
      </c>
      <c r="E12" s="15" t="s">
        <v>143</v>
      </c>
      <c r="F12" s="17" t="n">
        <v>7</v>
      </c>
      <c r="G12" s="17" t="n">
        <v>2270</v>
      </c>
      <c r="H12" s="17" t="n">
        <v>7.1</v>
      </c>
      <c r="I12" s="17" t="n">
        <v>14761.81</v>
      </c>
      <c r="J12" s="15" t="s">
        <v>104</v>
      </c>
      <c r="K12" s="15" t="s">
        <v>144</v>
      </c>
    </row>
    <row r="13" customFormat="false" ht="14.25" hidden="false" customHeight="false" outlineLevel="0" collapsed="false">
      <c r="A13" s="15" t="s">
        <v>145</v>
      </c>
      <c r="B13" s="16" t="n">
        <v>45332</v>
      </c>
      <c r="C13" s="15" t="s">
        <v>137</v>
      </c>
      <c r="D13" s="15" t="s">
        <v>146</v>
      </c>
      <c r="E13" s="15" t="s">
        <v>127</v>
      </c>
      <c r="F13" s="17" t="n">
        <v>9</v>
      </c>
      <c r="G13" s="17" t="n">
        <v>2640</v>
      </c>
      <c r="H13" s="17" t="n">
        <v>21.7</v>
      </c>
      <c r="I13" s="17" t="n">
        <v>18604.08</v>
      </c>
      <c r="J13" s="15" t="s">
        <v>98</v>
      </c>
      <c r="K13" s="15" t="s">
        <v>99</v>
      </c>
    </row>
    <row r="14" customFormat="false" ht="14.25" hidden="false" customHeight="false" outlineLevel="0" collapsed="false">
      <c r="A14" s="15" t="s">
        <v>147</v>
      </c>
      <c r="B14" s="16" t="n">
        <v>45507</v>
      </c>
      <c r="C14" s="15" t="s">
        <v>148</v>
      </c>
      <c r="D14" s="15" t="s">
        <v>149</v>
      </c>
      <c r="E14" s="15" t="s">
        <v>150</v>
      </c>
      <c r="F14" s="17" t="n">
        <v>3</v>
      </c>
      <c r="G14" s="17" t="n">
        <v>2600</v>
      </c>
      <c r="H14" s="17" t="n">
        <v>4.3</v>
      </c>
      <c r="I14" s="17" t="n">
        <v>7464.6</v>
      </c>
      <c r="J14" s="15" t="s">
        <v>151</v>
      </c>
      <c r="K14" s="15" t="s">
        <v>110</v>
      </c>
    </row>
    <row r="15" customFormat="false" ht="14.25" hidden="false" customHeight="false" outlineLevel="0" collapsed="false">
      <c r="A15" s="15" t="s">
        <v>152</v>
      </c>
      <c r="B15" s="16" t="n">
        <v>45466</v>
      </c>
      <c r="C15" s="15" t="s">
        <v>153</v>
      </c>
      <c r="D15" s="15" t="s">
        <v>154</v>
      </c>
      <c r="E15" s="15" t="s">
        <v>122</v>
      </c>
      <c r="F15" s="17" t="n">
        <v>3</v>
      </c>
      <c r="G15" s="17" t="n">
        <v>3250</v>
      </c>
      <c r="H15" s="17" t="n">
        <v>14.1</v>
      </c>
      <c r="I15" s="17" t="n">
        <v>8375.25</v>
      </c>
      <c r="J15" s="15" t="s">
        <v>155</v>
      </c>
      <c r="K15" s="15" t="s">
        <v>99</v>
      </c>
    </row>
    <row r="16" customFormat="false" ht="14.25" hidden="false" customHeight="false" outlineLevel="0" collapsed="false">
      <c r="A16" s="15" t="s">
        <v>156</v>
      </c>
      <c r="B16" s="16" t="n">
        <v>45365</v>
      </c>
      <c r="C16" s="15" t="s">
        <v>157</v>
      </c>
      <c r="D16" s="15" t="s">
        <v>158</v>
      </c>
      <c r="E16" s="15" t="s">
        <v>159</v>
      </c>
      <c r="F16" s="17" t="n">
        <v>1</v>
      </c>
      <c r="G16" s="17" t="n">
        <v>190</v>
      </c>
      <c r="H16" s="17" t="n">
        <v>20.7</v>
      </c>
      <c r="I16" s="17" t="n">
        <v>150.67</v>
      </c>
      <c r="J16" s="15" t="s">
        <v>98</v>
      </c>
      <c r="K16" s="15" t="s">
        <v>99</v>
      </c>
    </row>
    <row r="17" customFormat="false" ht="14.25" hidden="false" customHeight="false" outlineLevel="0" collapsed="false">
      <c r="A17" s="15" t="s">
        <v>160</v>
      </c>
      <c r="B17" s="16" t="n">
        <v>45546</v>
      </c>
      <c r="C17" s="15" t="s">
        <v>161</v>
      </c>
      <c r="D17" s="15" t="s">
        <v>162</v>
      </c>
      <c r="E17" s="15" t="s">
        <v>109</v>
      </c>
      <c r="F17" s="17" t="n">
        <v>7</v>
      </c>
      <c r="G17" s="17" t="n">
        <v>2400</v>
      </c>
      <c r="H17" s="17" t="n">
        <v>10.2</v>
      </c>
      <c r="I17" s="17" t="n">
        <v>15086.4</v>
      </c>
      <c r="J17" s="15" t="s">
        <v>104</v>
      </c>
      <c r="K17" s="15" t="s">
        <v>99</v>
      </c>
    </row>
    <row r="18" customFormat="false" ht="14.25" hidden="false" customHeight="false" outlineLevel="0" collapsed="false">
      <c r="A18" s="15" t="s">
        <v>163</v>
      </c>
      <c r="B18" s="16" t="n">
        <v>45512</v>
      </c>
      <c r="C18" s="15" t="s">
        <v>164</v>
      </c>
      <c r="D18" s="15" t="s">
        <v>113</v>
      </c>
      <c r="E18" s="15" t="s">
        <v>165</v>
      </c>
      <c r="F18" s="17" t="n">
        <v>4</v>
      </c>
      <c r="G18" s="17" t="n">
        <v>3660</v>
      </c>
      <c r="H18" s="17" t="n">
        <v>2.6</v>
      </c>
      <c r="I18" s="17" t="n">
        <v>14259.36</v>
      </c>
      <c r="J18" s="15" t="s">
        <v>98</v>
      </c>
      <c r="K18" s="15" t="s">
        <v>128</v>
      </c>
    </row>
    <row r="19" customFormat="false" ht="14.25" hidden="false" customHeight="false" outlineLevel="0" collapsed="false">
      <c r="A19" s="15" t="s">
        <v>166</v>
      </c>
      <c r="B19" s="16" t="n">
        <v>45654</v>
      </c>
      <c r="C19" s="15" t="s">
        <v>167</v>
      </c>
      <c r="D19" s="15" t="s">
        <v>168</v>
      </c>
      <c r="E19" s="15" t="s">
        <v>169</v>
      </c>
      <c r="F19" s="17" t="n">
        <v>8</v>
      </c>
      <c r="G19" s="17" t="n">
        <v>3450</v>
      </c>
      <c r="H19" s="17" t="n">
        <v>18.5</v>
      </c>
      <c r="I19" s="17" t="n">
        <v>22494</v>
      </c>
      <c r="J19" s="15" t="s">
        <v>98</v>
      </c>
      <c r="K19" s="15" t="s">
        <v>144</v>
      </c>
    </row>
    <row r="20" customFormat="false" ht="14.25" hidden="false" customHeight="false" outlineLevel="0" collapsed="false">
      <c r="A20" s="15" t="s">
        <v>170</v>
      </c>
      <c r="B20" s="16" t="n">
        <v>45626</v>
      </c>
      <c r="C20" s="15" t="s">
        <v>171</v>
      </c>
      <c r="D20" s="15" t="s">
        <v>172</v>
      </c>
      <c r="E20" s="15" t="s">
        <v>165</v>
      </c>
      <c r="F20" s="17" t="n">
        <v>5</v>
      </c>
      <c r="G20" s="17" t="n">
        <v>3450</v>
      </c>
      <c r="H20" s="17" t="n">
        <v>7.3</v>
      </c>
      <c r="I20" s="17" t="n">
        <v>15990.75</v>
      </c>
      <c r="J20" s="15" t="s">
        <v>98</v>
      </c>
      <c r="K20" s="15" t="s">
        <v>123</v>
      </c>
    </row>
    <row r="21" customFormat="false" ht="14.25" hidden="false" customHeight="false" outlineLevel="0" collapsed="false">
      <c r="A21" s="15" t="s">
        <v>173</v>
      </c>
      <c r="B21" s="16" t="n">
        <v>45394</v>
      </c>
      <c r="C21" s="15" t="s">
        <v>174</v>
      </c>
      <c r="D21" s="15" t="s">
        <v>175</v>
      </c>
      <c r="E21" s="15" t="s">
        <v>165</v>
      </c>
      <c r="F21" s="17" t="n">
        <v>8</v>
      </c>
      <c r="G21" s="17" t="n">
        <v>1080</v>
      </c>
      <c r="H21" s="17" t="n">
        <v>2.2</v>
      </c>
      <c r="I21" s="17" t="n">
        <v>8449.92</v>
      </c>
      <c r="J21" s="15" t="s">
        <v>98</v>
      </c>
      <c r="K21" s="15" t="s">
        <v>105</v>
      </c>
    </row>
    <row r="22" customFormat="false" ht="14.25" hidden="false" customHeight="false" outlineLevel="0" collapsed="false">
      <c r="A22" s="15" t="s">
        <v>176</v>
      </c>
      <c r="B22" s="16" t="n">
        <v>45470</v>
      </c>
      <c r="C22" s="15" t="s">
        <v>177</v>
      </c>
      <c r="D22" s="15" t="s">
        <v>178</v>
      </c>
      <c r="E22" s="15" t="s">
        <v>114</v>
      </c>
      <c r="F22" s="17" t="n">
        <v>7</v>
      </c>
      <c r="G22" s="17" t="n">
        <v>2480</v>
      </c>
      <c r="H22" s="17" t="n">
        <v>28.7</v>
      </c>
      <c r="I22" s="17" t="n">
        <v>12377.68</v>
      </c>
      <c r="J22" s="15" t="s">
        <v>98</v>
      </c>
      <c r="K22" s="15" t="s">
        <v>144</v>
      </c>
    </row>
    <row r="23" customFormat="false" ht="14.25" hidden="false" customHeight="false" outlineLevel="0" collapsed="false">
      <c r="A23" s="15" t="s">
        <v>179</v>
      </c>
      <c r="B23" s="16" t="n">
        <v>45354</v>
      </c>
      <c r="C23" s="15" t="s">
        <v>180</v>
      </c>
      <c r="D23" s="15" t="s">
        <v>154</v>
      </c>
      <c r="E23" s="15" t="s">
        <v>181</v>
      </c>
      <c r="F23" s="17" t="n">
        <v>4</v>
      </c>
      <c r="G23" s="17" t="n">
        <v>3250</v>
      </c>
      <c r="H23" s="17" t="n">
        <v>24.6</v>
      </c>
      <c r="I23" s="17" t="n">
        <v>9802</v>
      </c>
      <c r="J23" s="15" t="s">
        <v>98</v>
      </c>
      <c r="K23" s="15" t="s">
        <v>123</v>
      </c>
    </row>
    <row r="24" customFormat="false" ht="14.25" hidden="false" customHeight="false" outlineLevel="0" collapsed="false">
      <c r="A24" s="15" t="s">
        <v>182</v>
      </c>
      <c r="B24" s="16" t="n">
        <v>45530</v>
      </c>
      <c r="C24" s="15" t="s">
        <v>183</v>
      </c>
      <c r="D24" s="15" t="s">
        <v>184</v>
      </c>
      <c r="E24" s="15" t="s">
        <v>181</v>
      </c>
      <c r="F24" s="17" t="n">
        <v>9</v>
      </c>
      <c r="G24" s="17" t="n">
        <v>2720</v>
      </c>
      <c r="H24" s="17" t="n">
        <v>26.2</v>
      </c>
      <c r="I24" s="17" t="n">
        <v>18066.24</v>
      </c>
      <c r="J24" s="15" t="s">
        <v>98</v>
      </c>
      <c r="K24" s="15" t="s">
        <v>99</v>
      </c>
    </row>
    <row r="25" customFormat="false" ht="14.25" hidden="false" customHeight="false" outlineLevel="0" collapsed="false">
      <c r="A25" s="15" t="s">
        <v>185</v>
      </c>
      <c r="B25" s="16" t="n">
        <v>45472</v>
      </c>
      <c r="C25" s="15" t="s">
        <v>186</v>
      </c>
      <c r="D25" s="15" t="s">
        <v>187</v>
      </c>
      <c r="E25" s="15" t="s">
        <v>159</v>
      </c>
      <c r="F25" s="17" t="n">
        <v>2</v>
      </c>
      <c r="G25" s="17" t="n">
        <v>1650</v>
      </c>
      <c r="H25" s="17" t="n">
        <v>9.4</v>
      </c>
      <c r="I25" s="17" t="n">
        <v>2989.8</v>
      </c>
      <c r="J25" s="15" t="s">
        <v>98</v>
      </c>
      <c r="K25" s="15" t="s">
        <v>144</v>
      </c>
    </row>
    <row r="26" customFormat="false" ht="14.25" hidden="false" customHeight="false" outlineLevel="0" collapsed="false">
      <c r="A26" s="15" t="s">
        <v>188</v>
      </c>
      <c r="B26" s="16" t="n">
        <v>45394</v>
      </c>
      <c r="C26" s="15" t="s">
        <v>189</v>
      </c>
      <c r="D26" s="15" t="s">
        <v>190</v>
      </c>
      <c r="E26" s="15" t="s">
        <v>165</v>
      </c>
      <c r="F26" s="17" t="n">
        <v>6</v>
      </c>
      <c r="G26" s="17" t="n">
        <v>3350</v>
      </c>
      <c r="H26" s="17" t="n">
        <v>6.1</v>
      </c>
      <c r="I26" s="17" t="n">
        <v>18873.9</v>
      </c>
      <c r="J26" s="15" t="s">
        <v>104</v>
      </c>
      <c r="K26" s="15" t="s">
        <v>105</v>
      </c>
    </row>
    <row r="27" customFormat="false" ht="14.25" hidden="false" customHeight="false" outlineLevel="0" collapsed="false">
      <c r="A27" s="15" t="s">
        <v>191</v>
      </c>
      <c r="B27" s="16" t="n">
        <v>45570</v>
      </c>
      <c r="C27" s="15" t="s">
        <v>192</v>
      </c>
      <c r="D27" s="15" t="s">
        <v>193</v>
      </c>
      <c r="E27" s="15" t="s">
        <v>132</v>
      </c>
      <c r="F27" s="17" t="n">
        <v>2</v>
      </c>
      <c r="G27" s="17" t="n">
        <v>1010</v>
      </c>
      <c r="H27" s="17" t="n">
        <v>16.5</v>
      </c>
      <c r="I27" s="17" t="n">
        <v>1686.7</v>
      </c>
      <c r="J27" s="15" t="s">
        <v>151</v>
      </c>
      <c r="K27" s="15" t="s">
        <v>110</v>
      </c>
    </row>
    <row r="28" customFormat="false" ht="14.25" hidden="false" customHeight="false" outlineLevel="0" collapsed="false">
      <c r="A28" s="15" t="s">
        <v>194</v>
      </c>
      <c r="B28" s="16" t="n">
        <v>45401</v>
      </c>
      <c r="C28" s="15" t="s">
        <v>107</v>
      </c>
      <c r="D28" s="15" t="s">
        <v>195</v>
      </c>
      <c r="E28" s="15" t="s">
        <v>114</v>
      </c>
      <c r="F28" s="17" t="n">
        <v>5</v>
      </c>
      <c r="G28" s="17" t="n">
        <v>4880</v>
      </c>
      <c r="H28" s="17" t="n">
        <v>23.6</v>
      </c>
      <c r="I28" s="17" t="n">
        <v>18641.6</v>
      </c>
      <c r="J28" s="15" t="s">
        <v>98</v>
      </c>
      <c r="K28" s="15" t="s">
        <v>110</v>
      </c>
    </row>
    <row r="29" customFormat="false" ht="14.25" hidden="false" customHeight="false" outlineLevel="0" collapsed="false">
      <c r="A29" s="15" t="s">
        <v>196</v>
      </c>
      <c r="B29" s="16" t="n">
        <v>45517</v>
      </c>
      <c r="C29" s="15" t="s">
        <v>197</v>
      </c>
      <c r="D29" s="15" t="s">
        <v>198</v>
      </c>
      <c r="E29" s="15" t="s">
        <v>199</v>
      </c>
      <c r="F29" s="17" t="n">
        <v>7</v>
      </c>
      <c r="G29" s="17" t="n">
        <v>3570</v>
      </c>
      <c r="H29" s="17" t="n">
        <v>5.8</v>
      </c>
      <c r="I29" s="17" t="n">
        <v>23540.58</v>
      </c>
      <c r="J29" s="15" t="s">
        <v>151</v>
      </c>
      <c r="K29" s="15" t="s">
        <v>105</v>
      </c>
    </row>
    <row r="30" customFormat="false" ht="14.25" hidden="false" customHeight="false" outlineLevel="0" collapsed="false">
      <c r="A30" s="15" t="s">
        <v>200</v>
      </c>
      <c r="B30" s="16" t="n">
        <v>45363</v>
      </c>
      <c r="C30" s="15" t="s">
        <v>201</v>
      </c>
      <c r="D30" s="15" t="s">
        <v>202</v>
      </c>
      <c r="E30" s="15" t="s">
        <v>203</v>
      </c>
      <c r="F30" s="17" t="n">
        <v>9</v>
      </c>
      <c r="G30" s="17" t="n">
        <v>5100</v>
      </c>
      <c r="H30" s="17" t="n">
        <v>16.7</v>
      </c>
      <c r="I30" s="17" t="n">
        <v>38234.7</v>
      </c>
      <c r="J30" s="15" t="s">
        <v>98</v>
      </c>
      <c r="K30" s="15" t="s">
        <v>144</v>
      </c>
    </row>
    <row r="31" customFormat="false" ht="14.25" hidden="false" customHeight="false" outlineLevel="0" collapsed="false">
      <c r="A31" s="15" t="s">
        <v>204</v>
      </c>
      <c r="B31" s="16" t="n">
        <v>45367</v>
      </c>
      <c r="C31" s="15" t="s">
        <v>205</v>
      </c>
      <c r="D31" s="15" t="s">
        <v>206</v>
      </c>
      <c r="E31" s="15" t="s">
        <v>103</v>
      </c>
      <c r="F31" s="17" t="n">
        <v>3</v>
      </c>
      <c r="G31" s="17" t="n">
        <v>2860</v>
      </c>
      <c r="H31" s="17" t="n">
        <v>25.8</v>
      </c>
      <c r="I31" s="17" t="n">
        <v>6366.36</v>
      </c>
      <c r="J31" s="15" t="s">
        <v>98</v>
      </c>
      <c r="K31" s="15" t="s">
        <v>99</v>
      </c>
    </row>
    <row r="32" customFormat="false" ht="14.25" hidden="false" customHeight="false" outlineLevel="0" collapsed="false">
      <c r="A32" s="15" t="s">
        <v>207</v>
      </c>
      <c r="B32" s="16" t="n">
        <v>45569</v>
      </c>
      <c r="C32" s="15" t="s">
        <v>208</v>
      </c>
      <c r="D32" s="15" t="s">
        <v>138</v>
      </c>
      <c r="E32" s="15" t="s">
        <v>114</v>
      </c>
      <c r="F32" s="17" t="n">
        <v>7</v>
      </c>
      <c r="G32" s="17" t="n">
        <v>970</v>
      </c>
      <c r="H32" s="17" t="n">
        <v>29.8</v>
      </c>
      <c r="I32" s="17" t="n">
        <v>4766.58</v>
      </c>
      <c r="J32" s="15" t="s">
        <v>98</v>
      </c>
      <c r="K32" s="15" t="s">
        <v>99</v>
      </c>
    </row>
    <row r="33" customFormat="false" ht="14.25" hidden="false" customHeight="false" outlineLevel="0" collapsed="false">
      <c r="A33" s="15" t="s">
        <v>209</v>
      </c>
      <c r="B33" s="16" t="n">
        <v>45641</v>
      </c>
      <c r="C33" s="15" t="s">
        <v>210</v>
      </c>
      <c r="D33" s="15" t="s">
        <v>211</v>
      </c>
      <c r="E33" s="15" t="s">
        <v>212</v>
      </c>
      <c r="F33" s="17" t="n">
        <v>4</v>
      </c>
      <c r="G33" s="17" t="n">
        <v>2760</v>
      </c>
      <c r="H33" s="17" t="n">
        <v>5.9</v>
      </c>
      <c r="I33" s="17" t="n">
        <v>10388.64</v>
      </c>
      <c r="J33" s="15" t="s">
        <v>98</v>
      </c>
      <c r="K33" s="15" t="s">
        <v>144</v>
      </c>
    </row>
    <row r="34" customFormat="false" ht="14.25" hidden="false" customHeight="false" outlineLevel="0" collapsed="false">
      <c r="A34" s="15" t="s">
        <v>213</v>
      </c>
      <c r="B34" s="16" t="n">
        <v>45343</v>
      </c>
      <c r="C34" s="15" t="s">
        <v>167</v>
      </c>
      <c r="D34" s="15" t="s">
        <v>214</v>
      </c>
      <c r="E34" s="15" t="s">
        <v>215</v>
      </c>
      <c r="F34" s="17" t="n">
        <v>10</v>
      </c>
      <c r="G34" s="17" t="n">
        <v>660</v>
      </c>
      <c r="H34" s="17" t="n">
        <v>18.3</v>
      </c>
      <c r="I34" s="17" t="n">
        <v>5392.2</v>
      </c>
      <c r="J34" s="15" t="s">
        <v>104</v>
      </c>
      <c r="K34" s="15" t="s">
        <v>144</v>
      </c>
    </row>
    <row r="35" customFormat="false" ht="14.25" hidden="false" customHeight="false" outlineLevel="0" collapsed="false">
      <c r="A35" s="15" t="s">
        <v>216</v>
      </c>
      <c r="B35" s="16" t="n">
        <v>45576</v>
      </c>
      <c r="C35" s="15" t="s">
        <v>217</v>
      </c>
      <c r="D35" s="15" t="s">
        <v>154</v>
      </c>
      <c r="E35" s="15" t="s">
        <v>132</v>
      </c>
      <c r="F35" s="17" t="n">
        <v>1</v>
      </c>
      <c r="G35" s="17" t="n">
        <v>3250</v>
      </c>
      <c r="H35" s="17" t="n">
        <v>10.7</v>
      </c>
      <c r="I35" s="17" t="n">
        <v>2902.25</v>
      </c>
      <c r="J35" s="15" t="s">
        <v>98</v>
      </c>
      <c r="K35" s="15" t="s">
        <v>144</v>
      </c>
    </row>
    <row r="36" customFormat="false" ht="14.25" hidden="false" customHeight="false" outlineLevel="0" collapsed="false">
      <c r="A36" s="15" t="s">
        <v>218</v>
      </c>
      <c r="B36" s="16" t="n">
        <v>45462</v>
      </c>
      <c r="C36" s="15" t="s">
        <v>219</v>
      </c>
      <c r="D36" s="15" t="s">
        <v>202</v>
      </c>
      <c r="E36" s="15" t="s">
        <v>132</v>
      </c>
      <c r="F36" s="17" t="n">
        <v>8</v>
      </c>
      <c r="G36" s="17" t="n">
        <v>5100</v>
      </c>
      <c r="H36" s="17" t="n">
        <v>26.4</v>
      </c>
      <c r="I36" s="17" t="n">
        <v>30028.8</v>
      </c>
      <c r="J36" s="15" t="s">
        <v>151</v>
      </c>
      <c r="K36" s="15" t="s">
        <v>144</v>
      </c>
    </row>
    <row r="37" customFormat="false" ht="14.25" hidden="false" customHeight="false" outlineLevel="0" collapsed="false">
      <c r="A37" s="15" t="s">
        <v>220</v>
      </c>
      <c r="B37" s="16" t="n">
        <v>45442</v>
      </c>
      <c r="C37" s="15" t="s">
        <v>221</v>
      </c>
      <c r="D37" s="15" t="s">
        <v>175</v>
      </c>
      <c r="E37" s="15" t="s">
        <v>169</v>
      </c>
      <c r="F37" s="17" t="n">
        <v>1</v>
      </c>
      <c r="G37" s="17" t="n">
        <v>1080</v>
      </c>
      <c r="H37" s="17" t="n">
        <v>5.1</v>
      </c>
      <c r="I37" s="17" t="n">
        <v>1024.92</v>
      </c>
      <c r="J37" s="15" t="s">
        <v>98</v>
      </c>
      <c r="K37" s="15" t="s">
        <v>110</v>
      </c>
    </row>
    <row r="38" customFormat="false" ht="14.25" hidden="false" customHeight="false" outlineLevel="0" collapsed="false">
      <c r="A38" s="15" t="s">
        <v>222</v>
      </c>
      <c r="B38" s="16" t="n">
        <v>45646</v>
      </c>
      <c r="C38" s="15" t="s">
        <v>223</v>
      </c>
      <c r="D38" s="15" t="s">
        <v>135</v>
      </c>
      <c r="E38" s="15" t="s">
        <v>215</v>
      </c>
      <c r="F38" s="17" t="n">
        <v>2</v>
      </c>
      <c r="G38" s="17" t="n">
        <v>5490</v>
      </c>
      <c r="H38" s="17" t="n">
        <v>21.1</v>
      </c>
      <c r="I38" s="17" t="n">
        <v>8663.22</v>
      </c>
      <c r="J38" s="15" t="s">
        <v>151</v>
      </c>
      <c r="K38" s="15" t="s">
        <v>123</v>
      </c>
    </row>
    <row r="39" customFormat="false" ht="14.25" hidden="false" customHeight="false" outlineLevel="0" collapsed="false">
      <c r="A39" s="15" t="s">
        <v>224</v>
      </c>
      <c r="B39" s="16" t="n">
        <v>45478</v>
      </c>
      <c r="C39" s="15" t="s">
        <v>225</v>
      </c>
      <c r="D39" s="15" t="s">
        <v>158</v>
      </c>
      <c r="E39" s="15" t="s">
        <v>226</v>
      </c>
      <c r="F39" s="17" t="n">
        <v>7</v>
      </c>
      <c r="G39" s="17" t="n">
        <v>190</v>
      </c>
      <c r="H39" s="17" t="n">
        <v>28.7</v>
      </c>
      <c r="I39" s="17" t="n">
        <v>948.29</v>
      </c>
      <c r="J39" s="15" t="s">
        <v>98</v>
      </c>
      <c r="K39" s="15" t="s">
        <v>128</v>
      </c>
    </row>
    <row r="40" customFormat="false" ht="14.25" hidden="false" customHeight="false" outlineLevel="0" collapsed="false">
      <c r="A40" s="15" t="s">
        <v>227</v>
      </c>
      <c r="B40" s="16" t="n">
        <v>45355</v>
      </c>
      <c r="C40" s="15" t="s">
        <v>228</v>
      </c>
      <c r="D40" s="15" t="s">
        <v>162</v>
      </c>
      <c r="E40" s="15" t="s">
        <v>199</v>
      </c>
      <c r="F40" s="17" t="n">
        <v>6</v>
      </c>
      <c r="G40" s="17" t="n">
        <v>2400</v>
      </c>
      <c r="H40" s="17" t="n">
        <v>2.7</v>
      </c>
      <c r="I40" s="17" t="n">
        <v>14011.2</v>
      </c>
      <c r="J40" s="15" t="s">
        <v>98</v>
      </c>
      <c r="K40" s="15" t="s">
        <v>105</v>
      </c>
    </row>
    <row r="41" customFormat="false" ht="14.25" hidden="false" customHeight="false" outlineLevel="0" collapsed="false">
      <c r="A41" s="15" t="s">
        <v>229</v>
      </c>
      <c r="B41" s="16" t="n">
        <v>45599</v>
      </c>
      <c r="C41" s="15" t="s">
        <v>230</v>
      </c>
      <c r="D41" s="15" t="s">
        <v>187</v>
      </c>
      <c r="E41" s="15" t="s">
        <v>165</v>
      </c>
      <c r="F41" s="17" t="n">
        <v>9</v>
      </c>
      <c r="G41" s="17" t="n">
        <v>1650</v>
      </c>
      <c r="H41" s="17" t="n">
        <v>11.6</v>
      </c>
      <c r="I41" s="17" t="n">
        <v>13127.4</v>
      </c>
      <c r="J41" s="15" t="s">
        <v>98</v>
      </c>
      <c r="K41" s="15" t="s">
        <v>110</v>
      </c>
    </row>
    <row r="42" customFormat="false" ht="14.25" hidden="false" customHeight="false" outlineLevel="0" collapsed="false">
      <c r="A42" s="15" t="s">
        <v>231</v>
      </c>
      <c r="B42" s="16" t="n">
        <v>45606</v>
      </c>
      <c r="C42" s="15" t="s">
        <v>232</v>
      </c>
      <c r="D42" s="15" t="s">
        <v>135</v>
      </c>
      <c r="E42" s="15" t="s">
        <v>114</v>
      </c>
      <c r="F42" s="17" t="n">
        <v>4</v>
      </c>
      <c r="G42" s="17" t="n">
        <v>5490</v>
      </c>
      <c r="H42" s="17" t="n">
        <v>12.8</v>
      </c>
      <c r="I42" s="17" t="n">
        <v>19149.12</v>
      </c>
      <c r="J42" s="15" t="s">
        <v>151</v>
      </c>
      <c r="K42" s="15" t="s">
        <v>105</v>
      </c>
    </row>
    <row r="43" customFormat="false" ht="14.25" hidden="false" customHeight="false" outlineLevel="0" collapsed="false">
      <c r="A43" s="15" t="s">
        <v>233</v>
      </c>
      <c r="B43" s="16" t="n">
        <v>45432</v>
      </c>
      <c r="C43" s="15" t="s">
        <v>234</v>
      </c>
      <c r="D43" s="15" t="s">
        <v>195</v>
      </c>
      <c r="E43" s="15" t="s">
        <v>109</v>
      </c>
      <c r="F43" s="17" t="n">
        <v>10</v>
      </c>
      <c r="G43" s="17" t="n">
        <v>4880</v>
      </c>
      <c r="H43" s="17" t="n">
        <v>12.7</v>
      </c>
      <c r="I43" s="17" t="n">
        <v>42602.4</v>
      </c>
      <c r="J43" s="15" t="s">
        <v>98</v>
      </c>
      <c r="K43" s="15" t="s">
        <v>110</v>
      </c>
    </row>
    <row r="44" customFormat="false" ht="14.25" hidden="false" customHeight="false" outlineLevel="0" collapsed="false">
      <c r="A44" s="15" t="s">
        <v>235</v>
      </c>
      <c r="B44" s="16" t="n">
        <v>45392</v>
      </c>
      <c r="C44" s="15" t="s">
        <v>236</v>
      </c>
      <c r="D44" s="15" t="s">
        <v>237</v>
      </c>
      <c r="E44" s="15" t="s">
        <v>132</v>
      </c>
      <c r="F44" s="17" t="n">
        <v>2</v>
      </c>
      <c r="G44" s="17" t="n">
        <v>3730</v>
      </c>
      <c r="H44" s="17" t="n">
        <v>25.8</v>
      </c>
      <c r="I44" s="17" t="n">
        <v>5535.32</v>
      </c>
      <c r="J44" s="15" t="s">
        <v>98</v>
      </c>
      <c r="K44" s="15" t="s">
        <v>105</v>
      </c>
    </row>
    <row r="45" customFormat="false" ht="14.25" hidden="false" customHeight="false" outlineLevel="0" collapsed="false">
      <c r="A45" s="15" t="s">
        <v>238</v>
      </c>
      <c r="B45" s="16" t="n">
        <v>45396</v>
      </c>
      <c r="C45" s="15" t="s">
        <v>239</v>
      </c>
      <c r="D45" s="15" t="s">
        <v>168</v>
      </c>
      <c r="E45" s="15" t="s">
        <v>240</v>
      </c>
      <c r="F45" s="17" t="n">
        <v>4</v>
      </c>
      <c r="G45" s="17" t="n">
        <v>3450</v>
      </c>
      <c r="H45" s="17" t="n">
        <v>20.7</v>
      </c>
      <c r="I45" s="17" t="n">
        <v>10943.4</v>
      </c>
      <c r="J45" s="15" t="s">
        <v>98</v>
      </c>
      <c r="K45" s="15" t="s">
        <v>123</v>
      </c>
    </row>
    <row r="46" customFormat="false" ht="14.25" hidden="false" customHeight="false" outlineLevel="0" collapsed="false">
      <c r="A46" s="15" t="s">
        <v>241</v>
      </c>
      <c r="B46" s="16" t="n">
        <v>45373</v>
      </c>
      <c r="C46" s="15" t="s">
        <v>242</v>
      </c>
      <c r="D46" s="15" t="s">
        <v>178</v>
      </c>
      <c r="E46" s="15" t="s">
        <v>132</v>
      </c>
      <c r="F46" s="17" t="n">
        <v>2</v>
      </c>
      <c r="G46" s="17" t="n">
        <v>2480</v>
      </c>
      <c r="H46" s="17" t="n">
        <v>17.3</v>
      </c>
      <c r="I46" s="17" t="n">
        <v>4101.92</v>
      </c>
      <c r="J46" s="15" t="s">
        <v>98</v>
      </c>
      <c r="K46" s="15" t="s">
        <v>128</v>
      </c>
    </row>
    <row r="47" customFormat="false" ht="14.25" hidden="false" customHeight="false" outlineLevel="0" collapsed="false">
      <c r="A47" s="15" t="s">
        <v>243</v>
      </c>
      <c r="B47" s="16" t="n">
        <v>45312</v>
      </c>
      <c r="C47" s="15" t="s">
        <v>244</v>
      </c>
      <c r="D47" s="15" t="s">
        <v>245</v>
      </c>
      <c r="E47" s="15" t="s">
        <v>199</v>
      </c>
      <c r="F47" s="17" t="n">
        <v>9</v>
      </c>
      <c r="G47" s="17" t="n">
        <v>3780</v>
      </c>
      <c r="H47" s="17" t="n">
        <v>8.7</v>
      </c>
      <c r="I47" s="17" t="n">
        <v>31060.26</v>
      </c>
      <c r="J47" s="15" t="s">
        <v>104</v>
      </c>
      <c r="K47" s="15" t="s">
        <v>99</v>
      </c>
    </row>
    <row r="48" customFormat="false" ht="14.25" hidden="false" customHeight="false" outlineLevel="0" collapsed="false">
      <c r="A48" s="15" t="s">
        <v>246</v>
      </c>
      <c r="B48" s="16" t="n">
        <v>45340</v>
      </c>
      <c r="C48" s="15" t="s">
        <v>247</v>
      </c>
      <c r="D48" s="15" t="s">
        <v>248</v>
      </c>
      <c r="E48" s="15" t="s">
        <v>249</v>
      </c>
      <c r="F48" s="17" t="n">
        <v>4</v>
      </c>
      <c r="G48" s="17" t="n">
        <v>3640</v>
      </c>
      <c r="H48" s="17" t="n">
        <v>20.7</v>
      </c>
      <c r="I48" s="17" t="n">
        <v>11546.08</v>
      </c>
      <c r="J48" s="15" t="s">
        <v>98</v>
      </c>
      <c r="K48" s="15" t="s">
        <v>144</v>
      </c>
    </row>
    <row r="49" customFormat="false" ht="14.25" hidden="false" customHeight="false" outlineLevel="0" collapsed="false">
      <c r="A49" s="15" t="s">
        <v>250</v>
      </c>
      <c r="B49" s="16" t="n">
        <v>45370</v>
      </c>
      <c r="C49" s="15" t="s">
        <v>251</v>
      </c>
      <c r="D49" s="15" t="s">
        <v>252</v>
      </c>
      <c r="E49" s="15" t="s">
        <v>159</v>
      </c>
      <c r="F49" s="17" t="n">
        <v>8</v>
      </c>
      <c r="G49" s="17" t="n">
        <v>6080</v>
      </c>
      <c r="H49" s="17" t="n">
        <v>24.4</v>
      </c>
      <c r="I49" s="17" t="n">
        <v>36771.84</v>
      </c>
      <c r="J49" s="15" t="s">
        <v>98</v>
      </c>
      <c r="K49" s="15" t="s">
        <v>99</v>
      </c>
    </row>
    <row r="50" customFormat="false" ht="14.25" hidden="false" customHeight="false" outlineLevel="0" collapsed="false">
      <c r="A50" s="15" t="s">
        <v>253</v>
      </c>
      <c r="B50" s="16" t="n">
        <v>45389</v>
      </c>
      <c r="C50" s="15" t="s">
        <v>197</v>
      </c>
      <c r="D50" s="15" t="s">
        <v>138</v>
      </c>
      <c r="E50" s="15" t="s">
        <v>97</v>
      </c>
      <c r="F50" s="17" t="n">
        <v>10</v>
      </c>
      <c r="G50" s="17" t="n">
        <v>970</v>
      </c>
      <c r="H50" s="17" t="n">
        <v>0.6</v>
      </c>
      <c r="I50" s="17" t="n">
        <v>9641.8</v>
      </c>
      <c r="J50" s="15" t="s">
        <v>151</v>
      </c>
      <c r="K50" s="15" t="s">
        <v>105</v>
      </c>
    </row>
    <row r="51" customFormat="false" ht="14.25" hidden="false" customHeight="false" outlineLevel="0" collapsed="false">
      <c r="A51" s="15" t="s">
        <v>254</v>
      </c>
      <c r="B51" s="16" t="n">
        <v>45565</v>
      </c>
      <c r="C51" s="15" t="s">
        <v>255</v>
      </c>
      <c r="D51" s="15" t="s">
        <v>256</v>
      </c>
      <c r="E51" s="15" t="s">
        <v>139</v>
      </c>
      <c r="F51" s="17" t="n">
        <v>1</v>
      </c>
      <c r="G51" s="17" t="n">
        <v>2270</v>
      </c>
      <c r="H51" s="17" t="n">
        <v>11.5</v>
      </c>
      <c r="I51" s="17" t="n">
        <v>2008.95</v>
      </c>
      <c r="J51" s="15" t="s">
        <v>104</v>
      </c>
      <c r="K51" s="15" t="s">
        <v>105</v>
      </c>
    </row>
    <row r="52" customFormat="false" ht="14.25" hidden="false" customHeight="false" outlineLevel="0" collapsed="false">
      <c r="A52" s="15" t="s">
        <v>257</v>
      </c>
      <c r="B52" s="16" t="n">
        <v>45323</v>
      </c>
      <c r="C52" s="15" t="s">
        <v>258</v>
      </c>
      <c r="D52" s="15" t="s">
        <v>259</v>
      </c>
      <c r="E52" s="15" t="s">
        <v>165</v>
      </c>
      <c r="F52" s="17" t="n">
        <v>7</v>
      </c>
      <c r="G52" s="17" t="n">
        <v>3870</v>
      </c>
      <c r="H52" s="17" t="n">
        <v>0.3</v>
      </c>
      <c r="I52" s="17" t="n">
        <v>27008.73</v>
      </c>
      <c r="J52" s="15" t="s">
        <v>151</v>
      </c>
      <c r="K52" s="15" t="s">
        <v>128</v>
      </c>
    </row>
    <row r="53" customFormat="false" ht="14.25" hidden="false" customHeight="false" outlineLevel="0" collapsed="false">
      <c r="A53" s="15" t="s">
        <v>260</v>
      </c>
      <c r="B53" s="16" t="n">
        <v>45506</v>
      </c>
      <c r="C53" s="15" t="s">
        <v>261</v>
      </c>
      <c r="D53" s="15" t="s">
        <v>195</v>
      </c>
      <c r="E53" s="15" t="s">
        <v>215</v>
      </c>
      <c r="F53" s="17" t="n">
        <v>1</v>
      </c>
      <c r="G53" s="17" t="n">
        <v>4880</v>
      </c>
      <c r="H53" s="17" t="n">
        <v>23.9</v>
      </c>
      <c r="I53" s="17" t="n">
        <v>3713.68</v>
      </c>
      <c r="J53" s="15" t="s">
        <v>104</v>
      </c>
      <c r="K53" s="15" t="s">
        <v>128</v>
      </c>
    </row>
    <row r="54" customFormat="false" ht="14.25" hidden="false" customHeight="false" outlineLevel="0" collapsed="false">
      <c r="A54" s="15" t="s">
        <v>262</v>
      </c>
      <c r="B54" s="16" t="n">
        <v>45616</v>
      </c>
      <c r="C54" s="15" t="s">
        <v>116</v>
      </c>
      <c r="D54" s="15" t="s">
        <v>245</v>
      </c>
      <c r="E54" s="15" t="s">
        <v>263</v>
      </c>
      <c r="F54" s="17" t="n">
        <v>5</v>
      </c>
      <c r="G54" s="17" t="n">
        <v>3780</v>
      </c>
      <c r="H54" s="17" t="n">
        <v>18.5</v>
      </c>
      <c r="I54" s="17" t="n">
        <v>15403.5</v>
      </c>
      <c r="J54" s="15" t="s">
        <v>98</v>
      </c>
      <c r="K54" s="15" t="s">
        <v>105</v>
      </c>
    </row>
    <row r="55" customFormat="false" ht="14.25" hidden="false" customHeight="false" outlineLevel="0" collapsed="false">
      <c r="A55" s="15" t="s">
        <v>264</v>
      </c>
      <c r="B55" s="16" t="n">
        <v>45428</v>
      </c>
      <c r="C55" s="15" t="s">
        <v>265</v>
      </c>
      <c r="D55" s="15" t="s">
        <v>154</v>
      </c>
      <c r="E55" s="15" t="s">
        <v>203</v>
      </c>
      <c r="F55" s="17" t="n">
        <v>10</v>
      </c>
      <c r="G55" s="17" t="n">
        <v>3250</v>
      </c>
      <c r="H55" s="17" t="n">
        <v>25.5</v>
      </c>
      <c r="I55" s="17" t="n">
        <v>24212.5</v>
      </c>
      <c r="J55" s="15" t="s">
        <v>98</v>
      </c>
      <c r="K55" s="15" t="s">
        <v>105</v>
      </c>
    </row>
    <row r="56" customFormat="false" ht="14.25" hidden="false" customHeight="false" outlineLevel="0" collapsed="false">
      <c r="A56" s="15" t="s">
        <v>266</v>
      </c>
      <c r="B56" s="16" t="n">
        <v>45515</v>
      </c>
      <c r="C56" s="15" t="s">
        <v>267</v>
      </c>
      <c r="D56" s="15" t="s">
        <v>248</v>
      </c>
      <c r="E56" s="15" t="s">
        <v>97</v>
      </c>
      <c r="F56" s="17" t="n">
        <v>4</v>
      </c>
      <c r="G56" s="17" t="n">
        <v>3640</v>
      </c>
      <c r="H56" s="17" t="n">
        <v>9.9</v>
      </c>
      <c r="I56" s="17" t="n">
        <v>13118.56</v>
      </c>
      <c r="J56" s="15" t="s">
        <v>155</v>
      </c>
      <c r="K56" s="15" t="s">
        <v>144</v>
      </c>
    </row>
    <row r="57" customFormat="false" ht="14.25" hidden="false" customHeight="false" outlineLevel="0" collapsed="false">
      <c r="A57" s="15" t="s">
        <v>268</v>
      </c>
      <c r="B57" s="16" t="n">
        <v>45649</v>
      </c>
      <c r="C57" s="15" t="s">
        <v>269</v>
      </c>
      <c r="D57" s="15" t="s">
        <v>270</v>
      </c>
      <c r="E57" s="15" t="s">
        <v>165</v>
      </c>
      <c r="F57" s="17" t="n">
        <v>4</v>
      </c>
      <c r="G57" s="17" t="n">
        <v>1540</v>
      </c>
      <c r="H57" s="17" t="n">
        <v>28.8</v>
      </c>
      <c r="I57" s="17" t="n">
        <v>4385.92</v>
      </c>
      <c r="J57" s="15" t="s">
        <v>98</v>
      </c>
      <c r="K57" s="15" t="s">
        <v>110</v>
      </c>
    </row>
    <row r="58" customFormat="false" ht="14.25" hidden="false" customHeight="false" outlineLevel="0" collapsed="false">
      <c r="A58" s="15" t="s">
        <v>271</v>
      </c>
      <c r="B58" s="16" t="n">
        <v>45616</v>
      </c>
      <c r="C58" s="15" t="s">
        <v>272</v>
      </c>
      <c r="D58" s="15" t="s">
        <v>175</v>
      </c>
      <c r="E58" s="15" t="s">
        <v>249</v>
      </c>
      <c r="F58" s="17" t="n">
        <v>1</v>
      </c>
      <c r="G58" s="17" t="n">
        <v>1080</v>
      </c>
      <c r="H58" s="17" t="n">
        <v>23</v>
      </c>
      <c r="I58" s="17" t="n">
        <v>831.6</v>
      </c>
      <c r="J58" s="15" t="s">
        <v>151</v>
      </c>
      <c r="K58" s="15" t="s">
        <v>110</v>
      </c>
    </row>
    <row r="59" customFormat="false" ht="14.25" hidden="false" customHeight="false" outlineLevel="0" collapsed="false">
      <c r="A59" s="15" t="s">
        <v>273</v>
      </c>
      <c r="B59" s="16" t="n">
        <v>45573</v>
      </c>
      <c r="C59" s="15" t="s">
        <v>274</v>
      </c>
      <c r="D59" s="15" t="s">
        <v>275</v>
      </c>
      <c r="E59" s="15" t="s">
        <v>97</v>
      </c>
      <c r="F59" s="17" t="n">
        <v>1</v>
      </c>
      <c r="G59" s="17" t="n">
        <v>4070</v>
      </c>
      <c r="H59" s="17" t="n">
        <v>6.7</v>
      </c>
      <c r="I59" s="17" t="n">
        <v>3797.31</v>
      </c>
      <c r="J59" s="15" t="s">
        <v>98</v>
      </c>
      <c r="K59" s="15" t="s">
        <v>144</v>
      </c>
    </row>
    <row r="60" customFormat="false" ht="14.25" hidden="false" customHeight="false" outlineLevel="0" collapsed="false">
      <c r="A60" s="15" t="s">
        <v>276</v>
      </c>
      <c r="B60" s="16" t="n">
        <v>45417</v>
      </c>
      <c r="C60" s="15" t="s">
        <v>277</v>
      </c>
      <c r="D60" s="15" t="s">
        <v>278</v>
      </c>
      <c r="E60" s="15" t="s">
        <v>181</v>
      </c>
      <c r="F60" s="17" t="n">
        <v>2</v>
      </c>
      <c r="G60" s="17" t="n">
        <v>1220</v>
      </c>
      <c r="H60" s="17" t="n">
        <v>11.7</v>
      </c>
      <c r="I60" s="17" t="n">
        <v>2154.52</v>
      </c>
      <c r="J60" s="15" t="s">
        <v>151</v>
      </c>
      <c r="K60" s="15" t="s">
        <v>110</v>
      </c>
    </row>
    <row r="61" customFormat="false" ht="14.25" hidden="false" customHeight="false" outlineLevel="0" collapsed="false">
      <c r="A61" s="15" t="s">
        <v>279</v>
      </c>
      <c r="B61" s="16" t="n">
        <v>45425</v>
      </c>
      <c r="C61" s="15" t="s">
        <v>280</v>
      </c>
      <c r="D61" s="15" t="s">
        <v>281</v>
      </c>
      <c r="E61" s="15" t="s">
        <v>240</v>
      </c>
      <c r="F61" s="17" t="n">
        <v>4</v>
      </c>
      <c r="G61" s="17" t="n">
        <v>4610</v>
      </c>
      <c r="H61" s="17" t="n">
        <v>26.9</v>
      </c>
      <c r="I61" s="17" t="n">
        <v>13479.64</v>
      </c>
      <c r="J61" s="15" t="s">
        <v>104</v>
      </c>
      <c r="K61" s="15" t="s">
        <v>123</v>
      </c>
    </row>
    <row r="62" customFormat="false" ht="14.25" hidden="false" customHeight="false" outlineLevel="0" collapsed="false">
      <c r="A62" s="15" t="s">
        <v>282</v>
      </c>
      <c r="B62" s="16" t="n">
        <v>45589</v>
      </c>
      <c r="C62" s="15" t="s">
        <v>283</v>
      </c>
      <c r="D62" s="15" t="s">
        <v>175</v>
      </c>
      <c r="E62" s="15" t="s">
        <v>284</v>
      </c>
      <c r="F62" s="17" t="n">
        <v>8</v>
      </c>
      <c r="G62" s="17" t="n">
        <v>1080</v>
      </c>
      <c r="H62" s="17" t="n">
        <v>28.4</v>
      </c>
      <c r="I62" s="17" t="n">
        <v>6186.24</v>
      </c>
      <c r="J62" s="15" t="s">
        <v>98</v>
      </c>
      <c r="K62" s="15" t="s">
        <v>105</v>
      </c>
    </row>
    <row r="63" customFormat="false" ht="14.25" hidden="false" customHeight="false" outlineLevel="0" collapsed="false">
      <c r="A63" s="15" t="s">
        <v>285</v>
      </c>
      <c r="B63" s="16" t="n">
        <v>45488</v>
      </c>
      <c r="C63" s="15" t="s">
        <v>286</v>
      </c>
      <c r="D63" s="15" t="s">
        <v>287</v>
      </c>
      <c r="E63" s="15" t="s">
        <v>114</v>
      </c>
      <c r="F63" s="17" t="n">
        <v>10</v>
      </c>
      <c r="G63" s="17" t="n">
        <v>3020</v>
      </c>
      <c r="H63" s="17" t="n">
        <v>25.4</v>
      </c>
      <c r="I63" s="17" t="n">
        <v>22529.2</v>
      </c>
      <c r="J63" s="15" t="s">
        <v>98</v>
      </c>
      <c r="K63" s="15" t="s">
        <v>99</v>
      </c>
    </row>
    <row r="64" customFormat="false" ht="14.25" hidden="false" customHeight="false" outlineLevel="0" collapsed="false">
      <c r="A64" s="15" t="s">
        <v>288</v>
      </c>
      <c r="B64" s="16" t="n">
        <v>45465</v>
      </c>
      <c r="C64" s="15" t="s">
        <v>289</v>
      </c>
      <c r="D64" s="15" t="s">
        <v>290</v>
      </c>
      <c r="E64" s="15" t="s">
        <v>249</v>
      </c>
      <c r="F64" s="17" t="n">
        <v>7</v>
      </c>
      <c r="G64" s="17" t="n">
        <v>2660</v>
      </c>
      <c r="H64" s="17" t="n">
        <v>5.3</v>
      </c>
      <c r="I64" s="17" t="n">
        <v>17633.14</v>
      </c>
      <c r="J64" s="15" t="s">
        <v>98</v>
      </c>
      <c r="K64" s="15" t="s">
        <v>144</v>
      </c>
    </row>
    <row r="65" customFormat="false" ht="14.25" hidden="false" customHeight="false" outlineLevel="0" collapsed="false">
      <c r="A65" s="15" t="s">
        <v>291</v>
      </c>
      <c r="B65" s="16" t="n">
        <v>45599</v>
      </c>
      <c r="C65" s="15" t="s">
        <v>292</v>
      </c>
      <c r="D65" s="15" t="s">
        <v>293</v>
      </c>
      <c r="E65" s="15" t="s">
        <v>159</v>
      </c>
      <c r="F65" s="17" t="n">
        <v>9</v>
      </c>
      <c r="G65" s="17" t="n">
        <v>300</v>
      </c>
      <c r="H65" s="17" t="n">
        <v>25.3</v>
      </c>
      <c r="I65" s="17" t="n">
        <v>2016.9</v>
      </c>
      <c r="J65" s="15" t="s">
        <v>98</v>
      </c>
      <c r="K65" s="15" t="s">
        <v>99</v>
      </c>
    </row>
    <row r="66" customFormat="false" ht="14.25" hidden="false" customHeight="false" outlineLevel="0" collapsed="false">
      <c r="A66" s="15" t="s">
        <v>294</v>
      </c>
      <c r="B66" s="16" t="n">
        <v>45317</v>
      </c>
      <c r="C66" s="15" t="s">
        <v>295</v>
      </c>
      <c r="D66" s="15" t="s">
        <v>146</v>
      </c>
      <c r="E66" s="15" t="s">
        <v>296</v>
      </c>
      <c r="F66" s="17" t="n">
        <v>10</v>
      </c>
      <c r="G66" s="17" t="n">
        <v>2640</v>
      </c>
      <c r="H66" s="17" t="n">
        <v>18.7</v>
      </c>
      <c r="I66" s="17" t="n">
        <v>21463.2</v>
      </c>
      <c r="J66" s="15" t="s">
        <v>151</v>
      </c>
      <c r="K66" s="15" t="s">
        <v>105</v>
      </c>
    </row>
    <row r="67" customFormat="false" ht="14.25" hidden="false" customHeight="false" outlineLevel="0" collapsed="false">
      <c r="A67" s="15" t="s">
        <v>297</v>
      </c>
      <c r="B67" s="16" t="n">
        <v>45462</v>
      </c>
      <c r="C67" s="15" t="s">
        <v>230</v>
      </c>
      <c r="D67" s="15" t="s">
        <v>102</v>
      </c>
      <c r="E67" s="15" t="s">
        <v>203</v>
      </c>
      <c r="F67" s="17" t="n">
        <v>8</v>
      </c>
      <c r="G67" s="17" t="n">
        <v>820</v>
      </c>
      <c r="H67" s="17" t="n">
        <v>24</v>
      </c>
      <c r="I67" s="17" t="n">
        <v>4985.6</v>
      </c>
      <c r="J67" s="15" t="s">
        <v>98</v>
      </c>
      <c r="K67" s="15" t="s">
        <v>110</v>
      </c>
    </row>
    <row r="68" customFormat="false" ht="14.25" hidden="false" customHeight="false" outlineLevel="0" collapsed="false">
      <c r="A68" s="15" t="s">
        <v>298</v>
      </c>
      <c r="B68" s="16" t="n">
        <v>45499</v>
      </c>
      <c r="C68" s="15" t="s">
        <v>101</v>
      </c>
      <c r="D68" s="15" t="s">
        <v>211</v>
      </c>
      <c r="E68" s="15" t="s">
        <v>139</v>
      </c>
      <c r="F68" s="17" t="n">
        <v>1</v>
      </c>
      <c r="G68" s="17" t="n">
        <v>2760</v>
      </c>
      <c r="H68" s="17" t="n">
        <v>4.8</v>
      </c>
      <c r="I68" s="17" t="n">
        <v>2627.52</v>
      </c>
      <c r="J68" s="15" t="s">
        <v>98</v>
      </c>
      <c r="K68" s="15" t="s">
        <v>105</v>
      </c>
    </row>
    <row r="69" customFormat="false" ht="14.25" hidden="false" customHeight="false" outlineLevel="0" collapsed="false">
      <c r="A69" s="15" t="s">
        <v>299</v>
      </c>
      <c r="B69" s="16" t="n">
        <v>45328</v>
      </c>
      <c r="C69" s="15" t="s">
        <v>300</v>
      </c>
      <c r="D69" s="15" t="s">
        <v>96</v>
      </c>
      <c r="E69" s="15" t="s">
        <v>249</v>
      </c>
      <c r="F69" s="17" t="n">
        <v>2</v>
      </c>
      <c r="G69" s="17" t="n">
        <v>3620</v>
      </c>
      <c r="H69" s="17" t="n">
        <v>19.1</v>
      </c>
      <c r="I69" s="17" t="n">
        <v>5857.16</v>
      </c>
      <c r="J69" s="15" t="s">
        <v>98</v>
      </c>
      <c r="K69" s="15" t="s">
        <v>105</v>
      </c>
    </row>
    <row r="70" customFormat="false" ht="14.25" hidden="false" customHeight="false" outlineLevel="0" collapsed="false">
      <c r="A70" s="15" t="s">
        <v>301</v>
      </c>
      <c r="B70" s="16" t="n">
        <v>45459</v>
      </c>
      <c r="C70" s="15" t="s">
        <v>302</v>
      </c>
      <c r="D70" s="15" t="s">
        <v>303</v>
      </c>
      <c r="E70" s="15" t="s">
        <v>122</v>
      </c>
      <c r="F70" s="17" t="n">
        <v>1</v>
      </c>
      <c r="G70" s="17" t="n">
        <v>620</v>
      </c>
      <c r="H70" s="17" t="n">
        <v>1</v>
      </c>
      <c r="I70" s="17" t="n">
        <v>613.8</v>
      </c>
      <c r="J70" s="15" t="s">
        <v>98</v>
      </c>
      <c r="K70" s="15" t="s">
        <v>110</v>
      </c>
    </row>
    <row r="71" customFormat="false" ht="14.25" hidden="false" customHeight="false" outlineLevel="0" collapsed="false">
      <c r="A71" s="15" t="s">
        <v>304</v>
      </c>
      <c r="B71" s="16" t="n">
        <v>45398</v>
      </c>
      <c r="C71" s="15" t="s">
        <v>305</v>
      </c>
      <c r="D71" s="15" t="s">
        <v>306</v>
      </c>
      <c r="E71" s="15" t="s">
        <v>181</v>
      </c>
      <c r="F71" s="17" t="n">
        <v>1</v>
      </c>
      <c r="G71" s="17" t="n">
        <v>2030</v>
      </c>
      <c r="H71" s="17" t="n">
        <v>3.3</v>
      </c>
      <c r="I71" s="17" t="n">
        <v>1963.01</v>
      </c>
      <c r="J71" s="15" t="s">
        <v>98</v>
      </c>
      <c r="K71" s="15" t="s">
        <v>144</v>
      </c>
    </row>
    <row r="72" customFormat="false" ht="14.25" hidden="false" customHeight="false" outlineLevel="0" collapsed="false">
      <c r="A72" s="15" t="s">
        <v>307</v>
      </c>
      <c r="B72" s="16" t="n">
        <v>45470</v>
      </c>
      <c r="C72" s="15" t="s">
        <v>116</v>
      </c>
      <c r="D72" s="15" t="s">
        <v>117</v>
      </c>
      <c r="E72" s="15" t="s">
        <v>308</v>
      </c>
      <c r="F72" s="17" t="n">
        <v>10</v>
      </c>
      <c r="G72" s="17" t="n">
        <v>3160</v>
      </c>
      <c r="H72" s="17" t="n">
        <v>15.8</v>
      </c>
      <c r="I72" s="17" t="n">
        <v>26607.2</v>
      </c>
      <c r="J72" s="15" t="s">
        <v>98</v>
      </c>
      <c r="K72" s="15" t="s">
        <v>105</v>
      </c>
    </row>
    <row r="73" customFormat="false" ht="14.25" hidden="false" customHeight="false" outlineLevel="0" collapsed="false">
      <c r="A73" s="15" t="s">
        <v>309</v>
      </c>
      <c r="B73" s="16" t="n">
        <v>45346</v>
      </c>
      <c r="C73" s="15" t="s">
        <v>310</v>
      </c>
      <c r="D73" s="15" t="s">
        <v>138</v>
      </c>
      <c r="E73" s="15" t="s">
        <v>226</v>
      </c>
      <c r="F73" s="17" t="n">
        <v>5</v>
      </c>
      <c r="G73" s="17" t="n">
        <v>970</v>
      </c>
      <c r="H73" s="17" t="n">
        <v>12.2</v>
      </c>
      <c r="I73" s="17" t="n">
        <v>4258.3</v>
      </c>
      <c r="J73" s="15" t="s">
        <v>98</v>
      </c>
      <c r="K73" s="15" t="s">
        <v>144</v>
      </c>
    </row>
    <row r="74" customFormat="false" ht="14.25" hidden="false" customHeight="false" outlineLevel="0" collapsed="false">
      <c r="A74" s="15" t="s">
        <v>311</v>
      </c>
      <c r="B74" s="16" t="n">
        <v>45483</v>
      </c>
      <c r="C74" s="15" t="s">
        <v>312</v>
      </c>
      <c r="D74" s="15" t="s">
        <v>190</v>
      </c>
      <c r="E74" s="15" t="s">
        <v>159</v>
      </c>
      <c r="F74" s="17" t="n">
        <v>9</v>
      </c>
      <c r="G74" s="17" t="n">
        <v>3350</v>
      </c>
      <c r="H74" s="17" t="n">
        <v>25.8</v>
      </c>
      <c r="I74" s="17" t="n">
        <v>22371.3</v>
      </c>
      <c r="J74" s="15" t="s">
        <v>104</v>
      </c>
      <c r="K74" s="15" t="s">
        <v>105</v>
      </c>
    </row>
    <row r="75" customFormat="false" ht="14.25" hidden="false" customHeight="false" outlineLevel="0" collapsed="false">
      <c r="A75" s="15" t="s">
        <v>313</v>
      </c>
      <c r="B75" s="16" t="n">
        <v>45585</v>
      </c>
      <c r="C75" s="15" t="s">
        <v>269</v>
      </c>
      <c r="D75" s="15" t="s">
        <v>121</v>
      </c>
      <c r="E75" s="15" t="s">
        <v>314</v>
      </c>
      <c r="F75" s="17" t="n">
        <v>1</v>
      </c>
      <c r="G75" s="17" t="n">
        <v>370</v>
      </c>
      <c r="H75" s="17" t="n">
        <v>28.9</v>
      </c>
      <c r="I75" s="17" t="n">
        <v>263.07</v>
      </c>
      <c r="J75" s="15" t="s">
        <v>98</v>
      </c>
      <c r="K75" s="15" t="s">
        <v>110</v>
      </c>
    </row>
    <row r="76" customFormat="false" ht="14.25" hidden="false" customHeight="false" outlineLevel="0" collapsed="false">
      <c r="A76" s="15" t="s">
        <v>315</v>
      </c>
      <c r="B76" s="16" t="n">
        <v>45500</v>
      </c>
      <c r="C76" s="15" t="s">
        <v>316</v>
      </c>
      <c r="D76" s="15" t="s">
        <v>138</v>
      </c>
      <c r="E76" s="15" t="s">
        <v>143</v>
      </c>
      <c r="F76" s="17" t="n">
        <v>3</v>
      </c>
      <c r="G76" s="17" t="n">
        <v>970</v>
      </c>
      <c r="H76" s="17" t="n">
        <v>4.3</v>
      </c>
      <c r="I76" s="17" t="n">
        <v>2784.87</v>
      </c>
      <c r="J76" s="15" t="s">
        <v>151</v>
      </c>
      <c r="K76" s="15" t="s">
        <v>144</v>
      </c>
    </row>
    <row r="77" customFormat="false" ht="14.25" hidden="false" customHeight="false" outlineLevel="0" collapsed="false">
      <c r="A77" s="15" t="s">
        <v>317</v>
      </c>
      <c r="B77" s="16" t="n">
        <v>45375</v>
      </c>
      <c r="C77" s="15" t="s">
        <v>153</v>
      </c>
      <c r="D77" s="15" t="s">
        <v>211</v>
      </c>
      <c r="E77" s="15" t="s">
        <v>296</v>
      </c>
      <c r="F77" s="17" t="n">
        <v>6</v>
      </c>
      <c r="G77" s="17" t="n">
        <v>2760</v>
      </c>
      <c r="H77" s="17" t="n">
        <v>19.9</v>
      </c>
      <c r="I77" s="17" t="n">
        <v>13264.56</v>
      </c>
      <c r="J77" s="15" t="s">
        <v>104</v>
      </c>
      <c r="K77" s="15" t="s">
        <v>99</v>
      </c>
    </row>
    <row r="78" customFormat="false" ht="14.25" hidden="false" customHeight="false" outlineLevel="0" collapsed="false">
      <c r="A78" s="15" t="s">
        <v>318</v>
      </c>
      <c r="B78" s="16" t="n">
        <v>45443</v>
      </c>
      <c r="C78" s="15" t="s">
        <v>319</v>
      </c>
      <c r="D78" s="15" t="s">
        <v>211</v>
      </c>
      <c r="E78" s="15" t="s">
        <v>132</v>
      </c>
      <c r="F78" s="17" t="n">
        <v>7</v>
      </c>
      <c r="G78" s="17" t="n">
        <v>2760</v>
      </c>
      <c r="H78" s="17" t="n">
        <v>25.2</v>
      </c>
      <c r="I78" s="17" t="n">
        <v>14451.36</v>
      </c>
      <c r="J78" s="15" t="s">
        <v>98</v>
      </c>
      <c r="K78" s="15" t="s">
        <v>99</v>
      </c>
    </row>
    <row r="79" customFormat="false" ht="14.25" hidden="false" customHeight="false" outlineLevel="0" collapsed="false">
      <c r="A79" s="15" t="s">
        <v>320</v>
      </c>
      <c r="B79" s="16" t="n">
        <v>45390</v>
      </c>
      <c r="C79" s="15" t="s">
        <v>321</v>
      </c>
      <c r="D79" s="15" t="s">
        <v>278</v>
      </c>
      <c r="E79" s="15" t="s">
        <v>296</v>
      </c>
      <c r="F79" s="17" t="n">
        <v>4</v>
      </c>
      <c r="G79" s="17" t="n">
        <v>1220</v>
      </c>
      <c r="H79" s="17" t="n">
        <v>8.4</v>
      </c>
      <c r="I79" s="17" t="n">
        <v>4470.08</v>
      </c>
      <c r="J79" s="15" t="s">
        <v>98</v>
      </c>
      <c r="K79" s="15" t="s">
        <v>128</v>
      </c>
    </row>
    <row r="80" customFormat="false" ht="14.25" hidden="false" customHeight="false" outlineLevel="0" collapsed="false">
      <c r="A80" s="15" t="s">
        <v>322</v>
      </c>
      <c r="B80" s="16" t="n">
        <v>45615</v>
      </c>
      <c r="C80" s="15" t="s">
        <v>323</v>
      </c>
      <c r="D80" s="15" t="s">
        <v>149</v>
      </c>
      <c r="E80" s="15" t="s">
        <v>139</v>
      </c>
      <c r="F80" s="17" t="n">
        <v>2</v>
      </c>
      <c r="G80" s="17" t="n">
        <v>2600</v>
      </c>
      <c r="H80" s="17" t="n">
        <v>1.9</v>
      </c>
      <c r="I80" s="17" t="n">
        <v>5101.2</v>
      </c>
      <c r="J80" s="15" t="s">
        <v>104</v>
      </c>
      <c r="K80" s="15" t="s">
        <v>144</v>
      </c>
    </row>
    <row r="81" customFormat="false" ht="14.25" hidden="false" customHeight="false" outlineLevel="0" collapsed="false">
      <c r="A81" s="15" t="s">
        <v>324</v>
      </c>
      <c r="B81" s="16" t="n">
        <v>45498</v>
      </c>
      <c r="C81" s="15" t="s">
        <v>325</v>
      </c>
      <c r="D81" s="15" t="s">
        <v>275</v>
      </c>
      <c r="E81" s="15" t="s">
        <v>181</v>
      </c>
      <c r="F81" s="17" t="n">
        <v>9</v>
      </c>
      <c r="G81" s="17" t="n">
        <v>4070</v>
      </c>
      <c r="H81" s="17" t="n">
        <v>28.8</v>
      </c>
      <c r="I81" s="17" t="n">
        <v>26080.56</v>
      </c>
      <c r="J81" s="15" t="s">
        <v>98</v>
      </c>
      <c r="K81" s="15" t="s">
        <v>99</v>
      </c>
    </row>
    <row r="82" customFormat="false" ht="14.25" hidden="false" customHeight="false" outlineLevel="0" collapsed="false">
      <c r="A82" s="15" t="s">
        <v>326</v>
      </c>
      <c r="B82" s="16" t="n">
        <v>45515</v>
      </c>
      <c r="C82" s="15" t="s">
        <v>327</v>
      </c>
      <c r="D82" s="15" t="s">
        <v>142</v>
      </c>
      <c r="E82" s="15" t="s">
        <v>103</v>
      </c>
      <c r="F82" s="17" t="n">
        <v>2</v>
      </c>
      <c r="G82" s="17" t="n">
        <v>2270</v>
      </c>
      <c r="H82" s="17" t="n">
        <v>18</v>
      </c>
      <c r="I82" s="17" t="n">
        <v>3722.8</v>
      </c>
      <c r="J82" s="15" t="s">
        <v>155</v>
      </c>
      <c r="K82" s="15" t="s">
        <v>99</v>
      </c>
    </row>
    <row r="83" customFormat="false" ht="14.25" hidden="false" customHeight="false" outlineLevel="0" collapsed="false">
      <c r="A83" s="15" t="s">
        <v>328</v>
      </c>
      <c r="B83" s="16" t="n">
        <v>45528</v>
      </c>
      <c r="C83" s="15" t="s">
        <v>329</v>
      </c>
      <c r="D83" s="15" t="s">
        <v>117</v>
      </c>
      <c r="E83" s="15" t="s">
        <v>249</v>
      </c>
      <c r="F83" s="17" t="n">
        <v>2</v>
      </c>
      <c r="G83" s="17" t="n">
        <v>3160</v>
      </c>
      <c r="H83" s="17" t="n">
        <v>18.3</v>
      </c>
      <c r="I83" s="17" t="n">
        <v>5163.44</v>
      </c>
      <c r="J83" s="15" t="s">
        <v>98</v>
      </c>
      <c r="K83" s="15" t="s">
        <v>105</v>
      </c>
    </row>
    <row r="84" customFormat="false" ht="14.25" hidden="false" customHeight="false" outlineLevel="0" collapsed="false">
      <c r="A84" s="15" t="s">
        <v>330</v>
      </c>
      <c r="B84" s="16" t="n">
        <v>45402</v>
      </c>
      <c r="C84" s="15" t="s">
        <v>331</v>
      </c>
      <c r="D84" s="15" t="s">
        <v>178</v>
      </c>
      <c r="E84" s="15" t="s">
        <v>97</v>
      </c>
      <c r="F84" s="17" t="n">
        <v>4</v>
      </c>
      <c r="G84" s="17" t="n">
        <v>2480</v>
      </c>
      <c r="H84" s="17" t="n">
        <v>1.1</v>
      </c>
      <c r="I84" s="17" t="n">
        <v>9810.88</v>
      </c>
      <c r="J84" s="15" t="s">
        <v>104</v>
      </c>
      <c r="K84" s="15" t="s">
        <v>144</v>
      </c>
    </row>
    <row r="85" customFormat="false" ht="14.25" hidden="false" customHeight="false" outlineLevel="0" collapsed="false">
      <c r="A85" s="15" t="s">
        <v>332</v>
      </c>
      <c r="B85" s="16" t="n">
        <v>45547</v>
      </c>
      <c r="C85" s="15" t="s">
        <v>333</v>
      </c>
      <c r="D85" s="15" t="s">
        <v>290</v>
      </c>
      <c r="E85" s="15" t="s">
        <v>212</v>
      </c>
      <c r="F85" s="17" t="n">
        <v>1</v>
      </c>
      <c r="G85" s="17" t="n">
        <v>2660</v>
      </c>
      <c r="H85" s="17" t="n">
        <v>21</v>
      </c>
      <c r="I85" s="17" t="n">
        <v>2101.4</v>
      </c>
      <c r="J85" s="15" t="s">
        <v>98</v>
      </c>
      <c r="K85" s="15" t="s">
        <v>110</v>
      </c>
    </row>
    <row r="86" customFormat="false" ht="14.25" hidden="false" customHeight="false" outlineLevel="0" collapsed="false">
      <c r="A86" s="15" t="s">
        <v>334</v>
      </c>
      <c r="B86" s="16" t="n">
        <v>45424</v>
      </c>
      <c r="C86" s="15" t="s">
        <v>335</v>
      </c>
      <c r="D86" s="15" t="s">
        <v>287</v>
      </c>
      <c r="E86" s="15" t="s">
        <v>336</v>
      </c>
      <c r="F86" s="17" t="n">
        <v>5</v>
      </c>
      <c r="G86" s="17" t="n">
        <v>3020</v>
      </c>
      <c r="H86" s="17" t="n">
        <v>22.2</v>
      </c>
      <c r="I86" s="17" t="n">
        <v>11747.8</v>
      </c>
      <c r="J86" s="15" t="s">
        <v>98</v>
      </c>
      <c r="K86" s="15" t="s">
        <v>144</v>
      </c>
    </row>
    <row r="87" customFormat="false" ht="14.25" hidden="false" customHeight="false" outlineLevel="0" collapsed="false">
      <c r="A87" s="15" t="s">
        <v>337</v>
      </c>
      <c r="B87" s="16" t="n">
        <v>45461</v>
      </c>
      <c r="C87" s="15" t="s">
        <v>205</v>
      </c>
      <c r="D87" s="15" t="s">
        <v>303</v>
      </c>
      <c r="E87" s="15" t="s">
        <v>181</v>
      </c>
      <c r="F87" s="17" t="n">
        <v>9</v>
      </c>
      <c r="G87" s="17" t="n">
        <v>620</v>
      </c>
      <c r="H87" s="17" t="n">
        <v>23.3</v>
      </c>
      <c r="I87" s="17" t="n">
        <v>4279.86</v>
      </c>
      <c r="J87" s="15" t="s">
        <v>98</v>
      </c>
      <c r="K87" s="15" t="s">
        <v>99</v>
      </c>
    </row>
    <row r="88" customFormat="false" ht="14.25" hidden="false" customHeight="false" outlineLevel="0" collapsed="false">
      <c r="A88" s="15" t="s">
        <v>338</v>
      </c>
      <c r="B88" s="16" t="n">
        <v>45600</v>
      </c>
      <c r="C88" s="15" t="s">
        <v>339</v>
      </c>
      <c r="D88" s="15" t="s">
        <v>108</v>
      </c>
      <c r="E88" s="15" t="s">
        <v>212</v>
      </c>
      <c r="F88" s="17" t="n">
        <v>2</v>
      </c>
      <c r="G88" s="17" t="n">
        <v>470</v>
      </c>
      <c r="H88" s="17" t="n">
        <v>5.4</v>
      </c>
      <c r="I88" s="17" t="n">
        <v>889.24</v>
      </c>
      <c r="J88" s="15" t="s">
        <v>98</v>
      </c>
      <c r="K88" s="15" t="s">
        <v>105</v>
      </c>
    </row>
    <row r="89" customFormat="false" ht="14.25" hidden="false" customHeight="false" outlineLevel="0" collapsed="false">
      <c r="A89" s="15" t="s">
        <v>340</v>
      </c>
      <c r="B89" s="16" t="n">
        <v>45587</v>
      </c>
      <c r="C89" s="15" t="s">
        <v>183</v>
      </c>
      <c r="D89" s="15" t="s">
        <v>131</v>
      </c>
      <c r="E89" s="15" t="s">
        <v>143</v>
      </c>
      <c r="F89" s="17" t="n">
        <v>3</v>
      </c>
      <c r="G89" s="17" t="n">
        <v>1430</v>
      </c>
      <c r="H89" s="17" t="n">
        <v>6.5</v>
      </c>
      <c r="I89" s="17" t="n">
        <v>4011.15</v>
      </c>
      <c r="J89" s="15" t="s">
        <v>98</v>
      </c>
      <c r="K89" s="15" t="s">
        <v>99</v>
      </c>
    </row>
    <row r="90" customFormat="false" ht="14.25" hidden="false" customHeight="false" outlineLevel="0" collapsed="false">
      <c r="A90" s="15" t="s">
        <v>341</v>
      </c>
      <c r="B90" s="16" t="n">
        <v>45518</v>
      </c>
      <c r="C90" s="15" t="s">
        <v>342</v>
      </c>
      <c r="D90" s="15" t="s">
        <v>303</v>
      </c>
      <c r="E90" s="15" t="s">
        <v>150</v>
      </c>
      <c r="F90" s="17" t="n">
        <v>6</v>
      </c>
      <c r="G90" s="17" t="n">
        <v>620</v>
      </c>
      <c r="H90" s="17" t="n">
        <v>2.6</v>
      </c>
      <c r="I90" s="17" t="n">
        <v>3623.28</v>
      </c>
      <c r="J90" s="15" t="s">
        <v>98</v>
      </c>
      <c r="K90" s="15" t="s">
        <v>128</v>
      </c>
    </row>
    <row r="91" customFormat="false" ht="14.25" hidden="false" customHeight="false" outlineLevel="0" collapsed="false">
      <c r="A91" s="15" t="s">
        <v>343</v>
      </c>
      <c r="B91" s="16" t="n">
        <v>45533</v>
      </c>
      <c r="C91" s="15" t="s">
        <v>344</v>
      </c>
      <c r="D91" s="15" t="s">
        <v>198</v>
      </c>
      <c r="E91" s="15" t="s">
        <v>336</v>
      </c>
      <c r="F91" s="17" t="n">
        <v>4</v>
      </c>
      <c r="G91" s="17" t="n">
        <v>3570</v>
      </c>
      <c r="H91" s="17" t="n">
        <v>4.5</v>
      </c>
      <c r="I91" s="17" t="n">
        <v>13637.4</v>
      </c>
      <c r="J91" s="15" t="s">
        <v>104</v>
      </c>
      <c r="K91" s="15" t="s">
        <v>144</v>
      </c>
    </row>
    <row r="92" customFormat="false" ht="14.25" hidden="false" customHeight="false" outlineLevel="0" collapsed="false">
      <c r="A92" s="15" t="s">
        <v>345</v>
      </c>
      <c r="B92" s="16" t="n">
        <v>45622</v>
      </c>
      <c r="C92" s="15" t="s">
        <v>316</v>
      </c>
      <c r="D92" s="15" t="s">
        <v>256</v>
      </c>
      <c r="E92" s="15" t="s">
        <v>143</v>
      </c>
      <c r="F92" s="17" t="n">
        <v>6</v>
      </c>
      <c r="G92" s="17" t="n">
        <v>2270</v>
      </c>
      <c r="H92" s="17" t="n">
        <v>2</v>
      </c>
      <c r="I92" s="17" t="n">
        <v>13347.6</v>
      </c>
      <c r="J92" s="15" t="s">
        <v>98</v>
      </c>
      <c r="K92" s="15" t="s">
        <v>144</v>
      </c>
    </row>
    <row r="93" customFormat="false" ht="14.25" hidden="false" customHeight="false" outlineLevel="0" collapsed="false">
      <c r="A93" s="15" t="s">
        <v>346</v>
      </c>
      <c r="B93" s="16" t="n">
        <v>45328</v>
      </c>
      <c r="C93" s="15" t="s">
        <v>347</v>
      </c>
      <c r="D93" s="15" t="s">
        <v>184</v>
      </c>
      <c r="E93" s="15" t="s">
        <v>109</v>
      </c>
      <c r="F93" s="17" t="n">
        <v>7</v>
      </c>
      <c r="G93" s="17" t="n">
        <v>2720</v>
      </c>
      <c r="H93" s="17" t="n">
        <v>15.4</v>
      </c>
      <c r="I93" s="17" t="n">
        <v>16107.84</v>
      </c>
      <c r="J93" s="15" t="s">
        <v>98</v>
      </c>
      <c r="K93" s="15" t="s">
        <v>123</v>
      </c>
    </row>
    <row r="94" customFormat="false" ht="14.25" hidden="false" customHeight="false" outlineLevel="0" collapsed="false">
      <c r="A94" s="15" t="s">
        <v>348</v>
      </c>
      <c r="B94" s="16" t="n">
        <v>45380</v>
      </c>
      <c r="C94" s="15" t="s">
        <v>300</v>
      </c>
      <c r="D94" s="15" t="s">
        <v>349</v>
      </c>
      <c r="E94" s="15" t="s">
        <v>226</v>
      </c>
      <c r="F94" s="17" t="n">
        <v>9</v>
      </c>
      <c r="G94" s="17" t="n">
        <v>2210</v>
      </c>
      <c r="H94" s="17" t="n">
        <v>12.4</v>
      </c>
      <c r="I94" s="17" t="n">
        <v>17423.64</v>
      </c>
      <c r="J94" s="15" t="s">
        <v>98</v>
      </c>
      <c r="K94" s="15" t="s">
        <v>105</v>
      </c>
    </row>
    <row r="95" customFormat="false" ht="14.25" hidden="false" customHeight="false" outlineLevel="0" collapsed="false">
      <c r="A95" s="15" t="s">
        <v>350</v>
      </c>
      <c r="B95" s="16" t="n">
        <v>45648</v>
      </c>
      <c r="C95" s="15" t="s">
        <v>351</v>
      </c>
      <c r="D95" s="15" t="s">
        <v>158</v>
      </c>
      <c r="E95" s="15" t="s">
        <v>212</v>
      </c>
      <c r="F95" s="17" t="n">
        <v>6</v>
      </c>
      <c r="G95" s="17" t="n">
        <v>190</v>
      </c>
      <c r="H95" s="17" t="n">
        <v>19.2</v>
      </c>
      <c r="I95" s="17" t="n">
        <v>921.12</v>
      </c>
      <c r="J95" s="15" t="s">
        <v>98</v>
      </c>
      <c r="K95" s="15" t="s">
        <v>99</v>
      </c>
    </row>
    <row r="96" customFormat="false" ht="14.25" hidden="false" customHeight="false" outlineLevel="0" collapsed="false">
      <c r="A96" s="15" t="s">
        <v>352</v>
      </c>
      <c r="B96" s="16" t="n">
        <v>45607</v>
      </c>
      <c r="C96" s="15" t="s">
        <v>353</v>
      </c>
      <c r="D96" s="15" t="s">
        <v>202</v>
      </c>
      <c r="E96" s="15" t="s">
        <v>354</v>
      </c>
      <c r="F96" s="17" t="n">
        <v>10</v>
      </c>
      <c r="G96" s="17" t="n">
        <v>5100</v>
      </c>
      <c r="H96" s="17" t="n">
        <v>25.4</v>
      </c>
      <c r="I96" s="17" t="n">
        <v>38046</v>
      </c>
      <c r="J96" s="15" t="s">
        <v>155</v>
      </c>
      <c r="K96" s="15" t="s">
        <v>105</v>
      </c>
    </row>
    <row r="97" customFormat="false" ht="14.25" hidden="false" customHeight="false" outlineLevel="0" collapsed="false">
      <c r="A97" s="15" t="s">
        <v>355</v>
      </c>
      <c r="B97" s="16" t="n">
        <v>45414</v>
      </c>
      <c r="C97" s="15" t="s">
        <v>356</v>
      </c>
      <c r="D97" s="15" t="s">
        <v>193</v>
      </c>
      <c r="E97" s="15" t="s">
        <v>357</v>
      </c>
      <c r="F97" s="17" t="n">
        <v>5</v>
      </c>
      <c r="G97" s="17" t="n">
        <v>1010</v>
      </c>
      <c r="H97" s="17" t="n">
        <v>1.6</v>
      </c>
      <c r="I97" s="17" t="n">
        <v>4969.2</v>
      </c>
      <c r="J97" s="15" t="s">
        <v>98</v>
      </c>
      <c r="K97" s="15" t="s">
        <v>105</v>
      </c>
    </row>
    <row r="98" customFormat="false" ht="14.25" hidden="false" customHeight="false" outlineLevel="0" collapsed="false">
      <c r="A98" s="15" t="s">
        <v>358</v>
      </c>
      <c r="B98" s="16" t="n">
        <v>45328</v>
      </c>
      <c r="C98" s="15" t="s">
        <v>274</v>
      </c>
      <c r="D98" s="15" t="s">
        <v>237</v>
      </c>
      <c r="E98" s="15" t="s">
        <v>122</v>
      </c>
      <c r="F98" s="17" t="n">
        <v>1</v>
      </c>
      <c r="G98" s="17" t="n">
        <v>3730</v>
      </c>
      <c r="H98" s="17" t="n">
        <v>22.7</v>
      </c>
      <c r="I98" s="17" t="n">
        <v>2883.29</v>
      </c>
      <c r="J98" s="15" t="s">
        <v>98</v>
      </c>
      <c r="K98" s="15" t="s">
        <v>144</v>
      </c>
    </row>
    <row r="99" customFormat="false" ht="14.25" hidden="false" customHeight="false" outlineLevel="0" collapsed="false">
      <c r="A99" s="15" t="s">
        <v>359</v>
      </c>
      <c r="B99" s="16" t="n">
        <v>45373</v>
      </c>
      <c r="C99" s="15" t="s">
        <v>312</v>
      </c>
      <c r="D99" s="15" t="s">
        <v>149</v>
      </c>
      <c r="E99" s="15" t="s">
        <v>139</v>
      </c>
      <c r="F99" s="17" t="n">
        <v>10</v>
      </c>
      <c r="G99" s="17" t="n">
        <v>2600</v>
      </c>
      <c r="H99" s="17" t="n">
        <v>20.7</v>
      </c>
      <c r="I99" s="17" t="n">
        <v>20618</v>
      </c>
      <c r="J99" s="15" t="s">
        <v>98</v>
      </c>
      <c r="K99" s="15" t="s">
        <v>105</v>
      </c>
    </row>
    <row r="100" customFormat="false" ht="14.25" hidden="false" customHeight="false" outlineLevel="0" collapsed="false">
      <c r="A100" s="15" t="s">
        <v>360</v>
      </c>
      <c r="B100" s="16" t="n">
        <v>45458</v>
      </c>
      <c r="C100" s="15" t="s">
        <v>361</v>
      </c>
      <c r="D100" s="15" t="s">
        <v>362</v>
      </c>
      <c r="E100" s="15" t="s">
        <v>114</v>
      </c>
      <c r="F100" s="17" t="n">
        <v>4</v>
      </c>
      <c r="G100" s="17" t="n">
        <v>4060</v>
      </c>
      <c r="H100" s="17" t="n">
        <v>13.9</v>
      </c>
      <c r="I100" s="17" t="n">
        <v>13982.64</v>
      </c>
      <c r="J100" s="15" t="s">
        <v>98</v>
      </c>
      <c r="K100" s="15" t="s">
        <v>123</v>
      </c>
    </row>
    <row r="101" customFormat="false" ht="14.25" hidden="false" customHeight="false" outlineLevel="0" collapsed="false">
      <c r="A101" s="15" t="s">
        <v>363</v>
      </c>
      <c r="B101" s="16" t="n">
        <v>45426</v>
      </c>
      <c r="C101" s="15" t="s">
        <v>364</v>
      </c>
      <c r="D101" s="15" t="s">
        <v>252</v>
      </c>
      <c r="E101" s="15" t="s">
        <v>354</v>
      </c>
      <c r="F101" s="17" t="n">
        <v>6</v>
      </c>
      <c r="G101" s="17" t="n">
        <v>6080</v>
      </c>
      <c r="H101" s="17" t="n">
        <v>16.5</v>
      </c>
      <c r="I101" s="17" t="n">
        <v>30460.8</v>
      </c>
      <c r="J101" s="15" t="s">
        <v>98</v>
      </c>
      <c r="K101" s="15" t="s">
        <v>105</v>
      </c>
    </row>
    <row r="102" customFormat="false" ht="14.25" hidden="false" customHeight="false" outlineLevel="0" collapsed="false">
      <c r="A102" s="15" t="s">
        <v>365</v>
      </c>
      <c r="B102" s="16" t="n">
        <v>45557</v>
      </c>
      <c r="C102" s="15" t="s">
        <v>205</v>
      </c>
      <c r="D102" s="15" t="s">
        <v>366</v>
      </c>
      <c r="E102" s="15" t="s">
        <v>139</v>
      </c>
      <c r="F102" s="17" t="n">
        <v>6</v>
      </c>
      <c r="G102" s="17" t="n">
        <v>2510</v>
      </c>
      <c r="H102" s="17" t="n">
        <v>11.7</v>
      </c>
      <c r="I102" s="17" t="n">
        <v>13297.98</v>
      </c>
      <c r="J102" s="15" t="s">
        <v>98</v>
      </c>
      <c r="K102" s="15" t="s">
        <v>99</v>
      </c>
    </row>
    <row r="103" customFormat="false" ht="14.25" hidden="false" customHeight="false" outlineLevel="0" collapsed="false">
      <c r="A103" s="15" t="s">
        <v>367</v>
      </c>
      <c r="B103" s="16" t="n">
        <v>45509</v>
      </c>
      <c r="C103" s="15" t="s">
        <v>368</v>
      </c>
      <c r="D103" s="15" t="s">
        <v>154</v>
      </c>
      <c r="E103" s="15" t="s">
        <v>212</v>
      </c>
      <c r="F103" s="17" t="n">
        <v>5</v>
      </c>
      <c r="G103" s="17" t="n">
        <v>3250</v>
      </c>
      <c r="H103" s="17" t="n">
        <v>18.4</v>
      </c>
      <c r="I103" s="17" t="n">
        <v>13260</v>
      </c>
      <c r="J103" s="15" t="s">
        <v>98</v>
      </c>
      <c r="K103" s="15" t="s">
        <v>110</v>
      </c>
    </row>
    <row r="104" customFormat="false" ht="14.25" hidden="false" customHeight="false" outlineLevel="0" collapsed="false">
      <c r="A104" s="15" t="s">
        <v>369</v>
      </c>
      <c r="B104" s="16" t="n">
        <v>45329</v>
      </c>
      <c r="C104" s="15" t="s">
        <v>370</v>
      </c>
      <c r="D104" s="15" t="s">
        <v>371</v>
      </c>
      <c r="E104" s="15" t="s">
        <v>103</v>
      </c>
      <c r="F104" s="17" t="n">
        <v>4</v>
      </c>
      <c r="G104" s="17" t="n">
        <v>5410</v>
      </c>
      <c r="H104" s="17" t="n">
        <v>9.8</v>
      </c>
      <c r="I104" s="17" t="n">
        <v>19519.28</v>
      </c>
      <c r="J104" s="15" t="s">
        <v>151</v>
      </c>
      <c r="K104" s="15" t="s">
        <v>110</v>
      </c>
    </row>
    <row r="105" customFormat="false" ht="14.25" hidden="false" customHeight="false" outlineLevel="0" collapsed="false">
      <c r="A105" s="15" t="s">
        <v>372</v>
      </c>
      <c r="B105" s="16" t="n">
        <v>45411</v>
      </c>
      <c r="C105" s="15" t="s">
        <v>373</v>
      </c>
      <c r="D105" s="15" t="s">
        <v>198</v>
      </c>
      <c r="E105" s="15" t="s">
        <v>314</v>
      </c>
      <c r="F105" s="17" t="n">
        <v>8</v>
      </c>
      <c r="G105" s="17" t="n">
        <v>3570</v>
      </c>
      <c r="H105" s="17" t="n">
        <v>11.1</v>
      </c>
      <c r="I105" s="17" t="n">
        <v>25389.84</v>
      </c>
      <c r="J105" s="15" t="s">
        <v>98</v>
      </c>
      <c r="K105" s="15" t="s">
        <v>105</v>
      </c>
    </row>
    <row r="106" customFormat="false" ht="14.25" hidden="false" customHeight="false" outlineLevel="0" collapsed="false">
      <c r="A106" s="15" t="s">
        <v>374</v>
      </c>
      <c r="B106" s="16" t="n">
        <v>45297</v>
      </c>
      <c r="C106" s="15" t="s">
        <v>361</v>
      </c>
      <c r="D106" s="15" t="s">
        <v>375</v>
      </c>
      <c r="E106" s="15" t="s">
        <v>159</v>
      </c>
      <c r="F106" s="17" t="n">
        <v>10</v>
      </c>
      <c r="G106" s="17" t="n">
        <v>5330</v>
      </c>
      <c r="H106" s="17" t="n">
        <v>21.2</v>
      </c>
      <c r="I106" s="17" t="n">
        <v>42000.4</v>
      </c>
      <c r="J106" s="15" t="s">
        <v>98</v>
      </c>
      <c r="K106" s="15" t="s">
        <v>123</v>
      </c>
    </row>
    <row r="107" customFormat="false" ht="14.25" hidden="false" customHeight="false" outlineLevel="0" collapsed="false">
      <c r="A107" s="15" t="s">
        <v>376</v>
      </c>
      <c r="B107" s="16" t="n">
        <v>45640</v>
      </c>
      <c r="C107" s="15" t="s">
        <v>377</v>
      </c>
      <c r="D107" s="15" t="s">
        <v>378</v>
      </c>
      <c r="E107" s="15" t="s">
        <v>249</v>
      </c>
      <c r="F107" s="17" t="n">
        <v>4</v>
      </c>
      <c r="G107" s="17" t="n">
        <v>2380</v>
      </c>
      <c r="H107" s="17" t="n">
        <v>26.2</v>
      </c>
      <c r="I107" s="17" t="n">
        <v>7025.76</v>
      </c>
      <c r="J107" s="15" t="s">
        <v>98</v>
      </c>
      <c r="K107" s="15" t="s">
        <v>123</v>
      </c>
    </row>
    <row r="108" customFormat="false" ht="14.25" hidden="false" customHeight="false" outlineLevel="0" collapsed="false">
      <c r="A108" s="15" t="s">
        <v>379</v>
      </c>
      <c r="B108" s="16" t="n">
        <v>45322</v>
      </c>
      <c r="C108" s="15" t="s">
        <v>380</v>
      </c>
      <c r="D108" s="15" t="s">
        <v>193</v>
      </c>
      <c r="E108" s="15" t="s">
        <v>354</v>
      </c>
      <c r="F108" s="17" t="n">
        <v>1</v>
      </c>
      <c r="G108" s="17" t="n">
        <v>1010</v>
      </c>
      <c r="H108" s="17" t="n">
        <v>19.5</v>
      </c>
      <c r="I108" s="17" t="n">
        <v>813.05</v>
      </c>
      <c r="J108" s="15" t="s">
        <v>151</v>
      </c>
      <c r="K108" s="15" t="s">
        <v>105</v>
      </c>
    </row>
    <row r="109" customFormat="false" ht="14.25" hidden="false" customHeight="false" outlineLevel="0" collapsed="false">
      <c r="A109" s="15" t="s">
        <v>381</v>
      </c>
      <c r="B109" s="16" t="n">
        <v>45414</v>
      </c>
      <c r="C109" s="15" t="s">
        <v>382</v>
      </c>
      <c r="D109" s="15" t="s">
        <v>113</v>
      </c>
      <c r="E109" s="15" t="s">
        <v>122</v>
      </c>
      <c r="F109" s="17" t="n">
        <v>1</v>
      </c>
      <c r="G109" s="17" t="n">
        <v>3660</v>
      </c>
      <c r="H109" s="17" t="n">
        <v>1.3</v>
      </c>
      <c r="I109" s="17" t="n">
        <v>3612.42</v>
      </c>
      <c r="J109" s="15" t="s">
        <v>98</v>
      </c>
      <c r="K109" s="15" t="s">
        <v>123</v>
      </c>
    </row>
    <row r="110" customFormat="false" ht="14.25" hidden="false" customHeight="false" outlineLevel="0" collapsed="false">
      <c r="A110" s="15" t="s">
        <v>383</v>
      </c>
      <c r="B110" s="16" t="n">
        <v>45592</v>
      </c>
      <c r="C110" s="15" t="s">
        <v>384</v>
      </c>
      <c r="D110" s="15" t="s">
        <v>275</v>
      </c>
      <c r="E110" s="15" t="s">
        <v>263</v>
      </c>
      <c r="F110" s="17" t="n">
        <v>2</v>
      </c>
      <c r="G110" s="17" t="n">
        <v>4070</v>
      </c>
      <c r="H110" s="17" t="n">
        <v>29</v>
      </c>
      <c r="I110" s="17" t="n">
        <v>5779.4</v>
      </c>
      <c r="J110" s="15" t="s">
        <v>151</v>
      </c>
      <c r="K110" s="15" t="s">
        <v>99</v>
      </c>
    </row>
    <row r="111" customFormat="false" ht="14.25" hidden="false" customHeight="false" outlineLevel="0" collapsed="false">
      <c r="A111" s="15" t="s">
        <v>385</v>
      </c>
      <c r="B111" s="16" t="n">
        <v>45439</v>
      </c>
      <c r="C111" s="15" t="s">
        <v>201</v>
      </c>
      <c r="D111" s="15" t="s">
        <v>214</v>
      </c>
      <c r="E111" s="15" t="s">
        <v>240</v>
      </c>
      <c r="F111" s="17" t="n">
        <v>6</v>
      </c>
      <c r="G111" s="17" t="n">
        <v>660</v>
      </c>
      <c r="H111" s="17" t="n">
        <v>20.2</v>
      </c>
      <c r="I111" s="17" t="n">
        <v>3160.08</v>
      </c>
      <c r="J111" s="15" t="s">
        <v>104</v>
      </c>
      <c r="K111" s="15" t="s">
        <v>144</v>
      </c>
    </row>
    <row r="112" customFormat="false" ht="14.25" hidden="false" customHeight="false" outlineLevel="0" collapsed="false">
      <c r="A112" s="15" t="s">
        <v>386</v>
      </c>
      <c r="B112" s="16" t="n">
        <v>45486</v>
      </c>
      <c r="C112" s="15" t="s">
        <v>387</v>
      </c>
      <c r="D112" s="15" t="s">
        <v>175</v>
      </c>
      <c r="E112" s="15" t="s">
        <v>127</v>
      </c>
      <c r="F112" s="17" t="n">
        <v>3</v>
      </c>
      <c r="G112" s="17" t="n">
        <v>1080</v>
      </c>
      <c r="H112" s="17" t="n">
        <v>29.7</v>
      </c>
      <c r="I112" s="17" t="n">
        <v>2277.72</v>
      </c>
      <c r="J112" s="15" t="s">
        <v>98</v>
      </c>
      <c r="K112" s="15" t="s">
        <v>128</v>
      </c>
    </row>
    <row r="113" customFormat="false" ht="14.25" hidden="false" customHeight="false" outlineLevel="0" collapsed="false">
      <c r="A113" s="15" t="s">
        <v>388</v>
      </c>
      <c r="B113" s="16" t="n">
        <v>45629</v>
      </c>
      <c r="C113" s="15" t="s">
        <v>389</v>
      </c>
      <c r="D113" s="15" t="s">
        <v>102</v>
      </c>
      <c r="E113" s="15" t="s">
        <v>114</v>
      </c>
      <c r="F113" s="17" t="n">
        <v>7</v>
      </c>
      <c r="G113" s="17" t="n">
        <v>820</v>
      </c>
      <c r="H113" s="17" t="n">
        <v>13.5</v>
      </c>
      <c r="I113" s="17" t="n">
        <v>4965.1</v>
      </c>
      <c r="J113" s="15" t="s">
        <v>151</v>
      </c>
      <c r="K113" s="15" t="s">
        <v>105</v>
      </c>
    </row>
    <row r="114" customFormat="false" ht="14.25" hidden="false" customHeight="false" outlineLevel="0" collapsed="false">
      <c r="A114" s="15" t="s">
        <v>390</v>
      </c>
      <c r="B114" s="16" t="n">
        <v>45394</v>
      </c>
      <c r="C114" s="15" t="s">
        <v>148</v>
      </c>
      <c r="D114" s="15" t="s">
        <v>391</v>
      </c>
      <c r="E114" s="15" t="s">
        <v>354</v>
      </c>
      <c r="F114" s="17" t="n">
        <v>4</v>
      </c>
      <c r="G114" s="17" t="n">
        <v>960</v>
      </c>
      <c r="H114" s="17" t="n">
        <v>26</v>
      </c>
      <c r="I114" s="17" t="n">
        <v>2841.6</v>
      </c>
      <c r="J114" s="15" t="s">
        <v>98</v>
      </c>
      <c r="K114" s="15" t="s">
        <v>110</v>
      </c>
    </row>
    <row r="115" customFormat="false" ht="14.25" hidden="false" customHeight="false" outlineLevel="0" collapsed="false">
      <c r="A115" s="15" t="s">
        <v>392</v>
      </c>
      <c r="B115" s="16" t="n">
        <v>45453</v>
      </c>
      <c r="C115" s="15" t="s">
        <v>393</v>
      </c>
      <c r="D115" s="15" t="s">
        <v>149</v>
      </c>
      <c r="E115" s="15" t="s">
        <v>109</v>
      </c>
      <c r="F115" s="17" t="n">
        <v>3</v>
      </c>
      <c r="G115" s="17" t="n">
        <v>2600</v>
      </c>
      <c r="H115" s="17" t="n">
        <v>18.2</v>
      </c>
      <c r="I115" s="17" t="n">
        <v>6380.4</v>
      </c>
      <c r="J115" s="15" t="s">
        <v>98</v>
      </c>
      <c r="K115" s="15" t="s">
        <v>110</v>
      </c>
    </row>
    <row r="116" customFormat="false" ht="14.25" hidden="false" customHeight="false" outlineLevel="0" collapsed="false">
      <c r="A116" s="15" t="s">
        <v>394</v>
      </c>
      <c r="B116" s="16" t="n">
        <v>45370</v>
      </c>
      <c r="C116" s="15" t="s">
        <v>161</v>
      </c>
      <c r="D116" s="15" t="s">
        <v>306</v>
      </c>
      <c r="E116" s="15" t="s">
        <v>240</v>
      </c>
      <c r="F116" s="17" t="n">
        <v>9</v>
      </c>
      <c r="G116" s="17" t="n">
        <v>2030</v>
      </c>
      <c r="H116" s="17" t="n">
        <v>26.1</v>
      </c>
      <c r="I116" s="17" t="n">
        <v>13501.53</v>
      </c>
      <c r="J116" s="15" t="s">
        <v>98</v>
      </c>
      <c r="K116" s="15" t="s">
        <v>99</v>
      </c>
    </row>
    <row r="117" customFormat="false" ht="14.25" hidden="false" customHeight="false" outlineLevel="0" collapsed="false">
      <c r="A117" s="15" t="s">
        <v>395</v>
      </c>
      <c r="B117" s="16" t="n">
        <v>45597</v>
      </c>
      <c r="C117" s="15" t="s">
        <v>396</v>
      </c>
      <c r="D117" s="15" t="s">
        <v>397</v>
      </c>
      <c r="E117" s="15" t="s">
        <v>139</v>
      </c>
      <c r="F117" s="17" t="n">
        <v>8</v>
      </c>
      <c r="G117" s="17" t="n">
        <v>2290</v>
      </c>
      <c r="H117" s="17" t="n">
        <v>20.8</v>
      </c>
      <c r="I117" s="17" t="n">
        <v>14509.44</v>
      </c>
      <c r="J117" s="15" t="s">
        <v>98</v>
      </c>
      <c r="K117" s="15" t="s">
        <v>128</v>
      </c>
    </row>
    <row r="118" customFormat="false" ht="14.25" hidden="false" customHeight="false" outlineLevel="0" collapsed="false">
      <c r="A118" s="15" t="s">
        <v>398</v>
      </c>
      <c r="B118" s="16" t="n">
        <v>45531</v>
      </c>
      <c r="C118" s="15" t="s">
        <v>399</v>
      </c>
      <c r="D118" s="15" t="s">
        <v>237</v>
      </c>
      <c r="E118" s="15" t="s">
        <v>240</v>
      </c>
      <c r="F118" s="17" t="n">
        <v>3</v>
      </c>
      <c r="G118" s="17" t="n">
        <v>3730</v>
      </c>
      <c r="H118" s="17" t="n">
        <v>7.9</v>
      </c>
      <c r="I118" s="17" t="n">
        <v>10305.99</v>
      </c>
      <c r="J118" s="15" t="s">
        <v>98</v>
      </c>
      <c r="K118" s="15" t="s">
        <v>144</v>
      </c>
    </row>
    <row r="119" customFormat="false" ht="14.25" hidden="false" customHeight="false" outlineLevel="0" collapsed="false">
      <c r="A119" s="15" t="s">
        <v>400</v>
      </c>
      <c r="B119" s="16" t="n">
        <v>45596</v>
      </c>
      <c r="C119" s="15" t="s">
        <v>401</v>
      </c>
      <c r="D119" s="15" t="s">
        <v>293</v>
      </c>
      <c r="E119" s="15" t="s">
        <v>109</v>
      </c>
      <c r="F119" s="17" t="n">
        <v>1</v>
      </c>
      <c r="G119" s="17" t="n">
        <v>300</v>
      </c>
      <c r="H119" s="17" t="n">
        <v>16.9</v>
      </c>
      <c r="I119" s="17" t="n">
        <v>249.3</v>
      </c>
      <c r="J119" s="15" t="s">
        <v>104</v>
      </c>
      <c r="K119" s="15" t="s">
        <v>99</v>
      </c>
    </row>
    <row r="120" customFormat="false" ht="14.25" hidden="false" customHeight="false" outlineLevel="0" collapsed="false">
      <c r="A120" s="15" t="s">
        <v>402</v>
      </c>
      <c r="B120" s="16" t="n">
        <v>45420</v>
      </c>
      <c r="C120" s="15" t="s">
        <v>403</v>
      </c>
      <c r="D120" s="15" t="s">
        <v>293</v>
      </c>
      <c r="E120" s="15" t="s">
        <v>336</v>
      </c>
      <c r="F120" s="17" t="n">
        <v>3</v>
      </c>
      <c r="G120" s="17" t="n">
        <v>300</v>
      </c>
      <c r="H120" s="17" t="n">
        <v>0.6</v>
      </c>
      <c r="I120" s="17" t="n">
        <v>894.6</v>
      </c>
      <c r="J120" s="15" t="s">
        <v>98</v>
      </c>
      <c r="K120" s="15" t="s">
        <v>123</v>
      </c>
    </row>
    <row r="121" customFormat="false" ht="14.25" hidden="false" customHeight="false" outlineLevel="0" collapsed="false">
      <c r="A121" s="15" t="s">
        <v>404</v>
      </c>
      <c r="B121" s="16" t="n">
        <v>45329</v>
      </c>
      <c r="C121" s="15" t="s">
        <v>405</v>
      </c>
      <c r="D121" s="15" t="s">
        <v>190</v>
      </c>
      <c r="E121" s="15" t="s">
        <v>97</v>
      </c>
      <c r="F121" s="17" t="n">
        <v>6</v>
      </c>
      <c r="G121" s="17" t="n">
        <v>3350</v>
      </c>
      <c r="H121" s="17" t="n">
        <v>2.3</v>
      </c>
      <c r="I121" s="17" t="n">
        <v>19637.7</v>
      </c>
      <c r="J121" s="15" t="s">
        <v>151</v>
      </c>
      <c r="K121" s="15" t="s">
        <v>128</v>
      </c>
    </row>
    <row r="122" customFormat="false" ht="14.25" hidden="false" customHeight="false" outlineLevel="0" collapsed="false">
      <c r="A122" s="15" t="s">
        <v>406</v>
      </c>
      <c r="B122" s="16" t="n">
        <v>45416</v>
      </c>
      <c r="C122" s="15" t="s">
        <v>164</v>
      </c>
      <c r="D122" s="15" t="s">
        <v>375</v>
      </c>
      <c r="E122" s="15" t="s">
        <v>159</v>
      </c>
      <c r="F122" s="17" t="n">
        <v>4</v>
      </c>
      <c r="G122" s="17" t="n">
        <v>5330</v>
      </c>
      <c r="H122" s="17" t="n">
        <v>29.3</v>
      </c>
      <c r="I122" s="17" t="n">
        <v>15073.24</v>
      </c>
      <c r="J122" s="15" t="s">
        <v>98</v>
      </c>
      <c r="K122" s="15" t="s">
        <v>128</v>
      </c>
    </row>
    <row r="123" customFormat="false" ht="14.25" hidden="false" customHeight="false" outlineLevel="0" collapsed="false">
      <c r="A123" s="15" t="s">
        <v>407</v>
      </c>
      <c r="B123" s="16" t="n">
        <v>45614</v>
      </c>
      <c r="C123" s="15" t="s">
        <v>408</v>
      </c>
      <c r="D123" s="15" t="s">
        <v>96</v>
      </c>
      <c r="E123" s="15" t="s">
        <v>308</v>
      </c>
      <c r="F123" s="17" t="n">
        <v>6</v>
      </c>
      <c r="G123" s="17" t="n">
        <v>3620</v>
      </c>
      <c r="H123" s="17" t="n">
        <v>10.8</v>
      </c>
      <c r="I123" s="17" t="n">
        <v>19374.24</v>
      </c>
      <c r="J123" s="15" t="s">
        <v>98</v>
      </c>
      <c r="K123" s="15" t="s">
        <v>110</v>
      </c>
    </row>
    <row r="124" customFormat="false" ht="14.25" hidden="false" customHeight="false" outlineLevel="0" collapsed="false">
      <c r="A124" s="15" t="s">
        <v>409</v>
      </c>
      <c r="B124" s="16" t="n">
        <v>45593</v>
      </c>
      <c r="C124" s="15" t="s">
        <v>410</v>
      </c>
      <c r="D124" s="15" t="s">
        <v>96</v>
      </c>
      <c r="E124" s="15" t="s">
        <v>103</v>
      </c>
      <c r="F124" s="17" t="n">
        <v>6</v>
      </c>
      <c r="G124" s="17" t="n">
        <v>3620</v>
      </c>
      <c r="H124" s="17" t="n">
        <v>21.7</v>
      </c>
      <c r="I124" s="17" t="n">
        <v>17006.76</v>
      </c>
      <c r="J124" s="15" t="s">
        <v>98</v>
      </c>
      <c r="K124" s="15" t="s">
        <v>110</v>
      </c>
    </row>
    <row r="125" customFormat="false" ht="14.25" hidden="false" customHeight="false" outlineLevel="0" collapsed="false">
      <c r="A125" s="15" t="s">
        <v>411</v>
      </c>
      <c r="B125" s="16" t="n">
        <v>45360</v>
      </c>
      <c r="C125" s="15" t="s">
        <v>412</v>
      </c>
      <c r="D125" s="15" t="s">
        <v>126</v>
      </c>
      <c r="E125" s="15" t="s">
        <v>118</v>
      </c>
      <c r="F125" s="17" t="n">
        <v>8</v>
      </c>
      <c r="G125" s="17" t="n">
        <v>960</v>
      </c>
      <c r="H125" s="17" t="n">
        <v>27.9</v>
      </c>
      <c r="I125" s="17" t="n">
        <v>5537.28</v>
      </c>
      <c r="J125" s="15" t="s">
        <v>98</v>
      </c>
      <c r="K125" s="15" t="s">
        <v>105</v>
      </c>
    </row>
    <row r="126" customFormat="false" ht="14.25" hidden="false" customHeight="false" outlineLevel="0" collapsed="false">
      <c r="A126" s="15" t="s">
        <v>413</v>
      </c>
      <c r="B126" s="16" t="n">
        <v>45628</v>
      </c>
      <c r="C126" s="15" t="s">
        <v>414</v>
      </c>
      <c r="D126" s="15" t="s">
        <v>187</v>
      </c>
      <c r="E126" s="15" t="s">
        <v>122</v>
      </c>
      <c r="F126" s="17" t="n">
        <v>5</v>
      </c>
      <c r="G126" s="17" t="n">
        <v>1650</v>
      </c>
      <c r="H126" s="17" t="n">
        <v>4.9</v>
      </c>
      <c r="I126" s="17" t="n">
        <v>7845.75</v>
      </c>
      <c r="J126" s="15" t="s">
        <v>98</v>
      </c>
      <c r="K126" s="15" t="s">
        <v>128</v>
      </c>
    </row>
    <row r="127" customFormat="false" ht="14.25" hidden="false" customHeight="false" outlineLevel="0" collapsed="false">
      <c r="A127" s="15" t="s">
        <v>415</v>
      </c>
      <c r="B127" s="16" t="n">
        <v>45592</v>
      </c>
      <c r="C127" s="15" t="s">
        <v>416</v>
      </c>
      <c r="D127" s="15" t="s">
        <v>391</v>
      </c>
      <c r="E127" s="15" t="s">
        <v>143</v>
      </c>
      <c r="F127" s="17" t="n">
        <v>9</v>
      </c>
      <c r="G127" s="17" t="n">
        <v>960</v>
      </c>
      <c r="H127" s="17" t="n">
        <v>25.1</v>
      </c>
      <c r="I127" s="17" t="n">
        <v>6471.36</v>
      </c>
      <c r="J127" s="15" t="s">
        <v>155</v>
      </c>
      <c r="K127" s="15" t="s">
        <v>105</v>
      </c>
    </row>
    <row r="128" customFormat="false" ht="14.25" hidden="false" customHeight="false" outlineLevel="0" collapsed="false">
      <c r="A128" s="15" t="s">
        <v>417</v>
      </c>
      <c r="B128" s="16" t="n">
        <v>45453</v>
      </c>
      <c r="C128" s="15" t="s">
        <v>418</v>
      </c>
      <c r="D128" s="15" t="s">
        <v>419</v>
      </c>
      <c r="E128" s="15" t="s">
        <v>159</v>
      </c>
      <c r="F128" s="17" t="n">
        <v>7</v>
      </c>
      <c r="G128" s="17" t="n">
        <v>3970</v>
      </c>
      <c r="H128" s="17" t="n">
        <v>13.8</v>
      </c>
      <c r="I128" s="17" t="n">
        <v>23954.98</v>
      </c>
      <c r="J128" s="15" t="s">
        <v>104</v>
      </c>
      <c r="K128" s="15" t="s">
        <v>99</v>
      </c>
    </row>
    <row r="129" customFormat="false" ht="14.25" hidden="false" customHeight="false" outlineLevel="0" collapsed="false">
      <c r="A129" s="15" t="s">
        <v>420</v>
      </c>
      <c r="B129" s="16" t="n">
        <v>45612</v>
      </c>
      <c r="C129" s="15" t="s">
        <v>310</v>
      </c>
      <c r="D129" s="15" t="s">
        <v>138</v>
      </c>
      <c r="E129" s="15" t="s">
        <v>103</v>
      </c>
      <c r="F129" s="17" t="n">
        <v>7</v>
      </c>
      <c r="G129" s="17" t="n">
        <v>970</v>
      </c>
      <c r="H129" s="17" t="n">
        <v>21.6</v>
      </c>
      <c r="I129" s="17" t="n">
        <v>5323.36</v>
      </c>
      <c r="J129" s="15" t="s">
        <v>104</v>
      </c>
      <c r="K129" s="15" t="s">
        <v>144</v>
      </c>
    </row>
    <row r="130" customFormat="false" ht="14.25" hidden="false" customHeight="false" outlineLevel="0" collapsed="false">
      <c r="A130" s="15" t="s">
        <v>421</v>
      </c>
      <c r="B130" s="16" t="n">
        <v>45541</v>
      </c>
      <c r="C130" s="15" t="s">
        <v>422</v>
      </c>
      <c r="D130" s="15" t="s">
        <v>306</v>
      </c>
      <c r="E130" s="15" t="s">
        <v>226</v>
      </c>
      <c r="F130" s="17" t="n">
        <v>10</v>
      </c>
      <c r="G130" s="17" t="n">
        <v>2030</v>
      </c>
      <c r="H130" s="17" t="n">
        <v>1.2</v>
      </c>
      <c r="I130" s="17" t="n">
        <v>20056.4</v>
      </c>
      <c r="J130" s="15" t="s">
        <v>98</v>
      </c>
      <c r="K130" s="15" t="s">
        <v>123</v>
      </c>
    </row>
    <row r="131" customFormat="false" ht="14.25" hidden="false" customHeight="false" outlineLevel="0" collapsed="false">
      <c r="A131" s="15" t="s">
        <v>423</v>
      </c>
      <c r="B131" s="16" t="n">
        <v>45640</v>
      </c>
      <c r="C131" s="15" t="s">
        <v>424</v>
      </c>
      <c r="D131" s="15" t="s">
        <v>142</v>
      </c>
      <c r="E131" s="15" t="s">
        <v>169</v>
      </c>
      <c r="F131" s="17" t="n">
        <v>9</v>
      </c>
      <c r="G131" s="17" t="n">
        <v>2270</v>
      </c>
      <c r="H131" s="17" t="n">
        <v>13.2</v>
      </c>
      <c r="I131" s="17" t="n">
        <v>17733.24</v>
      </c>
      <c r="J131" s="15" t="s">
        <v>104</v>
      </c>
      <c r="K131" s="15" t="s">
        <v>99</v>
      </c>
    </row>
    <row r="132" customFormat="false" ht="14.25" hidden="false" customHeight="false" outlineLevel="0" collapsed="false">
      <c r="A132" s="15" t="s">
        <v>425</v>
      </c>
      <c r="B132" s="16" t="n">
        <v>45524</v>
      </c>
      <c r="C132" s="15" t="s">
        <v>167</v>
      </c>
      <c r="D132" s="15" t="s">
        <v>195</v>
      </c>
      <c r="E132" s="15" t="s">
        <v>159</v>
      </c>
      <c r="F132" s="17" t="n">
        <v>8</v>
      </c>
      <c r="G132" s="17" t="n">
        <v>4880</v>
      </c>
      <c r="H132" s="17" t="n">
        <v>13.4</v>
      </c>
      <c r="I132" s="17" t="n">
        <v>33808.64</v>
      </c>
      <c r="J132" s="15" t="s">
        <v>98</v>
      </c>
      <c r="K132" s="15" t="s">
        <v>144</v>
      </c>
    </row>
    <row r="133" customFormat="false" ht="14.25" hidden="false" customHeight="false" outlineLevel="0" collapsed="false">
      <c r="A133" s="15" t="s">
        <v>426</v>
      </c>
      <c r="B133" s="16" t="n">
        <v>45344</v>
      </c>
      <c r="C133" s="15" t="s">
        <v>427</v>
      </c>
      <c r="D133" s="15" t="s">
        <v>259</v>
      </c>
      <c r="E133" s="15" t="s">
        <v>284</v>
      </c>
      <c r="F133" s="17" t="n">
        <v>10</v>
      </c>
      <c r="G133" s="17" t="n">
        <v>3870</v>
      </c>
      <c r="H133" s="17" t="n">
        <v>23.9</v>
      </c>
      <c r="I133" s="17" t="n">
        <v>29450.7</v>
      </c>
      <c r="J133" s="15" t="s">
        <v>98</v>
      </c>
      <c r="K133" s="15" t="s">
        <v>128</v>
      </c>
    </row>
    <row r="134" customFormat="false" ht="14.25" hidden="false" customHeight="false" outlineLevel="0" collapsed="false">
      <c r="A134" s="15" t="s">
        <v>428</v>
      </c>
      <c r="B134" s="16" t="n">
        <v>45463</v>
      </c>
      <c r="C134" s="15" t="s">
        <v>429</v>
      </c>
      <c r="D134" s="15" t="s">
        <v>397</v>
      </c>
      <c r="E134" s="15" t="s">
        <v>308</v>
      </c>
      <c r="F134" s="17" t="n">
        <v>4</v>
      </c>
      <c r="G134" s="17" t="n">
        <v>2290</v>
      </c>
      <c r="H134" s="17" t="n">
        <v>15.2</v>
      </c>
      <c r="I134" s="17" t="n">
        <v>7767.68</v>
      </c>
      <c r="J134" s="15" t="s">
        <v>98</v>
      </c>
      <c r="K134" s="15" t="s">
        <v>144</v>
      </c>
    </row>
    <row r="135" customFormat="false" ht="14.25" hidden="false" customHeight="false" outlineLevel="0" collapsed="false">
      <c r="A135" s="15" t="s">
        <v>430</v>
      </c>
      <c r="B135" s="16" t="n">
        <v>45443</v>
      </c>
      <c r="C135" s="15" t="s">
        <v>431</v>
      </c>
      <c r="D135" s="15" t="s">
        <v>378</v>
      </c>
      <c r="E135" s="15" t="s">
        <v>203</v>
      </c>
      <c r="F135" s="17" t="n">
        <v>8</v>
      </c>
      <c r="G135" s="17" t="n">
        <v>2380</v>
      </c>
      <c r="H135" s="17" t="n">
        <v>4.2</v>
      </c>
      <c r="I135" s="17" t="n">
        <v>18240.32</v>
      </c>
      <c r="J135" s="15" t="s">
        <v>98</v>
      </c>
      <c r="K135" s="15" t="s">
        <v>110</v>
      </c>
    </row>
    <row r="136" customFormat="false" ht="14.25" hidden="false" customHeight="false" outlineLevel="0" collapsed="false">
      <c r="A136" s="15" t="s">
        <v>432</v>
      </c>
      <c r="B136" s="16" t="n">
        <v>45301</v>
      </c>
      <c r="C136" s="15" t="s">
        <v>433</v>
      </c>
      <c r="D136" s="15" t="s">
        <v>349</v>
      </c>
      <c r="E136" s="15" t="s">
        <v>263</v>
      </c>
      <c r="F136" s="17" t="n">
        <v>8</v>
      </c>
      <c r="G136" s="17" t="n">
        <v>2210</v>
      </c>
      <c r="H136" s="17" t="n">
        <v>11.5</v>
      </c>
      <c r="I136" s="17" t="n">
        <v>15646.8</v>
      </c>
      <c r="J136" s="15" t="s">
        <v>98</v>
      </c>
      <c r="K136" s="15" t="s">
        <v>105</v>
      </c>
    </row>
    <row r="137" customFormat="false" ht="14.25" hidden="false" customHeight="false" outlineLevel="0" collapsed="false">
      <c r="A137" s="15" t="s">
        <v>434</v>
      </c>
      <c r="B137" s="16" t="n">
        <v>45360</v>
      </c>
      <c r="C137" s="15" t="s">
        <v>244</v>
      </c>
      <c r="D137" s="15" t="s">
        <v>375</v>
      </c>
      <c r="E137" s="15" t="s">
        <v>296</v>
      </c>
      <c r="F137" s="17" t="n">
        <v>4</v>
      </c>
      <c r="G137" s="17" t="n">
        <v>5330</v>
      </c>
      <c r="H137" s="17" t="n">
        <v>22.6</v>
      </c>
      <c r="I137" s="17" t="n">
        <v>16501.68</v>
      </c>
      <c r="J137" s="15" t="s">
        <v>104</v>
      </c>
      <c r="K137" s="15" t="s">
        <v>99</v>
      </c>
    </row>
    <row r="138" customFormat="false" ht="14.25" hidden="false" customHeight="false" outlineLevel="0" collapsed="false">
      <c r="A138" s="15" t="s">
        <v>435</v>
      </c>
      <c r="B138" s="16" t="n">
        <v>45559</v>
      </c>
      <c r="C138" s="15" t="s">
        <v>436</v>
      </c>
      <c r="D138" s="15" t="s">
        <v>419</v>
      </c>
      <c r="E138" s="15" t="s">
        <v>296</v>
      </c>
      <c r="F138" s="17" t="n">
        <v>8</v>
      </c>
      <c r="G138" s="17" t="n">
        <v>3970</v>
      </c>
      <c r="H138" s="17" t="n">
        <v>21.8</v>
      </c>
      <c r="I138" s="17" t="n">
        <v>24836.32</v>
      </c>
      <c r="J138" s="15" t="s">
        <v>98</v>
      </c>
      <c r="K138" s="15" t="s">
        <v>105</v>
      </c>
    </row>
    <row r="139" customFormat="false" ht="14.25" hidden="false" customHeight="false" outlineLevel="0" collapsed="false">
      <c r="A139" s="15" t="s">
        <v>437</v>
      </c>
      <c r="B139" s="16" t="n">
        <v>45546</v>
      </c>
      <c r="C139" s="15" t="s">
        <v>438</v>
      </c>
      <c r="D139" s="15" t="s">
        <v>117</v>
      </c>
      <c r="E139" s="15" t="s">
        <v>203</v>
      </c>
      <c r="F139" s="17" t="n">
        <v>10</v>
      </c>
      <c r="G139" s="17" t="n">
        <v>3160</v>
      </c>
      <c r="H139" s="17" t="n">
        <v>16.1</v>
      </c>
      <c r="I139" s="17" t="n">
        <v>26512.4</v>
      </c>
      <c r="J139" s="15" t="s">
        <v>151</v>
      </c>
      <c r="K139" s="15" t="s">
        <v>99</v>
      </c>
    </row>
    <row r="140" customFormat="false" ht="14.25" hidden="false" customHeight="false" outlineLevel="0" collapsed="false">
      <c r="A140" s="15" t="s">
        <v>439</v>
      </c>
      <c r="B140" s="16" t="n">
        <v>45425</v>
      </c>
      <c r="C140" s="15" t="s">
        <v>440</v>
      </c>
      <c r="D140" s="15" t="s">
        <v>158</v>
      </c>
      <c r="E140" s="15" t="s">
        <v>215</v>
      </c>
      <c r="F140" s="17" t="n">
        <v>5</v>
      </c>
      <c r="G140" s="17" t="n">
        <v>190</v>
      </c>
      <c r="H140" s="17" t="n">
        <v>14.8</v>
      </c>
      <c r="I140" s="17" t="n">
        <v>809.4</v>
      </c>
      <c r="J140" s="15" t="s">
        <v>98</v>
      </c>
      <c r="K140" s="15" t="s">
        <v>128</v>
      </c>
    </row>
    <row r="141" customFormat="false" ht="14.25" hidden="false" customHeight="false" outlineLevel="0" collapsed="false">
      <c r="A141" s="15" t="s">
        <v>441</v>
      </c>
      <c r="B141" s="16" t="n">
        <v>45351</v>
      </c>
      <c r="C141" s="15" t="s">
        <v>333</v>
      </c>
      <c r="D141" s="15" t="s">
        <v>211</v>
      </c>
      <c r="E141" s="15" t="s">
        <v>97</v>
      </c>
      <c r="F141" s="17" t="n">
        <v>6</v>
      </c>
      <c r="G141" s="17" t="n">
        <v>2760</v>
      </c>
      <c r="H141" s="17" t="n">
        <v>19.8</v>
      </c>
      <c r="I141" s="17" t="n">
        <v>13281.12</v>
      </c>
      <c r="J141" s="15" t="s">
        <v>98</v>
      </c>
      <c r="K141" s="15" t="s">
        <v>110</v>
      </c>
    </row>
    <row r="142" customFormat="false" ht="14.25" hidden="false" customHeight="false" outlineLevel="0" collapsed="false">
      <c r="A142" s="15" t="s">
        <v>442</v>
      </c>
      <c r="B142" s="16" t="n">
        <v>45604</v>
      </c>
      <c r="C142" s="15" t="s">
        <v>382</v>
      </c>
      <c r="D142" s="15" t="s">
        <v>256</v>
      </c>
      <c r="E142" s="15" t="s">
        <v>132</v>
      </c>
      <c r="F142" s="17" t="n">
        <v>9</v>
      </c>
      <c r="G142" s="17" t="n">
        <v>2270</v>
      </c>
      <c r="H142" s="17" t="n">
        <v>20.8</v>
      </c>
      <c r="I142" s="17" t="n">
        <v>16180.56</v>
      </c>
      <c r="J142" s="15" t="s">
        <v>151</v>
      </c>
      <c r="K142" s="15" t="s">
        <v>123</v>
      </c>
    </row>
    <row r="143" customFormat="false" ht="14.25" hidden="false" customHeight="false" outlineLevel="0" collapsed="false">
      <c r="A143" s="15" t="s">
        <v>443</v>
      </c>
      <c r="B143" s="16" t="n">
        <v>45328</v>
      </c>
      <c r="C143" s="15" t="s">
        <v>177</v>
      </c>
      <c r="D143" s="15" t="s">
        <v>371</v>
      </c>
      <c r="E143" s="15" t="s">
        <v>226</v>
      </c>
      <c r="F143" s="17" t="n">
        <v>8</v>
      </c>
      <c r="G143" s="17" t="n">
        <v>5410</v>
      </c>
      <c r="H143" s="17" t="n">
        <v>12.9</v>
      </c>
      <c r="I143" s="17" t="n">
        <v>37696.88</v>
      </c>
      <c r="J143" s="15" t="s">
        <v>98</v>
      </c>
      <c r="K143" s="15" t="s">
        <v>144</v>
      </c>
    </row>
    <row r="144" customFormat="false" ht="14.25" hidden="false" customHeight="false" outlineLevel="0" collapsed="false">
      <c r="A144" s="15" t="s">
        <v>444</v>
      </c>
      <c r="B144" s="16" t="n">
        <v>45508</v>
      </c>
      <c r="C144" s="15" t="s">
        <v>445</v>
      </c>
      <c r="D144" s="15" t="s">
        <v>142</v>
      </c>
      <c r="E144" s="15" t="s">
        <v>215</v>
      </c>
      <c r="F144" s="17" t="n">
        <v>9</v>
      </c>
      <c r="G144" s="17" t="n">
        <v>2270</v>
      </c>
      <c r="H144" s="17" t="n">
        <v>6.8</v>
      </c>
      <c r="I144" s="17" t="n">
        <v>19040.76</v>
      </c>
      <c r="J144" s="15" t="s">
        <v>98</v>
      </c>
      <c r="K144" s="15" t="s">
        <v>110</v>
      </c>
    </row>
    <row r="145" customFormat="false" ht="14.25" hidden="false" customHeight="false" outlineLevel="0" collapsed="false">
      <c r="A145" s="15" t="s">
        <v>446</v>
      </c>
      <c r="B145" s="16" t="n">
        <v>45309</v>
      </c>
      <c r="C145" s="15" t="s">
        <v>148</v>
      </c>
      <c r="D145" s="15" t="s">
        <v>117</v>
      </c>
      <c r="E145" s="15" t="s">
        <v>226</v>
      </c>
      <c r="F145" s="17" t="n">
        <v>3</v>
      </c>
      <c r="G145" s="17" t="n">
        <v>3160</v>
      </c>
      <c r="H145" s="17" t="n">
        <v>12.8</v>
      </c>
      <c r="I145" s="17" t="n">
        <v>8266.56</v>
      </c>
      <c r="J145" s="15" t="s">
        <v>98</v>
      </c>
      <c r="K145" s="15" t="s">
        <v>110</v>
      </c>
    </row>
    <row r="146" customFormat="false" ht="14.25" hidden="false" customHeight="false" outlineLevel="0" collapsed="false">
      <c r="A146" s="15" t="s">
        <v>447</v>
      </c>
      <c r="B146" s="16" t="n">
        <v>45448</v>
      </c>
      <c r="C146" s="15" t="s">
        <v>244</v>
      </c>
      <c r="D146" s="15" t="s">
        <v>362</v>
      </c>
      <c r="E146" s="15" t="s">
        <v>139</v>
      </c>
      <c r="F146" s="17" t="n">
        <v>8</v>
      </c>
      <c r="G146" s="17" t="n">
        <v>4060</v>
      </c>
      <c r="H146" s="17" t="n">
        <v>20.9</v>
      </c>
      <c r="I146" s="17" t="n">
        <v>25691.68</v>
      </c>
      <c r="J146" s="15" t="s">
        <v>98</v>
      </c>
      <c r="K146" s="15" t="s">
        <v>99</v>
      </c>
    </row>
    <row r="147" customFormat="false" ht="14.25" hidden="false" customHeight="false" outlineLevel="0" collapsed="false">
      <c r="A147" s="15" t="s">
        <v>448</v>
      </c>
      <c r="B147" s="16" t="n">
        <v>45449</v>
      </c>
      <c r="C147" s="15" t="s">
        <v>449</v>
      </c>
      <c r="D147" s="15" t="s">
        <v>102</v>
      </c>
      <c r="E147" s="15" t="s">
        <v>314</v>
      </c>
      <c r="F147" s="17" t="n">
        <v>5</v>
      </c>
      <c r="G147" s="17" t="n">
        <v>820</v>
      </c>
      <c r="H147" s="17" t="n">
        <v>9.1</v>
      </c>
      <c r="I147" s="17" t="n">
        <v>3726.9</v>
      </c>
      <c r="J147" s="15" t="s">
        <v>155</v>
      </c>
      <c r="K147" s="15" t="s">
        <v>99</v>
      </c>
    </row>
    <row r="148" customFormat="false" ht="14.25" hidden="false" customHeight="false" outlineLevel="0" collapsed="false">
      <c r="A148" s="15" t="s">
        <v>450</v>
      </c>
      <c r="B148" s="16" t="n">
        <v>45555</v>
      </c>
      <c r="C148" s="15" t="s">
        <v>451</v>
      </c>
      <c r="D148" s="15" t="s">
        <v>121</v>
      </c>
      <c r="E148" s="15" t="s">
        <v>97</v>
      </c>
      <c r="F148" s="17" t="n">
        <v>5</v>
      </c>
      <c r="G148" s="17" t="n">
        <v>370</v>
      </c>
      <c r="H148" s="17" t="n">
        <v>11.5</v>
      </c>
      <c r="I148" s="17" t="n">
        <v>1637.25</v>
      </c>
      <c r="J148" s="15" t="s">
        <v>98</v>
      </c>
      <c r="K148" s="15" t="s">
        <v>99</v>
      </c>
    </row>
    <row r="149" customFormat="false" ht="14.25" hidden="false" customHeight="false" outlineLevel="0" collapsed="false">
      <c r="A149" s="15" t="s">
        <v>452</v>
      </c>
      <c r="B149" s="16" t="n">
        <v>45341</v>
      </c>
      <c r="C149" s="15" t="s">
        <v>453</v>
      </c>
      <c r="D149" s="15" t="s">
        <v>454</v>
      </c>
      <c r="E149" s="15" t="s">
        <v>308</v>
      </c>
      <c r="F149" s="17" t="n">
        <v>9</v>
      </c>
      <c r="G149" s="17" t="n">
        <v>5080</v>
      </c>
      <c r="H149" s="17" t="n">
        <v>27.5</v>
      </c>
      <c r="I149" s="17" t="n">
        <v>33147</v>
      </c>
      <c r="J149" s="15" t="s">
        <v>98</v>
      </c>
      <c r="K149" s="15" t="s">
        <v>99</v>
      </c>
    </row>
    <row r="150" customFormat="false" ht="14.25" hidden="false" customHeight="false" outlineLevel="0" collapsed="false">
      <c r="A150" s="15" t="s">
        <v>455</v>
      </c>
      <c r="B150" s="16" t="n">
        <v>45422</v>
      </c>
      <c r="C150" s="15" t="s">
        <v>319</v>
      </c>
      <c r="D150" s="15" t="s">
        <v>275</v>
      </c>
      <c r="E150" s="15" t="s">
        <v>336</v>
      </c>
      <c r="F150" s="17" t="n">
        <v>6</v>
      </c>
      <c r="G150" s="17" t="n">
        <v>4070</v>
      </c>
      <c r="H150" s="17" t="n">
        <v>12.5</v>
      </c>
      <c r="I150" s="17" t="n">
        <v>21367.5</v>
      </c>
      <c r="J150" s="15" t="s">
        <v>98</v>
      </c>
      <c r="K150" s="15" t="s">
        <v>99</v>
      </c>
    </row>
    <row r="151" customFormat="false" ht="14.25" hidden="false" customHeight="false" outlineLevel="0" collapsed="false">
      <c r="A151" s="15" t="s">
        <v>456</v>
      </c>
      <c r="B151" s="16" t="n">
        <v>45346</v>
      </c>
      <c r="C151" s="15" t="s">
        <v>451</v>
      </c>
      <c r="D151" s="15" t="s">
        <v>293</v>
      </c>
      <c r="E151" s="15" t="s">
        <v>127</v>
      </c>
      <c r="F151" s="17" t="n">
        <v>5</v>
      </c>
      <c r="G151" s="17" t="n">
        <v>300</v>
      </c>
      <c r="H151" s="17" t="n">
        <v>25.8</v>
      </c>
      <c r="I151" s="17" t="n">
        <v>1113</v>
      </c>
      <c r="J151" s="15" t="s">
        <v>98</v>
      </c>
      <c r="K151" s="15" t="s">
        <v>99</v>
      </c>
    </row>
    <row r="152" customFormat="false" ht="14.25" hidden="false" customHeight="false" outlineLevel="0" collapsed="false">
      <c r="A152" s="15" t="s">
        <v>457</v>
      </c>
      <c r="B152" s="16" t="n">
        <v>45318</v>
      </c>
      <c r="C152" s="15" t="s">
        <v>458</v>
      </c>
      <c r="D152" s="15" t="s">
        <v>202</v>
      </c>
      <c r="E152" s="15" t="s">
        <v>284</v>
      </c>
      <c r="F152" s="17" t="n">
        <v>7</v>
      </c>
      <c r="G152" s="17" t="n">
        <v>5100</v>
      </c>
      <c r="H152" s="17" t="n">
        <v>28.8</v>
      </c>
      <c r="I152" s="17" t="n">
        <v>25418.4</v>
      </c>
      <c r="J152" s="15" t="s">
        <v>98</v>
      </c>
      <c r="K152" s="15" t="s">
        <v>459</v>
      </c>
    </row>
    <row r="153" customFormat="false" ht="14.25" hidden="false" customHeight="false" outlineLevel="0" collapsed="false">
      <c r="A153" s="15" t="s">
        <v>460</v>
      </c>
      <c r="B153" s="16" t="n">
        <v>45521</v>
      </c>
      <c r="C153" s="15" t="s">
        <v>236</v>
      </c>
      <c r="D153" s="15" t="s">
        <v>135</v>
      </c>
      <c r="E153" s="15" t="s">
        <v>336</v>
      </c>
      <c r="F153" s="17" t="n">
        <v>2</v>
      </c>
      <c r="G153" s="17" t="n">
        <v>5490</v>
      </c>
      <c r="H153" s="17" t="n">
        <v>5.5</v>
      </c>
      <c r="I153" s="17" t="n">
        <v>10376.1</v>
      </c>
      <c r="J153" s="15" t="s">
        <v>98</v>
      </c>
      <c r="K153" s="15" t="s">
        <v>105</v>
      </c>
    </row>
    <row r="154" customFormat="false" ht="14.25" hidden="false" customHeight="false" outlineLevel="0" collapsed="false">
      <c r="A154" s="15" t="s">
        <v>461</v>
      </c>
      <c r="B154" s="16" t="n">
        <v>45595</v>
      </c>
      <c r="C154" s="15" t="s">
        <v>462</v>
      </c>
      <c r="D154" s="15" t="s">
        <v>463</v>
      </c>
      <c r="E154" s="15" t="s">
        <v>199</v>
      </c>
      <c r="F154" s="17" t="n">
        <v>2</v>
      </c>
      <c r="G154" s="17" t="n">
        <v>3450</v>
      </c>
      <c r="H154" s="17" t="n">
        <v>1.2</v>
      </c>
      <c r="I154" s="17" t="n">
        <v>6817.2</v>
      </c>
      <c r="J154" s="15" t="s">
        <v>98</v>
      </c>
      <c r="K154" s="15" t="s">
        <v>110</v>
      </c>
    </row>
    <row r="155" customFormat="false" ht="14.25" hidden="false" customHeight="false" outlineLevel="0" collapsed="false">
      <c r="A155" s="15" t="s">
        <v>464</v>
      </c>
      <c r="B155" s="16" t="n">
        <v>45530</v>
      </c>
      <c r="C155" s="15" t="s">
        <v>465</v>
      </c>
      <c r="D155" s="15" t="s">
        <v>349</v>
      </c>
      <c r="E155" s="15" t="s">
        <v>308</v>
      </c>
      <c r="F155" s="17" t="n">
        <v>10</v>
      </c>
      <c r="G155" s="17" t="n">
        <v>2210</v>
      </c>
      <c r="H155" s="17" t="n">
        <v>18.8</v>
      </c>
      <c r="I155" s="17" t="n">
        <v>17945.2</v>
      </c>
      <c r="J155" s="15" t="s">
        <v>98</v>
      </c>
      <c r="K155" s="15" t="s">
        <v>144</v>
      </c>
    </row>
    <row r="156" customFormat="false" ht="14.25" hidden="false" customHeight="false" outlineLevel="0" collapsed="false">
      <c r="A156" s="15" t="s">
        <v>466</v>
      </c>
      <c r="B156" s="16" t="n">
        <v>45644</v>
      </c>
      <c r="C156" s="15" t="s">
        <v>331</v>
      </c>
      <c r="D156" s="15" t="s">
        <v>154</v>
      </c>
      <c r="E156" s="15" t="s">
        <v>263</v>
      </c>
      <c r="F156" s="17" t="n">
        <v>2</v>
      </c>
      <c r="G156" s="17" t="n">
        <v>3250</v>
      </c>
      <c r="H156" s="17" t="n">
        <v>26.2</v>
      </c>
      <c r="I156" s="17" t="n">
        <v>4797</v>
      </c>
      <c r="J156" s="15" t="s">
        <v>98</v>
      </c>
      <c r="K156" s="15" t="s">
        <v>144</v>
      </c>
    </row>
    <row r="157" customFormat="false" ht="14.25" hidden="false" customHeight="false" outlineLevel="0" collapsed="false">
      <c r="A157" s="15" t="s">
        <v>467</v>
      </c>
      <c r="B157" s="16" t="n">
        <v>45298</v>
      </c>
      <c r="C157" s="15" t="s">
        <v>468</v>
      </c>
      <c r="D157" s="15" t="s">
        <v>117</v>
      </c>
      <c r="E157" s="15" t="s">
        <v>226</v>
      </c>
      <c r="F157" s="17" t="n">
        <v>5</v>
      </c>
      <c r="G157" s="17" t="n">
        <v>3160</v>
      </c>
      <c r="H157" s="17" t="n">
        <v>0.9</v>
      </c>
      <c r="I157" s="17" t="n">
        <v>15657.8</v>
      </c>
      <c r="J157" s="15" t="s">
        <v>98</v>
      </c>
      <c r="K157" s="15" t="s">
        <v>99</v>
      </c>
    </row>
    <row r="158" customFormat="false" ht="14.25" hidden="false" customHeight="false" outlineLevel="0" collapsed="false">
      <c r="A158" s="15" t="s">
        <v>469</v>
      </c>
      <c r="B158" s="16" t="n">
        <v>45447</v>
      </c>
      <c r="C158" s="15" t="s">
        <v>418</v>
      </c>
      <c r="D158" s="15" t="s">
        <v>259</v>
      </c>
      <c r="E158" s="15" t="s">
        <v>181</v>
      </c>
      <c r="F158" s="17" t="n">
        <v>4</v>
      </c>
      <c r="G158" s="17" t="n">
        <v>3870</v>
      </c>
      <c r="H158" s="17" t="n">
        <v>29.6</v>
      </c>
      <c r="I158" s="17" t="n">
        <v>10897.92</v>
      </c>
      <c r="J158" s="15" t="s">
        <v>151</v>
      </c>
      <c r="K158" s="15" t="s">
        <v>99</v>
      </c>
    </row>
    <row r="159" customFormat="false" ht="14.25" hidden="false" customHeight="false" outlineLevel="0" collapsed="false">
      <c r="A159" s="15" t="s">
        <v>470</v>
      </c>
      <c r="B159" s="16" t="n">
        <v>45601</v>
      </c>
      <c r="C159" s="15" t="s">
        <v>471</v>
      </c>
      <c r="D159" s="15" t="s">
        <v>472</v>
      </c>
      <c r="E159" s="15" t="s">
        <v>296</v>
      </c>
      <c r="F159" s="17" t="n">
        <v>4</v>
      </c>
      <c r="G159" s="17" t="n">
        <v>3780</v>
      </c>
      <c r="H159" s="17" t="n">
        <v>3.5</v>
      </c>
      <c r="I159" s="17" t="n">
        <v>14590.8</v>
      </c>
      <c r="J159" s="15" t="s">
        <v>151</v>
      </c>
      <c r="K159" s="15" t="s">
        <v>99</v>
      </c>
    </row>
    <row r="160" customFormat="false" ht="14.25" hidden="false" customHeight="false" outlineLevel="0" collapsed="false">
      <c r="A160" s="15" t="s">
        <v>473</v>
      </c>
      <c r="B160" s="16" t="n">
        <v>45428</v>
      </c>
      <c r="C160" s="15" t="s">
        <v>474</v>
      </c>
      <c r="D160" s="15" t="s">
        <v>287</v>
      </c>
      <c r="E160" s="15" t="s">
        <v>169</v>
      </c>
      <c r="F160" s="17" t="n">
        <v>4</v>
      </c>
      <c r="G160" s="17" t="n">
        <v>3020</v>
      </c>
      <c r="H160" s="17" t="n">
        <v>18.9</v>
      </c>
      <c r="I160" s="17" t="n">
        <v>9796.88</v>
      </c>
      <c r="J160" s="15" t="s">
        <v>98</v>
      </c>
      <c r="K160" s="15" t="s">
        <v>128</v>
      </c>
    </row>
    <row r="161" customFormat="false" ht="14.25" hidden="false" customHeight="false" outlineLevel="0" collapsed="false">
      <c r="A161" s="15" t="s">
        <v>475</v>
      </c>
      <c r="B161" s="16" t="n">
        <v>45409</v>
      </c>
      <c r="C161" s="15" t="s">
        <v>476</v>
      </c>
      <c r="D161" s="15" t="s">
        <v>237</v>
      </c>
      <c r="E161" s="15" t="s">
        <v>199</v>
      </c>
      <c r="F161" s="17" t="n">
        <v>1</v>
      </c>
      <c r="G161" s="17" t="n">
        <v>3730</v>
      </c>
      <c r="H161" s="17" t="n">
        <v>10.8</v>
      </c>
      <c r="I161" s="17" t="n">
        <v>3327.16</v>
      </c>
      <c r="J161" s="15" t="s">
        <v>155</v>
      </c>
      <c r="K161" s="15" t="s">
        <v>123</v>
      </c>
    </row>
    <row r="162" customFormat="false" ht="14.25" hidden="false" customHeight="false" outlineLevel="0" collapsed="false">
      <c r="A162" s="15" t="s">
        <v>477</v>
      </c>
      <c r="B162" s="16" t="n">
        <v>45394</v>
      </c>
      <c r="C162" s="15" t="s">
        <v>344</v>
      </c>
      <c r="D162" s="15" t="s">
        <v>195</v>
      </c>
      <c r="E162" s="15" t="s">
        <v>314</v>
      </c>
      <c r="F162" s="17" t="n">
        <v>8</v>
      </c>
      <c r="G162" s="17" t="n">
        <v>4880</v>
      </c>
      <c r="H162" s="17" t="n">
        <v>20.3</v>
      </c>
      <c r="I162" s="17" t="n">
        <v>31114.88</v>
      </c>
      <c r="J162" s="15" t="s">
        <v>98</v>
      </c>
      <c r="K162" s="15" t="s">
        <v>144</v>
      </c>
    </row>
    <row r="163" customFormat="false" ht="14.25" hidden="false" customHeight="false" outlineLevel="0" collapsed="false">
      <c r="A163" s="15" t="s">
        <v>478</v>
      </c>
      <c r="B163" s="16" t="n">
        <v>45579</v>
      </c>
      <c r="C163" s="15" t="s">
        <v>161</v>
      </c>
      <c r="D163" s="15" t="s">
        <v>138</v>
      </c>
      <c r="E163" s="15" t="s">
        <v>212</v>
      </c>
      <c r="F163" s="17" t="n">
        <v>9</v>
      </c>
      <c r="G163" s="17" t="n">
        <v>970</v>
      </c>
      <c r="H163" s="17" t="n">
        <v>18.2</v>
      </c>
      <c r="I163" s="17" t="n">
        <v>7141.14</v>
      </c>
      <c r="J163" s="15" t="s">
        <v>98</v>
      </c>
      <c r="K163" s="15" t="s">
        <v>99</v>
      </c>
    </row>
    <row r="164" customFormat="false" ht="14.25" hidden="false" customHeight="false" outlineLevel="0" collapsed="false">
      <c r="A164" s="15" t="s">
        <v>479</v>
      </c>
      <c r="B164" s="16" t="n">
        <v>45442</v>
      </c>
      <c r="C164" s="15" t="s">
        <v>480</v>
      </c>
      <c r="D164" s="15" t="s">
        <v>290</v>
      </c>
      <c r="E164" s="15" t="s">
        <v>249</v>
      </c>
      <c r="F164" s="17" t="n">
        <v>8</v>
      </c>
      <c r="G164" s="17" t="n">
        <v>2660</v>
      </c>
      <c r="H164" s="17" t="n">
        <v>17.6</v>
      </c>
      <c r="I164" s="17" t="n">
        <v>17534.72</v>
      </c>
      <c r="J164" s="15" t="s">
        <v>98</v>
      </c>
      <c r="K164" s="15" t="s">
        <v>128</v>
      </c>
    </row>
    <row r="165" customFormat="false" ht="14.25" hidden="false" customHeight="false" outlineLevel="0" collapsed="false">
      <c r="A165" s="15" t="s">
        <v>481</v>
      </c>
      <c r="B165" s="16" t="n">
        <v>45414</v>
      </c>
      <c r="C165" s="15" t="s">
        <v>148</v>
      </c>
      <c r="D165" s="15" t="s">
        <v>102</v>
      </c>
      <c r="E165" s="15" t="s">
        <v>199</v>
      </c>
      <c r="F165" s="17" t="n">
        <v>2</v>
      </c>
      <c r="G165" s="17" t="n">
        <v>820</v>
      </c>
      <c r="H165" s="17" t="n">
        <v>18.1</v>
      </c>
      <c r="I165" s="17" t="n">
        <v>1343.16</v>
      </c>
      <c r="J165" s="15" t="s">
        <v>151</v>
      </c>
      <c r="K165" s="15" t="s">
        <v>110</v>
      </c>
    </row>
    <row r="166" customFormat="false" ht="14.25" hidden="false" customHeight="false" outlineLevel="0" collapsed="false">
      <c r="A166" s="15" t="s">
        <v>482</v>
      </c>
      <c r="B166" s="16" t="n">
        <v>45349</v>
      </c>
      <c r="C166" s="15" t="s">
        <v>483</v>
      </c>
      <c r="D166" s="15" t="s">
        <v>306</v>
      </c>
      <c r="E166" s="15" t="s">
        <v>215</v>
      </c>
      <c r="F166" s="17" t="n">
        <v>7</v>
      </c>
      <c r="G166" s="17" t="n">
        <v>2030</v>
      </c>
      <c r="H166" s="17" t="n">
        <v>23.7</v>
      </c>
      <c r="I166" s="17" t="n">
        <v>10842.23</v>
      </c>
      <c r="J166" s="15" t="s">
        <v>104</v>
      </c>
      <c r="K166" s="15" t="s">
        <v>105</v>
      </c>
    </row>
    <row r="167" customFormat="false" ht="14.25" hidden="false" customHeight="false" outlineLevel="0" collapsed="false">
      <c r="A167" s="15" t="s">
        <v>484</v>
      </c>
      <c r="B167" s="16" t="n">
        <v>45533</v>
      </c>
      <c r="C167" s="15" t="s">
        <v>485</v>
      </c>
      <c r="D167" s="15" t="s">
        <v>303</v>
      </c>
      <c r="E167" s="15" t="s">
        <v>215</v>
      </c>
      <c r="F167" s="17" t="n">
        <v>5</v>
      </c>
      <c r="G167" s="17" t="n">
        <v>620</v>
      </c>
      <c r="H167" s="17" t="n">
        <v>13.8</v>
      </c>
      <c r="I167" s="17" t="n">
        <v>2672.2</v>
      </c>
      <c r="J167" s="15" t="s">
        <v>98</v>
      </c>
      <c r="K167" s="15" t="s">
        <v>110</v>
      </c>
    </row>
    <row r="168" customFormat="false" ht="14.25" hidden="false" customHeight="false" outlineLevel="0" collapsed="false">
      <c r="A168" s="15" t="s">
        <v>486</v>
      </c>
      <c r="B168" s="16" t="n">
        <v>45489</v>
      </c>
      <c r="C168" s="15" t="s">
        <v>462</v>
      </c>
      <c r="D168" s="15" t="s">
        <v>256</v>
      </c>
      <c r="E168" s="15" t="s">
        <v>296</v>
      </c>
      <c r="F168" s="17" t="n">
        <v>7</v>
      </c>
      <c r="G168" s="17" t="n">
        <v>2270</v>
      </c>
      <c r="H168" s="17" t="n">
        <v>5.5</v>
      </c>
      <c r="I168" s="17" t="n">
        <v>15016.05</v>
      </c>
      <c r="J168" s="15" t="s">
        <v>98</v>
      </c>
      <c r="K168" s="15" t="s">
        <v>110</v>
      </c>
    </row>
    <row r="169" customFormat="false" ht="14.25" hidden="false" customHeight="false" outlineLevel="0" collapsed="false">
      <c r="A169" s="15" t="s">
        <v>487</v>
      </c>
      <c r="B169" s="16" t="n">
        <v>45457</v>
      </c>
      <c r="C169" s="15" t="s">
        <v>186</v>
      </c>
      <c r="D169" s="15" t="s">
        <v>108</v>
      </c>
      <c r="E169" s="15" t="s">
        <v>357</v>
      </c>
      <c r="F169" s="17" t="n">
        <v>1</v>
      </c>
      <c r="G169" s="17" t="n">
        <v>470</v>
      </c>
      <c r="H169" s="17" t="n">
        <v>13.7</v>
      </c>
      <c r="I169" s="17" t="n">
        <v>405.61</v>
      </c>
      <c r="J169" s="15" t="s">
        <v>104</v>
      </c>
      <c r="K169" s="15" t="s">
        <v>144</v>
      </c>
    </row>
    <row r="170" customFormat="false" ht="14.25" hidden="false" customHeight="false" outlineLevel="0" collapsed="false">
      <c r="A170" s="15" t="s">
        <v>488</v>
      </c>
      <c r="B170" s="16" t="n">
        <v>45601</v>
      </c>
      <c r="C170" s="15" t="s">
        <v>161</v>
      </c>
      <c r="D170" s="15" t="s">
        <v>375</v>
      </c>
      <c r="E170" s="15" t="s">
        <v>97</v>
      </c>
      <c r="F170" s="17" t="n">
        <v>6</v>
      </c>
      <c r="G170" s="17" t="n">
        <v>5330</v>
      </c>
      <c r="H170" s="17" t="n">
        <v>17.9</v>
      </c>
      <c r="I170" s="17" t="n">
        <v>26255.58</v>
      </c>
      <c r="J170" s="15" t="s">
        <v>98</v>
      </c>
      <c r="K170" s="15" t="s">
        <v>99</v>
      </c>
    </row>
    <row r="171" customFormat="false" ht="14.25" hidden="false" customHeight="false" outlineLevel="0" collapsed="false">
      <c r="A171" s="15" t="s">
        <v>489</v>
      </c>
      <c r="B171" s="16" t="n">
        <v>45294</v>
      </c>
      <c r="C171" s="15" t="s">
        <v>490</v>
      </c>
      <c r="D171" s="15" t="s">
        <v>252</v>
      </c>
      <c r="E171" s="15" t="s">
        <v>308</v>
      </c>
      <c r="F171" s="17" t="n">
        <v>1</v>
      </c>
      <c r="G171" s="17" t="n">
        <v>6080</v>
      </c>
      <c r="H171" s="17" t="n">
        <v>25.5</v>
      </c>
      <c r="I171" s="17" t="n">
        <v>4529.6</v>
      </c>
      <c r="J171" s="15" t="s">
        <v>98</v>
      </c>
      <c r="K171" s="15" t="s">
        <v>99</v>
      </c>
    </row>
    <row r="172" customFormat="false" ht="14.25" hidden="false" customHeight="false" outlineLevel="0" collapsed="false">
      <c r="A172" s="15" t="s">
        <v>491</v>
      </c>
      <c r="B172" s="16" t="n">
        <v>45345</v>
      </c>
      <c r="C172" s="15" t="s">
        <v>272</v>
      </c>
      <c r="D172" s="15" t="s">
        <v>245</v>
      </c>
      <c r="E172" s="15" t="s">
        <v>296</v>
      </c>
      <c r="F172" s="17" t="n">
        <v>5</v>
      </c>
      <c r="G172" s="17" t="n">
        <v>3780</v>
      </c>
      <c r="H172" s="17" t="n">
        <v>28.6</v>
      </c>
      <c r="I172" s="17" t="n">
        <v>13494.6</v>
      </c>
      <c r="J172" s="15" t="s">
        <v>98</v>
      </c>
      <c r="K172" s="15" t="s">
        <v>110</v>
      </c>
    </row>
    <row r="173" customFormat="false" ht="14.25" hidden="false" customHeight="false" outlineLevel="0" collapsed="false">
      <c r="A173" s="15" t="s">
        <v>492</v>
      </c>
      <c r="B173" s="16" t="n">
        <v>45391</v>
      </c>
      <c r="C173" s="15" t="s">
        <v>493</v>
      </c>
      <c r="D173" s="15" t="s">
        <v>303</v>
      </c>
      <c r="E173" s="15" t="s">
        <v>143</v>
      </c>
      <c r="F173" s="17" t="n">
        <v>5</v>
      </c>
      <c r="G173" s="17" t="n">
        <v>620</v>
      </c>
      <c r="H173" s="17" t="n">
        <v>6.9</v>
      </c>
      <c r="I173" s="17" t="n">
        <v>2886.1</v>
      </c>
      <c r="J173" s="15" t="s">
        <v>151</v>
      </c>
      <c r="K173" s="15" t="s">
        <v>144</v>
      </c>
    </row>
    <row r="174" customFormat="false" ht="14.25" hidden="false" customHeight="false" outlineLevel="0" collapsed="false">
      <c r="A174" s="15" t="s">
        <v>494</v>
      </c>
      <c r="B174" s="16" t="n">
        <v>45419</v>
      </c>
      <c r="C174" s="15" t="s">
        <v>438</v>
      </c>
      <c r="D174" s="15" t="s">
        <v>366</v>
      </c>
      <c r="E174" s="15" t="s">
        <v>354</v>
      </c>
      <c r="F174" s="17" t="n">
        <v>8</v>
      </c>
      <c r="G174" s="17" t="n">
        <v>2510</v>
      </c>
      <c r="H174" s="17" t="n">
        <v>0.7</v>
      </c>
      <c r="I174" s="17" t="n">
        <v>19939.44</v>
      </c>
      <c r="J174" s="15" t="s">
        <v>98</v>
      </c>
      <c r="K174" s="15" t="s">
        <v>99</v>
      </c>
    </row>
    <row r="175" customFormat="false" ht="14.25" hidden="false" customHeight="false" outlineLevel="0" collapsed="false">
      <c r="A175" s="15" t="s">
        <v>495</v>
      </c>
      <c r="B175" s="16" t="n">
        <v>45306</v>
      </c>
      <c r="C175" s="15" t="s">
        <v>496</v>
      </c>
      <c r="D175" s="15" t="s">
        <v>184</v>
      </c>
      <c r="E175" s="15" t="s">
        <v>203</v>
      </c>
      <c r="F175" s="17" t="n">
        <v>1</v>
      </c>
      <c r="G175" s="17" t="n">
        <v>2720</v>
      </c>
      <c r="H175" s="17" t="n">
        <v>13.7</v>
      </c>
      <c r="I175" s="17" t="n">
        <v>2347.36</v>
      </c>
      <c r="J175" s="15" t="s">
        <v>98</v>
      </c>
      <c r="K175" s="15" t="s">
        <v>99</v>
      </c>
    </row>
    <row r="176" customFormat="false" ht="14.25" hidden="false" customHeight="false" outlineLevel="0" collapsed="false">
      <c r="A176" s="15" t="s">
        <v>497</v>
      </c>
      <c r="B176" s="16" t="n">
        <v>45546</v>
      </c>
      <c r="C176" s="15" t="s">
        <v>498</v>
      </c>
      <c r="D176" s="15" t="s">
        <v>108</v>
      </c>
      <c r="E176" s="15" t="s">
        <v>314</v>
      </c>
      <c r="F176" s="17" t="n">
        <v>9</v>
      </c>
      <c r="G176" s="17" t="n">
        <v>470</v>
      </c>
      <c r="H176" s="17" t="n">
        <v>23.6</v>
      </c>
      <c r="I176" s="17" t="n">
        <v>3231.72</v>
      </c>
      <c r="J176" s="15" t="s">
        <v>98</v>
      </c>
      <c r="K176" s="15" t="s">
        <v>99</v>
      </c>
    </row>
    <row r="177" customFormat="false" ht="14.25" hidden="false" customHeight="false" outlineLevel="0" collapsed="false">
      <c r="A177" s="15" t="s">
        <v>499</v>
      </c>
      <c r="B177" s="16" t="n">
        <v>45633</v>
      </c>
      <c r="C177" s="15" t="s">
        <v>323</v>
      </c>
      <c r="D177" s="15" t="s">
        <v>154</v>
      </c>
      <c r="E177" s="15" t="s">
        <v>314</v>
      </c>
      <c r="F177" s="17" t="n">
        <v>10</v>
      </c>
      <c r="G177" s="17" t="n">
        <v>3250</v>
      </c>
      <c r="H177" s="17" t="n">
        <v>21</v>
      </c>
      <c r="I177" s="17" t="n">
        <v>25675</v>
      </c>
      <c r="J177" s="15" t="s">
        <v>151</v>
      </c>
      <c r="K177" s="15" t="s">
        <v>144</v>
      </c>
    </row>
    <row r="178" customFormat="false" ht="14.25" hidden="false" customHeight="false" outlineLevel="0" collapsed="false">
      <c r="A178" s="15" t="s">
        <v>500</v>
      </c>
      <c r="B178" s="16" t="n">
        <v>45649</v>
      </c>
      <c r="C178" s="15" t="s">
        <v>501</v>
      </c>
      <c r="D178" s="15" t="s">
        <v>454</v>
      </c>
      <c r="E178" s="15" t="s">
        <v>139</v>
      </c>
      <c r="F178" s="17" t="n">
        <v>6</v>
      </c>
      <c r="G178" s="17" t="n">
        <v>5080</v>
      </c>
      <c r="H178" s="17" t="n">
        <v>16.8</v>
      </c>
      <c r="I178" s="17" t="n">
        <v>25359.36</v>
      </c>
      <c r="J178" s="15" t="s">
        <v>104</v>
      </c>
      <c r="K178" s="15" t="s">
        <v>110</v>
      </c>
    </row>
    <row r="179" customFormat="false" ht="14.25" hidden="false" customHeight="false" outlineLevel="0" collapsed="false">
      <c r="A179" s="15" t="s">
        <v>502</v>
      </c>
      <c r="B179" s="16" t="n">
        <v>45312</v>
      </c>
      <c r="C179" s="15" t="s">
        <v>453</v>
      </c>
      <c r="D179" s="15" t="s">
        <v>198</v>
      </c>
      <c r="E179" s="15" t="s">
        <v>336</v>
      </c>
      <c r="F179" s="17" t="n">
        <v>2</v>
      </c>
      <c r="G179" s="17" t="n">
        <v>3570</v>
      </c>
      <c r="H179" s="17" t="n">
        <v>6.7</v>
      </c>
      <c r="I179" s="17" t="n">
        <v>6661.62</v>
      </c>
      <c r="J179" s="15" t="s">
        <v>151</v>
      </c>
      <c r="K179" s="15" t="s">
        <v>99</v>
      </c>
    </row>
    <row r="180" customFormat="false" ht="14.25" hidden="false" customHeight="false" outlineLevel="0" collapsed="false">
      <c r="A180" s="15" t="s">
        <v>503</v>
      </c>
      <c r="B180" s="16" t="n">
        <v>45382</v>
      </c>
      <c r="C180" s="15" t="s">
        <v>504</v>
      </c>
      <c r="D180" s="15" t="s">
        <v>248</v>
      </c>
      <c r="E180" s="15" t="s">
        <v>336</v>
      </c>
      <c r="F180" s="17" t="n">
        <v>4</v>
      </c>
      <c r="G180" s="17" t="n">
        <v>3640</v>
      </c>
      <c r="H180" s="17" t="n">
        <v>18.4</v>
      </c>
      <c r="I180" s="17" t="n">
        <v>11880.96</v>
      </c>
      <c r="J180" s="15" t="s">
        <v>98</v>
      </c>
      <c r="K180" s="15" t="s">
        <v>99</v>
      </c>
    </row>
    <row r="181" customFormat="false" ht="14.25" hidden="false" customHeight="false" outlineLevel="0" collapsed="false">
      <c r="A181" s="15" t="s">
        <v>505</v>
      </c>
      <c r="B181" s="16" t="n">
        <v>45524</v>
      </c>
      <c r="C181" s="15" t="s">
        <v>161</v>
      </c>
      <c r="D181" s="15" t="s">
        <v>275</v>
      </c>
      <c r="E181" s="15" t="s">
        <v>226</v>
      </c>
      <c r="F181" s="17" t="n">
        <v>8</v>
      </c>
      <c r="G181" s="17" t="n">
        <v>4070</v>
      </c>
      <c r="H181" s="17" t="n">
        <v>6.6</v>
      </c>
      <c r="I181" s="17" t="n">
        <v>30411.04</v>
      </c>
      <c r="J181" s="15" t="s">
        <v>98</v>
      </c>
      <c r="K181" s="15" t="s">
        <v>99</v>
      </c>
    </row>
    <row r="182" customFormat="false" ht="14.25" hidden="false" customHeight="false" outlineLevel="0" collapsed="false">
      <c r="A182" s="15" t="s">
        <v>506</v>
      </c>
      <c r="B182" s="16" t="n">
        <v>45392</v>
      </c>
      <c r="C182" s="15" t="s">
        <v>180</v>
      </c>
      <c r="D182" s="15" t="s">
        <v>463</v>
      </c>
      <c r="E182" s="15" t="s">
        <v>336</v>
      </c>
      <c r="F182" s="17" t="n">
        <v>6</v>
      </c>
      <c r="G182" s="17" t="n">
        <v>3450</v>
      </c>
      <c r="H182" s="17" t="n">
        <v>14.4</v>
      </c>
      <c r="I182" s="17" t="n">
        <v>17719.2</v>
      </c>
      <c r="J182" s="15" t="s">
        <v>104</v>
      </c>
      <c r="K182" s="15" t="s">
        <v>123</v>
      </c>
    </row>
    <row r="183" customFormat="false" ht="14.25" hidden="false" customHeight="false" outlineLevel="0" collapsed="false">
      <c r="A183" s="15" t="s">
        <v>507</v>
      </c>
      <c r="B183" s="16" t="n">
        <v>45443</v>
      </c>
      <c r="C183" s="15" t="s">
        <v>141</v>
      </c>
      <c r="D183" s="15" t="s">
        <v>454</v>
      </c>
      <c r="E183" s="15" t="s">
        <v>240</v>
      </c>
      <c r="F183" s="17" t="n">
        <v>7</v>
      </c>
      <c r="G183" s="17" t="n">
        <v>5080</v>
      </c>
      <c r="H183" s="17" t="n">
        <v>25.4</v>
      </c>
      <c r="I183" s="17" t="n">
        <v>26527.76</v>
      </c>
      <c r="J183" s="15" t="s">
        <v>104</v>
      </c>
      <c r="K183" s="15" t="s">
        <v>144</v>
      </c>
    </row>
    <row r="184" customFormat="false" ht="14.25" hidden="false" customHeight="false" outlineLevel="0" collapsed="false">
      <c r="A184" s="15" t="s">
        <v>508</v>
      </c>
      <c r="B184" s="16" t="n">
        <v>45333</v>
      </c>
      <c r="C184" s="15" t="s">
        <v>335</v>
      </c>
      <c r="D184" s="15" t="s">
        <v>211</v>
      </c>
      <c r="E184" s="15" t="s">
        <v>139</v>
      </c>
      <c r="F184" s="17" t="n">
        <v>10</v>
      </c>
      <c r="G184" s="17" t="n">
        <v>2760</v>
      </c>
      <c r="H184" s="17" t="n">
        <v>20.1</v>
      </c>
      <c r="I184" s="17" t="n">
        <v>22052.4</v>
      </c>
      <c r="J184" s="15" t="s">
        <v>98</v>
      </c>
      <c r="K184" s="15" t="s">
        <v>144</v>
      </c>
    </row>
    <row r="185" customFormat="false" ht="14.25" hidden="false" customHeight="false" outlineLevel="0" collapsed="false">
      <c r="A185" s="15" t="s">
        <v>509</v>
      </c>
      <c r="B185" s="16" t="n">
        <v>45456</v>
      </c>
      <c r="C185" s="15" t="s">
        <v>422</v>
      </c>
      <c r="D185" s="15" t="s">
        <v>187</v>
      </c>
      <c r="E185" s="15" t="s">
        <v>357</v>
      </c>
      <c r="F185" s="17" t="n">
        <v>6</v>
      </c>
      <c r="G185" s="17" t="n">
        <v>1650</v>
      </c>
      <c r="H185" s="17" t="n">
        <v>11.3</v>
      </c>
      <c r="I185" s="17" t="n">
        <v>8781.3</v>
      </c>
      <c r="J185" s="15" t="s">
        <v>104</v>
      </c>
      <c r="K185" s="15" t="s">
        <v>123</v>
      </c>
    </row>
    <row r="186" customFormat="false" ht="14.25" hidden="false" customHeight="false" outlineLevel="0" collapsed="false">
      <c r="A186" s="15" t="s">
        <v>510</v>
      </c>
      <c r="B186" s="16" t="n">
        <v>45295</v>
      </c>
      <c r="C186" s="15" t="s">
        <v>305</v>
      </c>
      <c r="D186" s="15" t="s">
        <v>259</v>
      </c>
      <c r="E186" s="15" t="s">
        <v>97</v>
      </c>
      <c r="F186" s="17" t="n">
        <v>9</v>
      </c>
      <c r="G186" s="17" t="n">
        <v>3870</v>
      </c>
      <c r="H186" s="17" t="n">
        <v>27.5</v>
      </c>
      <c r="I186" s="17" t="n">
        <v>25251.75</v>
      </c>
      <c r="J186" s="15" t="s">
        <v>98</v>
      </c>
      <c r="K186" s="15" t="s">
        <v>144</v>
      </c>
    </row>
    <row r="187" customFormat="false" ht="14.25" hidden="false" customHeight="false" outlineLevel="0" collapsed="false">
      <c r="A187" s="15" t="s">
        <v>511</v>
      </c>
      <c r="B187" s="16" t="n">
        <v>45532</v>
      </c>
      <c r="C187" s="15" t="s">
        <v>512</v>
      </c>
      <c r="D187" s="15" t="s">
        <v>513</v>
      </c>
      <c r="E187" s="15" t="s">
        <v>296</v>
      </c>
      <c r="F187" s="17" t="n">
        <v>2</v>
      </c>
      <c r="G187" s="17" t="n">
        <v>1090</v>
      </c>
      <c r="H187" s="17" t="n">
        <v>18.7</v>
      </c>
      <c r="I187" s="17" t="n">
        <v>1772.34</v>
      </c>
      <c r="J187" s="15" t="s">
        <v>155</v>
      </c>
      <c r="K187" s="15" t="s">
        <v>144</v>
      </c>
    </row>
    <row r="188" customFormat="false" ht="14.25" hidden="false" customHeight="false" outlineLevel="0" collapsed="false">
      <c r="A188" s="15" t="s">
        <v>514</v>
      </c>
      <c r="B188" s="16" t="n">
        <v>45564</v>
      </c>
      <c r="C188" s="15" t="s">
        <v>515</v>
      </c>
      <c r="D188" s="15" t="s">
        <v>391</v>
      </c>
      <c r="E188" s="15" t="s">
        <v>122</v>
      </c>
      <c r="F188" s="17" t="n">
        <v>4</v>
      </c>
      <c r="G188" s="17" t="n">
        <v>960</v>
      </c>
      <c r="H188" s="17" t="n">
        <v>23.4</v>
      </c>
      <c r="I188" s="17" t="n">
        <v>2941.44</v>
      </c>
      <c r="J188" s="15" t="s">
        <v>98</v>
      </c>
      <c r="K188" s="15" t="s">
        <v>128</v>
      </c>
    </row>
    <row r="189" customFormat="false" ht="14.25" hidden="false" customHeight="false" outlineLevel="0" collapsed="false">
      <c r="A189" s="15" t="s">
        <v>516</v>
      </c>
      <c r="B189" s="16" t="n">
        <v>45539</v>
      </c>
      <c r="C189" s="15" t="s">
        <v>258</v>
      </c>
      <c r="D189" s="15" t="s">
        <v>190</v>
      </c>
      <c r="E189" s="15" t="s">
        <v>169</v>
      </c>
      <c r="F189" s="17" t="n">
        <v>3</v>
      </c>
      <c r="G189" s="17" t="n">
        <v>3350</v>
      </c>
      <c r="H189" s="17" t="n">
        <v>17.9</v>
      </c>
      <c r="I189" s="17" t="n">
        <v>8251.05</v>
      </c>
      <c r="J189" s="15" t="s">
        <v>98</v>
      </c>
      <c r="K189" s="15" t="s">
        <v>128</v>
      </c>
    </row>
    <row r="190" customFormat="false" ht="14.25" hidden="false" customHeight="false" outlineLevel="0" collapsed="false">
      <c r="A190" s="15" t="s">
        <v>517</v>
      </c>
      <c r="B190" s="16" t="n">
        <v>45605</v>
      </c>
      <c r="C190" s="15" t="s">
        <v>518</v>
      </c>
      <c r="D190" s="15" t="s">
        <v>256</v>
      </c>
      <c r="E190" s="15" t="s">
        <v>103</v>
      </c>
      <c r="F190" s="17" t="n">
        <v>4</v>
      </c>
      <c r="G190" s="17" t="n">
        <v>2270</v>
      </c>
      <c r="H190" s="17" t="n">
        <v>29</v>
      </c>
      <c r="I190" s="17" t="n">
        <v>6446.8</v>
      </c>
      <c r="J190" s="15" t="s">
        <v>98</v>
      </c>
      <c r="K190" s="15" t="s">
        <v>99</v>
      </c>
    </row>
    <row r="191" customFormat="false" ht="14.25" hidden="false" customHeight="false" outlineLevel="0" collapsed="false">
      <c r="A191" s="15" t="s">
        <v>519</v>
      </c>
      <c r="B191" s="16" t="n">
        <v>45460</v>
      </c>
      <c r="C191" s="15" t="s">
        <v>440</v>
      </c>
      <c r="D191" s="15" t="s">
        <v>281</v>
      </c>
      <c r="E191" s="15" t="s">
        <v>165</v>
      </c>
      <c r="F191" s="17" t="n">
        <v>9</v>
      </c>
      <c r="G191" s="17" t="n">
        <v>4610</v>
      </c>
      <c r="H191" s="17" t="n">
        <v>28.3</v>
      </c>
      <c r="I191" s="17" t="n">
        <v>29748.33</v>
      </c>
      <c r="J191" s="15" t="s">
        <v>104</v>
      </c>
      <c r="K191" s="15" t="s">
        <v>128</v>
      </c>
    </row>
    <row r="192" customFormat="false" ht="14.25" hidden="false" customHeight="false" outlineLevel="0" collapsed="false">
      <c r="A192" s="15" t="s">
        <v>520</v>
      </c>
      <c r="B192" s="16" t="n">
        <v>45538</v>
      </c>
      <c r="C192" s="15" t="s">
        <v>521</v>
      </c>
      <c r="D192" s="15" t="s">
        <v>117</v>
      </c>
      <c r="E192" s="15" t="s">
        <v>215</v>
      </c>
      <c r="F192" s="17" t="n">
        <v>3</v>
      </c>
      <c r="G192" s="17" t="n">
        <v>3160</v>
      </c>
      <c r="H192" s="17" t="n">
        <v>7.3</v>
      </c>
      <c r="I192" s="17" t="n">
        <v>8787.96</v>
      </c>
      <c r="J192" s="15" t="s">
        <v>98</v>
      </c>
      <c r="K192" s="15" t="s">
        <v>128</v>
      </c>
    </row>
    <row r="193" customFormat="false" ht="14.25" hidden="false" customHeight="false" outlineLevel="0" collapsed="false">
      <c r="A193" s="15" t="s">
        <v>522</v>
      </c>
      <c r="B193" s="16" t="n">
        <v>45573</v>
      </c>
      <c r="C193" s="15" t="s">
        <v>523</v>
      </c>
      <c r="D193" s="15" t="s">
        <v>256</v>
      </c>
      <c r="E193" s="15" t="s">
        <v>150</v>
      </c>
      <c r="F193" s="17" t="n">
        <v>8</v>
      </c>
      <c r="G193" s="17" t="n">
        <v>2270</v>
      </c>
      <c r="H193" s="17" t="n">
        <v>15.6</v>
      </c>
      <c r="I193" s="17" t="n">
        <v>15327.04</v>
      </c>
      <c r="J193" s="15" t="s">
        <v>98</v>
      </c>
      <c r="K193" s="15" t="s">
        <v>144</v>
      </c>
    </row>
    <row r="194" customFormat="false" ht="14.25" hidden="false" customHeight="false" outlineLevel="0" collapsed="false">
      <c r="A194" s="15" t="s">
        <v>524</v>
      </c>
      <c r="B194" s="16" t="n">
        <v>45483</v>
      </c>
      <c r="C194" s="15" t="s">
        <v>137</v>
      </c>
      <c r="D194" s="15" t="s">
        <v>287</v>
      </c>
      <c r="E194" s="15" t="s">
        <v>139</v>
      </c>
      <c r="F194" s="17" t="n">
        <v>8</v>
      </c>
      <c r="G194" s="17" t="n">
        <v>3020</v>
      </c>
      <c r="H194" s="17" t="n">
        <v>16.3</v>
      </c>
      <c r="I194" s="17" t="n">
        <v>20221.92</v>
      </c>
      <c r="J194" s="15" t="s">
        <v>151</v>
      </c>
      <c r="K194" s="15" t="s">
        <v>99</v>
      </c>
    </row>
    <row r="195" customFormat="false" ht="14.25" hidden="false" customHeight="false" outlineLevel="0" collapsed="false">
      <c r="A195" s="15" t="s">
        <v>525</v>
      </c>
      <c r="B195" s="16" t="n">
        <v>45617</v>
      </c>
      <c r="C195" s="15" t="s">
        <v>164</v>
      </c>
      <c r="D195" s="15" t="s">
        <v>526</v>
      </c>
      <c r="E195" s="15" t="s">
        <v>181</v>
      </c>
      <c r="F195" s="17" t="n">
        <v>7</v>
      </c>
      <c r="G195" s="17" t="n">
        <v>6940</v>
      </c>
      <c r="H195" s="17" t="n">
        <v>8.5</v>
      </c>
      <c r="I195" s="17" t="n">
        <v>44450.7</v>
      </c>
      <c r="J195" s="15" t="s">
        <v>98</v>
      </c>
      <c r="K195" s="15" t="s">
        <v>128</v>
      </c>
    </row>
    <row r="196" customFormat="false" ht="14.25" hidden="false" customHeight="false" outlineLevel="0" collapsed="false">
      <c r="A196" s="15" t="s">
        <v>527</v>
      </c>
      <c r="B196" s="16" t="n">
        <v>45546</v>
      </c>
      <c r="C196" s="15" t="s">
        <v>498</v>
      </c>
      <c r="D196" s="15" t="s">
        <v>270</v>
      </c>
      <c r="E196" s="15" t="s">
        <v>336</v>
      </c>
      <c r="F196" s="17" t="n">
        <v>8</v>
      </c>
      <c r="G196" s="17" t="n">
        <v>1540</v>
      </c>
      <c r="H196" s="17" t="n">
        <v>21</v>
      </c>
      <c r="I196" s="17" t="n">
        <v>9732.8</v>
      </c>
      <c r="J196" s="15" t="s">
        <v>98</v>
      </c>
      <c r="K196" s="15" t="s">
        <v>99</v>
      </c>
    </row>
    <row r="197" customFormat="false" ht="14.25" hidden="false" customHeight="false" outlineLevel="0" collapsed="false">
      <c r="A197" s="15" t="s">
        <v>528</v>
      </c>
      <c r="B197" s="16" t="n">
        <v>45380</v>
      </c>
      <c r="C197" s="15" t="s">
        <v>529</v>
      </c>
      <c r="D197" s="15" t="s">
        <v>178</v>
      </c>
      <c r="E197" s="15" t="s">
        <v>240</v>
      </c>
      <c r="F197" s="17" t="n">
        <v>6</v>
      </c>
      <c r="G197" s="17" t="n">
        <v>2480</v>
      </c>
      <c r="H197" s="17" t="n">
        <v>27.9</v>
      </c>
      <c r="I197" s="17" t="n">
        <v>10728.48</v>
      </c>
      <c r="J197" s="15" t="s">
        <v>98</v>
      </c>
      <c r="K197" s="15" t="s">
        <v>99</v>
      </c>
    </row>
    <row r="198" customFormat="false" ht="14.25" hidden="false" customHeight="false" outlineLevel="0" collapsed="false">
      <c r="A198" s="15" t="s">
        <v>530</v>
      </c>
      <c r="B198" s="16" t="n">
        <v>45320</v>
      </c>
      <c r="C198" s="15" t="s">
        <v>531</v>
      </c>
      <c r="D198" s="15" t="s">
        <v>158</v>
      </c>
      <c r="E198" s="15" t="s">
        <v>296</v>
      </c>
      <c r="F198" s="17" t="n">
        <v>4</v>
      </c>
      <c r="G198" s="17" t="n">
        <v>190</v>
      </c>
      <c r="H198" s="17" t="n">
        <v>21.5</v>
      </c>
      <c r="I198" s="17" t="n">
        <v>596.6</v>
      </c>
      <c r="J198" s="15" t="s">
        <v>98</v>
      </c>
      <c r="K198" s="15" t="s">
        <v>123</v>
      </c>
    </row>
    <row r="199" customFormat="false" ht="14.25" hidden="false" customHeight="false" outlineLevel="0" collapsed="false">
      <c r="A199" s="15" t="s">
        <v>532</v>
      </c>
      <c r="B199" s="16" t="n">
        <v>45355</v>
      </c>
      <c r="C199" s="15" t="s">
        <v>533</v>
      </c>
      <c r="D199" s="15" t="s">
        <v>206</v>
      </c>
      <c r="E199" s="15" t="s">
        <v>109</v>
      </c>
      <c r="F199" s="17" t="n">
        <v>1</v>
      </c>
      <c r="G199" s="17" t="n">
        <v>2860</v>
      </c>
      <c r="H199" s="17" t="n">
        <v>15.3</v>
      </c>
      <c r="I199" s="17" t="n">
        <v>2422.42</v>
      </c>
      <c r="J199" s="15" t="s">
        <v>98</v>
      </c>
      <c r="K199" s="15" t="s">
        <v>110</v>
      </c>
    </row>
    <row r="200" customFormat="false" ht="14.25" hidden="false" customHeight="false" outlineLevel="0" collapsed="false">
      <c r="A200" s="15" t="s">
        <v>534</v>
      </c>
      <c r="B200" s="16" t="n">
        <v>45350</v>
      </c>
      <c r="C200" s="15" t="s">
        <v>535</v>
      </c>
      <c r="D200" s="15" t="s">
        <v>366</v>
      </c>
      <c r="E200" s="15" t="s">
        <v>199</v>
      </c>
      <c r="F200" s="17" t="n">
        <v>4</v>
      </c>
      <c r="G200" s="17" t="n">
        <v>2510</v>
      </c>
      <c r="H200" s="17" t="n">
        <v>10.1</v>
      </c>
      <c r="I200" s="17" t="n">
        <v>9025.96</v>
      </c>
      <c r="J200" s="15" t="s">
        <v>155</v>
      </c>
      <c r="K200" s="15" t="s">
        <v>123</v>
      </c>
    </row>
    <row r="201" customFormat="false" ht="14.25" hidden="false" customHeight="false" outlineLevel="0" collapsed="false">
      <c r="A201" s="15" t="s">
        <v>536</v>
      </c>
      <c r="B201" s="16" t="n">
        <v>45587</v>
      </c>
      <c r="C201" s="15" t="s">
        <v>396</v>
      </c>
      <c r="D201" s="15" t="s">
        <v>198</v>
      </c>
      <c r="E201" s="15" t="s">
        <v>159</v>
      </c>
      <c r="F201" s="17" t="n">
        <v>2</v>
      </c>
      <c r="G201" s="17" t="n">
        <v>3570</v>
      </c>
      <c r="H201" s="17" t="n">
        <v>11.6</v>
      </c>
      <c r="I201" s="17" t="n">
        <v>6311.76</v>
      </c>
      <c r="J201" s="15" t="s">
        <v>104</v>
      </c>
      <c r="K201" s="15" t="s">
        <v>128</v>
      </c>
    </row>
    <row r="202" customFormat="false" ht="14.25" hidden="false" customHeight="false" outlineLevel="0" collapsed="false">
      <c r="A202" s="15" t="s">
        <v>537</v>
      </c>
      <c r="B202" s="16" t="n">
        <v>45344</v>
      </c>
      <c r="C202" s="15" t="s">
        <v>501</v>
      </c>
      <c r="D202" s="15" t="s">
        <v>237</v>
      </c>
      <c r="E202" s="15" t="s">
        <v>357</v>
      </c>
      <c r="F202" s="17" t="n">
        <v>7</v>
      </c>
      <c r="G202" s="17" t="n">
        <v>3730</v>
      </c>
      <c r="H202" s="17" t="n">
        <v>2.5</v>
      </c>
      <c r="I202" s="17" t="n">
        <v>25457.25</v>
      </c>
      <c r="J202" s="15" t="s">
        <v>151</v>
      </c>
      <c r="K202" s="15" t="s">
        <v>110</v>
      </c>
    </row>
    <row r="203" customFormat="false" ht="14.25" hidden="false" customHeight="false" outlineLevel="0" collapsed="false">
      <c r="A203" s="15" t="s">
        <v>538</v>
      </c>
      <c r="B203" s="16" t="n">
        <v>45492</v>
      </c>
      <c r="C203" s="15" t="s">
        <v>539</v>
      </c>
      <c r="D203" s="15" t="s">
        <v>121</v>
      </c>
      <c r="E203" s="15" t="s">
        <v>181</v>
      </c>
      <c r="F203" s="17" t="n">
        <v>6</v>
      </c>
      <c r="G203" s="17" t="n">
        <v>370</v>
      </c>
      <c r="H203" s="17" t="n">
        <v>9.9</v>
      </c>
      <c r="I203" s="17" t="n">
        <v>2000.22</v>
      </c>
      <c r="J203" s="15" t="s">
        <v>98</v>
      </c>
      <c r="K203" s="15" t="s">
        <v>123</v>
      </c>
    </row>
    <row r="204" customFormat="false" ht="14.25" hidden="false" customHeight="false" outlineLevel="0" collapsed="false">
      <c r="A204" s="15" t="s">
        <v>540</v>
      </c>
      <c r="B204" s="16" t="n">
        <v>45490</v>
      </c>
      <c r="C204" s="15" t="s">
        <v>541</v>
      </c>
      <c r="D204" s="15" t="s">
        <v>290</v>
      </c>
      <c r="E204" s="15" t="s">
        <v>109</v>
      </c>
      <c r="F204" s="17" t="n">
        <v>4</v>
      </c>
      <c r="G204" s="17" t="n">
        <v>2660</v>
      </c>
      <c r="H204" s="17" t="n">
        <v>29.7</v>
      </c>
      <c r="I204" s="17" t="n">
        <v>7479.92</v>
      </c>
      <c r="J204" s="15" t="s">
        <v>98</v>
      </c>
      <c r="K204" s="15" t="s">
        <v>110</v>
      </c>
    </row>
    <row r="205" customFormat="false" ht="14.25" hidden="false" customHeight="false" outlineLevel="0" collapsed="false">
      <c r="A205" s="15" t="s">
        <v>542</v>
      </c>
      <c r="B205" s="16" t="n">
        <v>45538</v>
      </c>
      <c r="C205" s="15" t="s">
        <v>396</v>
      </c>
      <c r="D205" s="15" t="s">
        <v>211</v>
      </c>
      <c r="E205" s="15" t="s">
        <v>199</v>
      </c>
      <c r="F205" s="17" t="n">
        <v>6</v>
      </c>
      <c r="G205" s="17" t="n">
        <v>2760</v>
      </c>
      <c r="H205" s="17" t="n">
        <v>0.9</v>
      </c>
      <c r="I205" s="17" t="n">
        <v>16410.96</v>
      </c>
      <c r="J205" s="15" t="s">
        <v>98</v>
      </c>
      <c r="K205" s="15" t="s">
        <v>128</v>
      </c>
    </row>
    <row r="206" customFormat="false" ht="14.25" hidden="false" customHeight="false" outlineLevel="0" collapsed="false">
      <c r="A206" s="15" t="s">
        <v>543</v>
      </c>
      <c r="B206" s="16" t="n">
        <v>45591</v>
      </c>
      <c r="C206" s="15" t="s">
        <v>544</v>
      </c>
      <c r="D206" s="15" t="s">
        <v>190</v>
      </c>
      <c r="E206" s="15" t="s">
        <v>215</v>
      </c>
      <c r="F206" s="17" t="n">
        <v>6</v>
      </c>
      <c r="G206" s="17" t="n">
        <v>3350</v>
      </c>
      <c r="H206" s="17" t="n">
        <v>17.9</v>
      </c>
      <c r="I206" s="17" t="n">
        <v>16502.1</v>
      </c>
      <c r="J206" s="15" t="s">
        <v>98</v>
      </c>
      <c r="K206" s="15" t="s">
        <v>110</v>
      </c>
    </row>
    <row r="207" customFormat="false" ht="14.25" hidden="false" customHeight="false" outlineLevel="0" collapsed="false">
      <c r="A207" s="15" t="s">
        <v>545</v>
      </c>
      <c r="B207" s="16" t="n">
        <v>45319</v>
      </c>
      <c r="C207" s="15" t="s">
        <v>451</v>
      </c>
      <c r="D207" s="15" t="s">
        <v>293</v>
      </c>
      <c r="E207" s="15" t="s">
        <v>249</v>
      </c>
      <c r="F207" s="17" t="n">
        <v>8</v>
      </c>
      <c r="G207" s="17" t="n">
        <v>300</v>
      </c>
      <c r="H207" s="17" t="n">
        <v>20.6</v>
      </c>
      <c r="I207" s="17" t="n">
        <v>1905.6</v>
      </c>
      <c r="J207" s="15" t="s">
        <v>155</v>
      </c>
      <c r="K207" s="15" t="s">
        <v>99</v>
      </c>
    </row>
    <row r="208" customFormat="false" ht="14.25" hidden="false" customHeight="false" outlineLevel="0" collapsed="false">
      <c r="A208" s="15" t="s">
        <v>546</v>
      </c>
      <c r="B208" s="16" t="n">
        <v>45527</v>
      </c>
      <c r="C208" s="15" t="s">
        <v>539</v>
      </c>
      <c r="D208" s="15" t="s">
        <v>184</v>
      </c>
      <c r="E208" s="15" t="s">
        <v>308</v>
      </c>
      <c r="F208" s="17" t="n">
        <v>5</v>
      </c>
      <c r="G208" s="17" t="n">
        <v>2720</v>
      </c>
      <c r="H208" s="17" t="n">
        <v>17.1</v>
      </c>
      <c r="I208" s="17" t="n">
        <v>11274.4</v>
      </c>
      <c r="J208" s="15" t="s">
        <v>104</v>
      </c>
      <c r="K208" s="15" t="s">
        <v>123</v>
      </c>
    </row>
    <row r="209" customFormat="false" ht="14.25" hidden="false" customHeight="false" outlineLevel="0" collapsed="false">
      <c r="A209" s="15" t="s">
        <v>547</v>
      </c>
      <c r="B209" s="16" t="n">
        <v>45572</v>
      </c>
      <c r="C209" s="15" t="s">
        <v>548</v>
      </c>
      <c r="D209" s="15" t="s">
        <v>259</v>
      </c>
      <c r="E209" s="15" t="s">
        <v>199</v>
      </c>
      <c r="F209" s="17" t="n">
        <v>1</v>
      </c>
      <c r="G209" s="17" t="n">
        <v>3870</v>
      </c>
      <c r="H209" s="17" t="n">
        <v>23.5</v>
      </c>
      <c r="I209" s="17" t="n">
        <v>2960.55</v>
      </c>
      <c r="J209" s="15" t="s">
        <v>104</v>
      </c>
      <c r="K209" s="15" t="s">
        <v>144</v>
      </c>
    </row>
    <row r="210" customFormat="false" ht="14.25" hidden="false" customHeight="false" outlineLevel="0" collapsed="false">
      <c r="A210" s="15" t="s">
        <v>549</v>
      </c>
      <c r="B210" s="16" t="n">
        <v>45637</v>
      </c>
      <c r="C210" s="15" t="s">
        <v>550</v>
      </c>
      <c r="D210" s="15" t="s">
        <v>237</v>
      </c>
      <c r="E210" s="15" t="s">
        <v>336</v>
      </c>
      <c r="F210" s="17" t="n">
        <v>3</v>
      </c>
      <c r="G210" s="17" t="n">
        <v>3730</v>
      </c>
      <c r="H210" s="17" t="n">
        <v>0.7</v>
      </c>
      <c r="I210" s="17" t="n">
        <v>11111.67</v>
      </c>
      <c r="J210" s="15" t="s">
        <v>104</v>
      </c>
      <c r="K210" s="15" t="s">
        <v>144</v>
      </c>
    </row>
    <row r="211" customFormat="false" ht="14.25" hidden="false" customHeight="false" outlineLevel="0" collapsed="false">
      <c r="A211" s="15" t="s">
        <v>551</v>
      </c>
      <c r="B211" s="16" t="n">
        <v>45315</v>
      </c>
      <c r="C211" s="15" t="s">
        <v>552</v>
      </c>
      <c r="D211" s="15" t="s">
        <v>178</v>
      </c>
      <c r="E211" s="15" t="s">
        <v>336</v>
      </c>
      <c r="F211" s="17" t="n">
        <v>8</v>
      </c>
      <c r="G211" s="17" t="n">
        <v>2480</v>
      </c>
      <c r="H211" s="17" t="n">
        <v>18.2</v>
      </c>
      <c r="I211" s="17" t="n">
        <v>16229.12</v>
      </c>
      <c r="J211" s="15" t="s">
        <v>151</v>
      </c>
      <c r="K211" s="15" t="s">
        <v>105</v>
      </c>
    </row>
    <row r="212" customFormat="false" ht="14.25" hidden="false" customHeight="false" outlineLevel="0" collapsed="false">
      <c r="A212" s="15" t="s">
        <v>553</v>
      </c>
      <c r="B212" s="16" t="n">
        <v>45374</v>
      </c>
      <c r="C212" s="15" t="s">
        <v>399</v>
      </c>
      <c r="D212" s="15" t="s">
        <v>126</v>
      </c>
      <c r="E212" s="15" t="s">
        <v>132</v>
      </c>
      <c r="F212" s="17" t="n">
        <v>2</v>
      </c>
      <c r="G212" s="17" t="n">
        <v>960</v>
      </c>
      <c r="H212" s="17" t="n">
        <v>2.2</v>
      </c>
      <c r="I212" s="17" t="n">
        <v>1877.76</v>
      </c>
      <c r="J212" s="15" t="s">
        <v>98</v>
      </c>
      <c r="K212" s="15" t="s">
        <v>144</v>
      </c>
    </row>
    <row r="213" customFormat="false" ht="14.25" hidden="false" customHeight="false" outlineLevel="0" collapsed="false">
      <c r="A213" s="15" t="s">
        <v>554</v>
      </c>
      <c r="B213" s="16" t="n">
        <v>45335</v>
      </c>
      <c r="C213" s="15" t="s">
        <v>555</v>
      </c>
      <c r="D213" s="15" t="s">
        <v>195</v>
      </c>
      <c r="E213" s="15" t="s">
        <v>314</v>
      </c>
      <c r="F213" s="17" t="n">
        <v>8</v>
      </c>
      <c r="G213" s="17" t="n">
        <v>4880</v>
      </c>
      <c r="H213" s="17" t="n">
        <v>11.9</v>
      </c>
      <c r="I213" s="17" t="n">
        <v>34394.24</v>
      </c>
      <c r="J213" s="15" t="s">
        <v>98</v>
      </c>
      <c r="K213" s="15" t="s">
        <v>144</v>
      </c>
    </row>
    <row r="214" customFormat="false" ht="14.25" hidden="false" customHeight="false" outlineLevel="0" collapsed="false">
      <c r="A214" s="15" t="s">
        <v>556</v>
      </c>
      <c r="B214" s="16" t="n">
        <v>45656</v>
      </c>
      <c r="C214" s="15" t="s">
        <v>557</v>
      </c>
      <c r="D214" s="15" t="s">
        <v>96</v>
      </c>
      <c r="E214" s="15" t="s">
        <v>181</v>
      </c>
      <c r="F214" s="17" t="n">
        <v>2</v>
      </c>
      <c r="G214" s="17" t="n">
        <v>3620</v>
      </c>
      <c r="H214" s="17" t="n">
        <v>1.1</v>
      </c>
      <c r="I214" s="17" t="n">
        <v>7160.36</v>
      </c>
      <c r="J214" s="15" t="s">
        <v>104</v>
      </c>
      <c r="K214" s="15" t="s">
        <v>110</v>
      </c>
    </row>
    <row r="215" customFormat="false" ht="14.25" hidden="false" customHeight="false" outlineLevel="0" collapsed="false">
      <c r="A215" s="15" t="s">
        <v>558</v>
      </c>
      <c r="B215" s="16" t="n">
        <v>45573</v>
      </c>
      <c r="C215" s="15" t="s">
        <v>302</v>
      </c>
      <c r="D215" s="15" t="s">
        <v>419</v>
      </c>
      <c r="E215" s="15" t="s">
        <v>118</v>
      </c>
      <c r="F215" s="17" t="n">
        <v>8</v>
      </c>
      <c r="G215" s="17" t="n">
        <v>3970</v>
      </c>
      <c r="H215" s="17" t="n">
        <v>18.1</v>
      </c>
      <c r="I215" s="17" t="n">
        <v>26011.44</v>
      </c>
      <c r="J215" s="15" t="s">
        <v>98</v>
      </c>
      <c r="K215" s="15" t="s">
        <v>110</v>
      </c>
    </row>
    <row r="216" customFormat="false" ht="14.25" hidden="false" customHeight="false" outlineLevel="0" collapsed="false">
      <c r="A216" s="15" t="s">
        <v>559</v>
      </c>
      <c r="B216" s="16" t="n">
        <v>45534</v>
      </c>
      <c r="C216" s="15" t="s">
        <v>177</v>
      </c>
      <c r="D216" s="15" t="s">
        <v>256</v>
      </c>
      <c r="E216" s="15" t="s">
        <v>212</v>
      </c>
      <c r="F216" s="17" t="n">
        <v>8</v>
      </c>
      <c r="G216" s="17" t="n">
        <v>2270</v>
      </c>
      <c r="H216" s="17" t="n">
        <v>19.6</v>
      </c>
      <c r="I216" s="17" t="n">
        <v>14600.64</v>
      </c>
      <c r="J216" s="15" t="s">
        <v>98</v>
      </c>
      <c r="K216" s="15" t="s">
        <v>144</v>
      </c>
    </row>
    <row r="217" customFormat="false" ht="14.25" hidden="false" customHeight="false" outlineLevel="0" collapsed="false">
      <c r="A217" s="15" t="s">
        <v>560</v>
      </c>
      <c r="B217" s="16" t="n">
        <v>45639</v>
      </c>
      <c r="C217" s="15" t="s">
        <v>277</v>
      </c>
      <c r="D217" s="15" t="s">
        <v>245</v>
      </c>
      <c r="E217" s="15" t="s">
        <v>263</v>
      </c>
      <c r="F217" s="17" t="n">
        <v>1</v>
      </c>
      <c r="G217" s="17" t="n">
        <v>3780</v>
      </c>
      <c r="H217" s="17" t="n">
        <v>22.6</v>
      </c>
      <c r="I217" s="17" t="n">
        <v>2925.72</v>
      </c>
      <c r="J217" s="15" t="s">
        <v>98</v>
      </c>
      <c r="K217" s="15" t="s">
        <v>110</v>
      </c>
    </row>
    <row r="218" customFormat="false" ht="14.25" hidden="false" customHeight="false" outlineLevel="0" collapsed="false">
      <c r="A218" s="15" t="s">
        <v>561</v>
      </c>
      <c r="B218" s="16" t="n">
        <v>45653</v>
      </c>
      <c r="C218" s="15" t="s">
        <v>562</v>
      </c>
      <c r="D218" s="15" t="s">
        <v>275</v>
      </c>
      <c r="E218" s="15" t="s">
        <v>296</v>
      </c>
      <c r="F218" s="17" t="n">
        <v>9</v>
      </c>
      <c r="G218" s="17" t="n">
        <v>4070</v>
      </c>
      <c r="H218" s="17" t="n">
        <v>28.2</v>
      </c>
      <c r="I218" s="17" t="n">
        <v>26300.34</v>
      </c>
      <c r="J218" s="15" t="s">
        <v>98</v>
      </c>
      <c r="K218" s="15" t="s">
        <v>123</v>
      </c>
    </row>
    <row r="219" customFormat="false" ht="14.25" hidden="false" customHeight="false" outlineLevel="0" collapsed="false">
      <c r="A219" s="15" t="s">
        <v>563</v>
      </c>
      <c r="B219" s="16" t="n">
        <v>45424</v>
      </c>
      <c r="C219" s="15" t="s">
        <v>564</v>
      </c>
      <c r="D219" s="15" t="s">
        <v>290</v>
      </c>
      <c r="E219" s="15" t="s">
        <v>114</v>
      </c>
      <c r="F219" s="17" t="n">
        <v>9</v>
      </c>
      <c r="G219" s="17" t="n">
        <v>2660</v>
      </c>
      <c r="H219" s="17" t="n">
        <v>13.1</v>
      </c>
      <c r="I219" s="17" t="n">
        <v>20803.86</v>
      </c>
      <c r="J219" s="15" t="s">
        <v>104</v>
      </c>
      <c r="K219" s="15" t="s">
        <v>123</v>
      </c>
    </row>
    <row r="220" customFormat="false" ht="14.25" hidden="false" customHeight="false" outlineLevel="0" collapsed="false">
      <c r="A220" s="15" t="s">
        <v>565</v>
      </c>
      <c r="B220" s="16" t="n">
        <v>45400</v>
      </c>
      <c r="C220" s="15" t="s">
        <v>566</v>
      </c>
      <c r="D220" s="15" t="s">
        <v>198</v>
      </c>
      <c r="E220" s="15" t="s">
        <v>150</v>
      </c>
      <c r="F220" s="17" t="n">
        <v>4</v>
      </c>
      <c r="G220" s="17" t="n">
        <v>3570</v>
      </c>
      <c r="H220" s="17" t="n">
        <v>1.5</v>
      </c>
      <c r="I220" s="17" t="n">
        <v>14065.8</v>
      </c>
      <c r="J220" s="15" t="s">
        <v>151</v>
      </c>
      <c r="K220" s="15" t="s">
        <v>123</v>
      </c>
    </row>
    <row r="221" customFormat="false" ht="14.25" hidden="false" customHeight="false" outlineLevel="0" collapsed="false">
      <c r="A221" s="15" t="s">
        <v>567</v>
      </c>
      <c r="B221" s="16" t="n">
        <v>45531</v>
      </c>
      <c r="C221" s="15" t="s">
        <v>568</v>
      </c>
      <c r="D221" s="15" t="s">
        <v>391</v>
      </c>
      <c r="E221" s="15" t="s">
        <v>226</v>
      </c>
      <c r="F221" s="17" t="n">
        <v>2</v>
      </c>
      <c r="G221" s="17" t="n">
        <v>960</v>
      </c>
      <c r="H221" s="17" t="n">
        <v>18.6</v>
      </c>
      <c r="I221" s="17" t="n">
        <v>1562.88</v>
      </c>
      <c r="J221" s="15" t="s">
        <v>98</v>
      </c>
      <c r="K221" s="15" t="s">
        <v>123</v>
      </c>
    </row>
    <row r="222" customFormat="false" ht="14.25" hidden="false" customHeight="false" outlineLevel="0" collapsed="false">
      <c r="A222" s="15" t="s">
        <v>569</v>
      </c>
      <c r="B222" s="16" t="n">
        <v>45546</v>
      </c>
      <c r="C222" s="15" t="s">
        <v>570</v>
      </c>
      <c r="D222" s="15" t="s">
        <v>168</v>
      </c>
      <c r="E222" s="15" t="s">
        <v>314</v>
      </c>
      <c r="F222" s="17" t="n">
        <v>2</v>
      </c>
      <c r="G222" s="17" t="n">
        <v>3450</v>
      </c>
      <c r="H222" s="17" t="n">
        <v>3.7</v>
      </c>
      <c r="I222" s="17" t="n">
        <v>6644.7</v>
      </c>
      <c r="J222" s="15" t="s">
        <v>98</v>
      </c>
      <c r="K222" s="15" t="s">
        <v>99</v>
      </c>
    </row>
    <row r="223" customFormat="false" ht="14.25" hidden="false" customHeight="false" outlineLevel="0" collapsed="false">
      <c r="A223" s="15" t="s">
        <v>571</v>
      </c>
      <c r="B223" s="16" t="n">
        <v>45608</v>
      </c>
      <c r="C223" s="15" t="s">
        <v>572</v>
      </c>
      <c r="D223" s="15" t="s">
        <v>202</v>
      </c>
      <c r="E223" s="15" t="s">
        <v>97</v>
      </c>
      <c r="F223" s="17" t="n">
        <v>6</v>
      </c>
      <c r="G223" s="17" t="n">
        <v>5100</v>
      </c>
      <c r="H223" s="17" t="n">
        <v>1.2</v>
      </c>
      <c r="I223" s="17" t="n">
        <v>30232.8</v>
      </c>
      <c r="J223" s="15" t="s">
        <v>98</v>
      </c>
      <c r="K223" s="15" t="s">
        <v>144</v>
      </c>
    </row>
    <row r="224" customFormat="false" ht="14.25" hidden="false" customHeight="false" outlineLevel="0" collapsed="false">
      <c r="A224" s="15" t="s">
        <v>573</v>
      </c>
      <c r="B224" s="16" t="n">
        <v>45614</v>
      </c>
      <c r="C224" s="15" t="s">
        <v>574</v>
      </c>
      <c r="D224" s="15" t="s">
        <v>293</v>
      </c>
      <c r="E224" s="15" t="s">
        <v>103</v>
      </c>
      <c r="F224" s="17" t="n">
        <v>9</v>
      </c>
      <c r="G224" s="17" t="n">
        <v>300</v>
      </c>
      <c r="H224" s="17" t="n">
        <v>25.4</v>
      </c>
      <c r="I224" s="17" t="n">
        <v>2014.2</v>
      </c>
      <c r="J224" s="15" t="s">
        <v>151</v>
      </c>
      <c r="K224" s="15" t="s">
        <v>99</v>
      </c>
    </row>
    <row r="225" customFormat="false" ht="14.25" hidden="false" customHeight="false" outlineLevel="0" collapsed="false">
      <c r="A225" s="15" t="s">
        <v>575</v>
      </c>
      <c r="B225" s="16" t="n">
        <v>45405</v>
      </c>
      <c r="C225" s="15" t="s">
        <v>576</v>
      </c>
      <c r="D225" s="15" t="s">
        <v>195</v>
      </c>
      <c r="E225" s="15" t="s">
        <v>203</v>
      </c>
      <c r="F225" s="17" t="n">
        <v>7</v>
      </c>
      <c r="G225" s="17" t="n">
        <v>4880</v>
      </c>
      <c r="H225" s="17" t="n">
        <v>16.9</v>
      </c>
      <c r="I225" s="17" t="n">
        <v>28386.96</v>
      </c>
      <c r="J225" s="15" t="s">
        <v>104</v>
      </c>
      <c r="K225" s="15" t="s">
        <v>123</v>
      </c>
    </row>
    <row r="226" customFormat="false" ht="14.25" hidden="false" customHeight="false" outlineLevel="0" collapsed="false">
      <c r="A226" s="15" t="s">
        <v>577</v>
      </c>
      <c r="B226" s="16" t="n">
        <v>45504</v>
      </c>
      <c r="C226" s="15" t="s">
        <v>578</v>
      </c>
      <c r="D226" s="15" t="s">
        <v>154</v>
      </c>
      <c r="E226" s="15" t="s">
        <v>165</v>
      </c>
      <c r="F226" s="17" t="n">
        <v>9</v>
      </c>
      <c r="G226" s="17" t="n">
        <v>3250</v>
      </c>
      <c r="H226" s="17" t="n">
        <v>10.8</v>
      </c>
      <c r="I226" s="17" t="n">
        <v>26091</v>
      </c>
      <c r="J226" s="15" t="s">
        <v>151</v>
      </c>
      <c r="K226" s="15" t="s">
        <v>128</v>
      </c>
    </row>
    <row r="227" customFormat="false" ht="14.25" hidden="false" customHeight="false" outlineLevel="0" collapsed="false">
      <c r="A227" s="15" t="s">
        <v>579</v>
      </c>
      <c r="B227" s="16" t="n">
        <v>45298</v>
      </c>
      <c r="C227" s="15" t="s">
        <v>453</v>
      </c>
      <c r="D227" s="15" t="s">
        <v>168</v>
      </c>
      <c r="E227" s="15" t="s">
        <v>114</v>
      </c>
      <c r="F227" s="17" t="n">
        <v>3</v>
      </c>
      <c r="G227" s="17" t="n">
        <v>3450</v>
      </c>
      <c r="H227" s="17" t="n">
        <v>5.4</v>
      </c>
      <c r="I227" s="17" t="n">
        <v>9791.1</v>
      </c>
      <c r="J227" s="15" t="s">
        <v>104</v>
      </c>
      <c r="K227" s="15" t="s">
        <v>99</v>
      </c>
    </row>
    <row r="228" customFormat="false" ht="14.25" hidden="false" customHeight="false" outlineLevel="0" collapsed="false">
      <c r="A228" s="15" t="s">
        <v>580</v>
      </c>
      <c r="B228" s="16" t="n">
        <v>45346</v>
      </c>
      <c r="C228" s="15" t="s">
        <v>581</v>
      </c>
      <c r="D228" s="15" t="s">
        <v>252</v>
      </c>
      <c r="E228" s="15" t="s">
        <v>169</v>
      </c>
      <c r="F228" s="17" t="n">
        <v>5</v>
      </c>
      <c r="G228" s="17" t="n">
        <v>6080</v>
      </c>
      <c r="H228" s="17" t="n">
        <v>18</v>
      </c>
      <c r="I228" s="17" t="n">
        <v>24928</v>
      </c>
      <c r="J228" s="15" t="s">
        <v>98</v>
      </c>
      <c r="K228" s="15" t="s">
        <v>110</v>
      </c>
    </row>
    <row r="229" customFormat="false" ht="14.25" hidden="false" customHeight="false" outlineLevel="0" collapsed="false">
      <c r="A229" s="15" t="s">
        <v>582</v>
      </c>
      <c r="B229" s="16" t="n">
        <v>45487</v>
      </c>
      <c r="C229" s="15" t="s">
        <v>451</v>
      </c>
      <c r="D229" s="15" t="s">
        <v>252</v>
      </c>
      <c r="E229" s="15" t="s">
        <v>296</v>
      </c>
      <c r="F229" s="17" t="n">
        <v>7</v>
      </c>
      <c r="G229" s="17" t="n">
        <v>6080</v>
      </c>
      <c r="H229" s="17" t="n">
        <v>9.2</v>
      </c>
      <c r="I229" s="17" t="n">
        <v>38644.48</v>
      </c>
      <c r="J229" s="15" t="s">
        <v>98</v>
      </c>
      <c r="K229" s="15" t="s">
        <v>99</v>
      </c>
    </row>
    <row r="230" customFormat="false" ht="14.25" hidden="false" customHeight="false" outlineLevel="0" collapsed="false">
      <c r="A230" s="15" t="s">
        <v>583</v>
      </c>
      <c r="B230" s="16" t="n">
        <v>45585</v>
      </c>
      <c r="C230" s="15" t="s">
        <v>550</v>
      </c>
      <c r="D230" s="15" t="s">
        <v>142</v>
      </c>
      <c r="E230" s="15" t="s">
        <v>109</v>
      </c>
      <c r="F230" s="17" t="n">
        <v>5</v>
      </c>
      <c r="G230" s="17" t="n">
        <v>2270</v>
      </c>
      <c r="H230" s="17" t="n">
        <v>0.4</v>
      </c>
      <c r="I230" s="17" t="n">
        <v>11304.6</v>
      </c>
      <c r="J230" s="15" t="s">
        <v>151</v>
      </c>
      <c r="K230" s="15" t="s">
        <v>144</v>
      </c>
    </row>
    <row r="231" customFormat="false" ht="14.25" hidden="false" customHeight="false" outlineLevel="0" collapsed="false">
      <c r="A231" s="15" t="s">
        <v>584</v>
      </c>
      <c r="B231" s="16" t="n">
        <v>45373</v>
      </c>
      <c r="C231" s="15" t="s">
        <v>382</v>
      </c>
      <c r="D231" s="15" t="s">
        <v>195</v>
      </c>
      <c r="E231" s="15" t="s">
        <v>357</v>
      </c>
      <c r="F231" s="17" t="n">
        <v>10</v>
      </c>
      <c r="G231" s="17" t="n">
        <v>4880</v>
      </c>
      <c r="H231" s="17" t="n">
        <v>24.5</v>
      </c>
      <c r="I231" s="17" t="n">
        <v>36844</v>
      </c>
      <c r="J231" s="15" t="s">
        <v>155</v>
      </c>
      <c r="K231" s="15" t="s">
        <v>123</v>
      </c>
    </row>
    <row r="232" customFormat="false" ht="14.25" hidden="false" customHeight="false" outlineLevel="0" collapsed="false">
      <c r="A232" s="15" t="s">
        <v>585</v>
      </c>
      <c r="B232" s="16" t="n">
        <v>45293</v>
      </c>
      <c r="C232" s="15" t="s">
        <v>189</v>
      </c>
      <c r="D232" s="15" t="s">
        <v>378</v>
      </c>
      <c r="E232" s="15" t="s">
        <v>308</v>
      </c>
      <c r="F232" s="17" t="n">
        <v>2</v>
      </c>
      <c r="G232" s="17" t="n">
        <v>2380</v>
      </c>
      <c r="H232" s="17" t="n">
        <v>2.3</v>
      </c>
      <c r="I232" s="17" t="n">
        <v>4650.52</v>
      </c>
      <c r="J232" s="15" t="s">
        <v>98</v>
      </c>
      <c r="K232" s="15" t="s">
        <v>105</v>
      </c>
    </row>
    <row r="233" customFormat="false" ht="14.25" hidden="false" customHeight="false" outlineLevel="0" collapsed="false">
      <c r="A233" s="15" t="s">
        <v>586</v>
      </c>
      <c r="B233" s="16" t="n">
        <v>45498</v>
      </c>
      <c r="C233" s="15" t="s">
        <v>300</v>
      </c>
      <c r="D233" s="15" t="s">
        <v>193</v>
      </c>
      <c r="E233" s="15" t="s">
        <v>122</v>
      </c>
      <c r="F233" s="17" t="n">
        <v>1</v>
      </c>
      <c r="G233" s="17" t="n">
        <v>1010</v>
      </c>
      <c r="H233" s="17" t="n">
        <v>29.9</v>
      </c>
      <c r="I233" s="17" t="n">
        <v>708.01</v>
      </c>
      <c r="J233" s="15" t="s">
        <v>98</v>
      </c>
      <c r="K233" s="15" t="s">
        <v>105</v>
      </c>
    </row>
    <row r="234" customFormat="false" ht="14.25" hidden="false" customHeight="false" outlineLevel="0" collapsed="false">
      <c r="A234" s="15" t="s">
        <v>587</v>
      </c>
      <c r="B234" s="16" t="n">
        <v>45643</v>
      </c>
      <c r="C234" s="15" t="s">
        <v>323</v>
      </c>
      <c r="D234" s="15" t="s">
        <v>526</v>
      </c>
      <c r="E234" s="15" t="s">
        <v>240</v>
      </c>
      <c r="F234" s="17" t="n">
        <v>7</v>
      </c>
      <c r="G234" s="17" t="n">
        <v>6940</v>
      </c>
      <c r="H234" s="17" t="n">
        <v>25.8</v>
      </c>
      <c r="I234" s="17" t="n">
        <v>36046.36</v>
      </c>
      <c r="J234" s="15" t="s">
        <v>98</v>
      </c>
      <c r="K234" s="15" t="s">
        <v>144</v>
      </c>
    </row>
    <row r="235" customFormat="false" ht="14.25" hidden="false" customHeight="false" outlineLevel="0" collapsed="false">
      <c r="A235" s="15" t="s">
        <v>588</v>
      </c>
      <c r="B235" s="16" t="n">
        <v>45542</v>
      </c>
      <c r="C235" s="15" t="s">
        <v>564</v>
      </c>
      <c r="D235" s="15" t="s">
        <v>397</v>
      </c>
      <c r="E235" s="15" t="s">
        <v>127</v>
      </c>
      <c r="F235" s="17" t="n">
        <v>6</v>
      </c>
      <c r="G235" s="17" t="n">
        <v>2290</v>
      </c>
      <c r="H235" s="17" t="n">
        <v>25.9</v>
      </c>
      <c r="I235" s="17" t="n">
        <v>10181.34</v>
      </c>
      <c r="J235" s="15" t="s">
        <v>104</v>
      </c>
      <c r="K235" s="15" t="s">
        <v>123</v>
      </c>
    </row>
    <row r="236" customFormat="false" ht="14.25" hidden="false" customHeight="false" outlineLevel="0" collapsed="false">
      <c r="A236" s="15" t="s">
        <v>589</v>
      </c>
      <c r="B236" s="16" t="n">
        <v>45508</v>
      </c>
      <c r="C236" s="15" t="s">
        <v>148</v>
      </c>
      <c r="D236" s="15" t="s">
        <v>121</v>
      </c>
      <c r="E236" s="15" t="s">
        <v>109</v>
      </c>
      <c r="F236" s="17" t="n">
        <v>2</v>
      </c>
      <c r="G236" s="17" t="n">
        <v>370</v>
      </c>
      <c r="H236" s="17" t="n">
        <v>3.9</v>
      </c>
      <c r="I236" s="17" t="n">
        <v>711.14</v>
      </c>
      <c r="J236" s="15" t="s">
        <v>98</v>
      </c>
      <c r="K236" s="15" t="s">
        <v>110</v>
      </c>
    </row>
    <row r="237" customFormat="false" ht="14.25" hidden="false" customHeight="false" outlineLevel="0" collapsed="false">
      <c r="A237" s="15" t="s">
        <v>590</v>
      </c>
      <c r="B237" s="16" t="n">
        <v>45353</v>
      </c>
      <c r="C237" s="15" t="s">
        <v>591</v>
      </c>
      <c r="D237" s="15" t="s">
        <v>256</v>
      </c>
      <c r="E237" s="15" t="s">
        <v>203</v>
      </c>
      <c r="F237" s="17" t="n">
        <v>1</v>
      </c>
      <c r="G237" s="17" t="n">
        <v>2270</v>
      </c>
      <c r="H237" s="17" t="n">
        <v>25.3</v>
      </c>
      <c r="I237" s="17" t="n">
        <v>1695.69</v>
      </c>
      <c r="J237" s="15" t="s">
        <v>98</v>
      </c>
      <c r="K237" s="15" t="s">
        <v>99</v>
      </c>
    </row>
    <row r="238" customFormat="false" ht="14.25" hidden="false" customHeight="false" outlineLevel="0" collapsed="false">
      <c r="A238" s="15" t="s">
        <v>592</v>
      </c>
      <c r="B238" s="16" t="n">
        <v>45344</v>
      </c>
      <c r="C238" s="15" t="s">
        <v>593</v>
      </c>
      <c r="D238" s="15" t="s">
        <v>252</v>
      </c>
      <c r="E238" s="15" t="s">
        <v>308</v>
      </c>
      <c r="F238" s="17" t="n">
        <v>4</v>
      </c>
      <c r="G238" s="17" t="n">
        <v>6080</v>
      </c>
      <c r="H238" s="17" t="n">
        <v>28.8</v>
      </c>
      <c r="I238" s="17" t="n">
        <v>17315.84</v>
      </c>
      <c r="J238" s="15" t="s">
        <v>104</v>
      </c>
      <c r="K238" s="15" t="s">
        <v>105</v>
      </c>
    </row>
    <row r="239" customFormat="false" ht="14.25" hidden="false" customHeight="false" outlineLevel="0" collapsed="false">
      <c r="A239" s="15" t="s">
        <v>594</v>
      </c>
      <c r="B239" s="16" t="n">
        <v>45389</v>
      </c>
      <c r="C239" s="15" t="s">
        <v>258</v>
      </c>
      <c r="D239" s="15" t="s">
        <v>375</v>
      </c>
      <c r="E239" s="15" t="s">
        <v>314</v>
      </c>
      <c r="F239" s="17" t="n">
        <v>2</v>
      </c>
      <c r="G239" s="17" t="n">
        <v>5330</v>
      </c>
      <c r="H239" s="17" t="n">
        <v>23.8</v>
      </c>
      <c r="I239" s="17" t="n">
        <v>8122.92</v>
      </c>
      <c r="J239" s="15" t="s">
        <v>104</v>
      </c>
      <c r="K239" s="15" t="s">
        <v>128</v>
      </c>
    </row>
    <row r="240" customFormat="false" ht="14.25" hidden="false" customHeight="false" outlineLevel="0" collapsed="false">
      <c r="A240" s="15" t="s">
        <v>595</v>
      </c>
      <c r="B240" s="16" t="n">
        <v>45344</v>
      </c>
      <c r="C240" s="15" t="s">
        <v>596</v>
      </c>
      <c r="D240" s="15" t="s">
        <v>275</v>
      </c>
      <c r="E240" s="15" t="s">
        <v>127</v>
      </c>
      <c r="F240" s="17" t="n">
        <v>2</v>
      </c>
      <c r="G240" s="17" t="n">
        <v>4070</v>
      </c>
      <c r="H240" s="17" t="n">
        <v>4.3</v>
      </c>
      <c r="I240" s="17" t="n">
        <v>7789.98</v>
      </c>
      <c r="J240" s="15" t="s">
        <v>98</v>
      </c>
      <c r="K240" s="15" t="s">
        <v>105</v>
      </c>
    </row>
    <row r="241" customFormat="false" ht="14.25" hidden="false" customHeight="false" outlineLevel="0" collapsed="false">
      <c r="A241" s="15" t="s">
        <v>597</v>
      </c>
      <c r="B241" s="16" t="n">
        <v>45480</v>
      </c>
      <c r="C241" s="15" t="s">
        <v>471</v>
      </c>
      <c r="D241" s="15" t="s">
        <v>293</v>
      </c>
      <c r="E241" s="15" t="s">
        <v>150</v>
      </c>
      <c r="F241" s="17" t="n">
        <v>6</v>
      </c>
      <c r="G241" s="17" t="n">
        <v>300</v>
      </c>
      <c r="H241" s="17" t="n">
        <v>17.4</v>
      </c>
      <c r="I241" s="17" t="n">
        <v>1486.8</v>
      </c>
      <c r="J241" s="15" t="s">
        <v>151</v>
      </c>
      <c r="K241" s="15" t="s">
        <v>99</v>
      </c>
    </row>
    <row r="242" customFormat="false" ht="14.25" hidden="false" customHeight="false" outlineLevel="0" collapsed="false">
      <c r="A242" s="15" t="s">
        <v>598</v>
      </c>
      <c r="B242" s="16" t="n">
        <v>45488</v>
      </c>
      <c r="C242" s="15" t="s">
        <v>137</v>
      </c>
      <c r="D242" s="15" t="s">
        <v>195</v>
      </c>
      <c r="E242" s="15" t="s">
        <v>109</v>
      </c>
      <c r="F242" s="17" t="n">
        <v>1</v>
      </c>
      <c r="G242" s="17" t="n">
        <v>4880</v>
      </c>
      <c r="H242" s="17" t="n">
        <v>17.5</v>
      </c>
      <c r="I242" s="17" t="n">
        <v>4026</v>
      </c>
      <c r="J242" s="15" t="s">
        <v>98</v>
      </c>
      <c r="K242" s="15" t="s">
        <v>99</v>
      </c>
    </row>
    <row r="243" customFormat="false" ht="14.25" hidden="false" customHeight="false" outlineLevel="0" collapsed="false">
      <c r="A243" s="15" t="s">
        <v>599</v>
      </c>
      <c r="B243" s="16" t="n">
        <v>45326</v>
      </c>
      <c r="C243" s="15" t="s">
        <v>600</v>
      </c>
      <c r="D243" s="15" t="s">
        <v>206</v>
      </c>
      <c r="E243" s="15" t="s">
        <v>354</v>
      </c>
      <c r="F243" s="17" t="n">
        <v>3</v>
      </c>
      <c r="G243" s="17" t="n">
        <v>2860</v>
      </c>
      <c r="H243" s="17" t="n">
        <v>20.1</v>
      </c>
      <c r="I243" s="17" t="n">
        <v>6855.42</v>
      </c>
      <c r="J243" s="15" t="s">
        <v>98</v>
      </c>
      <c r="K243" s="15" t="s">
        <v>105</v>
      </c>
    </row>
    <row r="244" customFormat="false" ht="14.25" hidden="false" customHeight="false" outlineLevel="0" collapsed="false">
      <c r="A244" s="15" t="s">
        <v>601</v>
      </c>
      <c r="B244" s="16" t="n">
        <v>45627</v>
      </c>
      <c r="C244" s="15" t="s">
        <v>319</v>
      </c>
      <c r="D244" s="15" t="s">
        <v>270</v>
      </c>
      <c r="E244" s="15" t="s">
        <v>308</v>
      </c>
      <c r="F244" s="17" t="n">
        <v>3</v>
      </c>
      <c r="G244" s="17" t="n">
        <v>1540</v>
      </c>
      <c r="H244" s="17" t="n">
        <v>20.9</v>
      </c>
      <c r="I244" s="17" t="n">
        <v>3654.42</v>
      </c>
      <c r="J244" s="15" t="s">
        <v>98</v>
      </c>
      <c r="K244" s="15" t="s">
        <v>99</v>
      </c>
    </row>
    <row r="245" customFormat="false" ht="14.25" hidden="false" customHeight="false" outlineLevel="0" collapsed="false">
      <c r="A245" s="15" t="s">
        <v>602</v>
      </c>
      <c r="B245" s="16" t="n">
        <v>45576</v>
      </c>
      <c r="C245" s="15" t="s">
        <v>603</v>
      </c>
      <c r="D245" s="15" t="s">
        <v>146</v>
      </c>
      <c r="E245" s="15" t="s">
        <v>143</v>
      </c>
      <c r="F245" s="17" t="n">
        <v>10</v>
      </c>
      <c r="G245" s="17" t="n">
        <v>2640</v>
      </c>
      <c r="H245" s="17" t="n">
        <v>11.2</v>
      </c>
      <c r="I245" s="17" t="n">
        <v>23443.2</v>
      </c>
      <c r="J245" s="15" t="s">
        <v>104</v>
      </c>
      <c r="K245" s="15" t="s">
        <v>144</v>
      </c>
    </row>
    <row r="246" customFormat="false" ht="14.25" hidden="false" customHeight="false" outlineLevel="0" collapsed="false">
      <c r="A246" s="15" t="s">
        <v>604</v>
      </c>
      <c r="B246" s="16" t="n">
        <v>45317</v>
      </c>
      <c r="C246" s="15" t="s">
        <v>427</v>
      </c>
      <c r="D246" s="15" t="s">
        <v>117</v>
      </c>
      <c r="E246" s="15" t="s">
        <v>263</v>
      </c>
      <c r="F246" s="17" t="n">
        <v>1</v>
      </c>
      <c r="G246" s="17" t="n">
        <v>3160</v>
      </c>
      <c r="H246" s="17" t="n">
        <v>11.5</v>
      </c>
      <c r="I246" s="17" t="n">
        <v>2796.6</v>
      </c>
      <c r="J246" s="15" t="s">
        <v>98</v>
      </c>
      <c r="K246" s="15" t="s">
        <v>128</v>
      </c>
    </row>
    <row r="247" customFormat="false" ht="14.25" hidden="false" customHeight="false" outlineLevel="0" collapsed="false">
      <c r="A247" s="15" t="s">
        <v>605</v>
      </c>
      <c r="B247" s="16" t="n">
        <v>45650</v>
      </c>
      <c r="C247" s="15" t="s">
        <v>606</v>
      </c>
      <c r="D247" s="15" t="s">
        <v>175</v>
      </c>
      <c r="E247" s="15" t="s">
        <v>97</v>
      </c>
      <c r="F247" s="17" t="n">
        <v>4</v>
      </c>
      <c r="G247" s="17" t="n">
        <v>1080</v>
      </c>
      <c r="H247" s="17" t="n">
        <v>20.7</v>
      </c>
      <c r="I247" s="17" t="n">
        <v>3425.76</v>
      </c>
      <c r="J247" s="15" t="s">
        <v>104</v>
      </c>
      <c r="K247" s="15" t="s">
        <v>110</v>
      </c>
    </row>
    <row r="248" customFormat="false" ht="14.25" hidden="false" customHeight="false" outlineLevel="0" collapsed="false">
      <c r="A248" s="15" t="s">
        <v>607</v>
      </c>
      <c r="B248" s="16" t="n">
        <v>45585</v>
      </c>
      <c r="C248" s="15" t="s">
        <v>608</v>
      </c>
      <c r="D248" s="15" t="s">
        <v>193</v>
      </c>
      <c r="E248" s="15" t="s">
        <v>263</v>
      </c>
      <c r="F248" s="17" t="n">
        <v>4</v>
      </c>
      <c r="G248" s="17" t="n">
        <v>1010</v>
      </c>
      <c r="H248" s="17" t="n">
        <v>29.5</v>
      </c>
      <c r="I248" s="17" t="n">
        <v>2848.2</v>
      </c>
      <c r="J248" s="15" t="s">
        <v>104</v>
      </c>
      <c r="K248" s="15" t="s">
        <v>123</v>
      </c>
    </row>
    <row r="249" customFormat="false" ht="14.25" hidden="false" customHeight="false" outlineLevel="0" collapsed="false">
      <c r="A249" s="15" t="s">
        <v>609</v>
      </c>
      <c r="B249" s="16" t="n">
        <v>45545</v>
      </c>
      <c r="C249" s="15" t="s">
        <v>610</v>
      </c>
      <c r="D249" s="15" t="s">
        <v>149</v>
      </c>
      <c r="E249" s="15" t="s">
        <v>354</v>
      </c>
      <c r="F249" s="17" t="n">
        <v>7</v>
      </c>
      <c r="G249" s="17" t="n">
        <v>2600</v>
      </c>
      <c r="H249" s="17" t="n">
        <v>6.6</v>
      </c>
      <c r="I249" s="17" t="n">
        <v>16998.8</v>
      </c>
      <c r="J249" s="15" t="s">
        <v>98</v>
      </c>
      <c r="K249" s="15" t="s">
        <v>128</v>
      </c>
    </row>
    <row r="250" customFormat="false" ht="14.25" hidden="false" customHeight="false" outlineLevel="0" collapsed="false">
      <c r="A250" s="15" t="s">
        <v>611</v>
      </c>
      <c r="B250" s="16" t="n">
        <v>45395</v>
      </c>
      <c r="C250" s="15" t="s">
        <v>269</v>
      </c>
      <c r="D250" s="15" t="s">
        <v>366</v>
      </c>
      <c r="E250" s="15" t="s">
        <v>215</v>
      </c>
      <c r="F250" s="17" t="n">
        <v>4</v>
      </c>
      <c r="G250" s="17" t="n">
        <v>2510</v>
      </c>
      <c r="H250" s="17" t="n">
        <v>1</v>
      </c>
      <c r="I250" s="17" t="n">
        <v>9939.6</v>
      </c>
      <c r="J250" s="15" t="s">
        <v>98</v>
      </c>
      <c r="K250" s="15" t="s">
        <v>110</v>
      </c>
    </row>
    <row r="251" customFormat="false" ht="14.25" hidden="false" customHeight="false" outlineLevel="0" collapsed="false">
      <c r="A251" s="15" t="s">
        <v>612</v>
      </c>
      <c r="B251" s="16" t="n">
        <v>45636</v>
      </c>
      <c r="C251" s="15" t="s">
        <v>613</v>
      </c>
      <c r="D251" s="15" t="s">
        <v>275</v>
      </c>
      <c r="E251" s="15" t="s">
        <v>296</v>
      </c>
      <c r="F251" s="17" t="n">
        <v>9</v>
      </c>
      <c r="G251" s="17" t="n">
        <v>4070</v>
      </c>
      <c r="H251" s="17" t="n">
        <v>6.7</v>
      </c>
      <c r="I251" s="17" t="n">
        <v>34175.79</v>
      </c>
      <c r="J251" s="15" t="s">
        <v>151</v>
      </c>
      <c r="K251" s="15" t="s">
        <v>105</v>
      </c>
    </row>
    <row r="252" customFormat="false" ht="14.25" hidden="false" customHeight="false" outlineLevel="0" collapsed="false">
      <c r="A252" s="15" t="s">
        <v>614</v>
      </c>
      <c r="B252" s="16" t="n">
        <v>45612</v>
      </c>
      <c r="C252" s="15" t="s">
        <v>615</v>
      </c>
      <c r="D252" s="15" t="s">
        <v>102</v>
      </c>
      <c r="E252" s="15" t="s">
        <v>143</v>
      </c>
      <c r="F252" s="17" t="n">
        <v>6</v>
      </c>
      <c r="G252" s="17" t="n">
        <v>820</v>
      </c>
      <c r="H252" s="17" t="n">
        <v>14</v>
      </c>
      <c r="I252" s="17" t="n">
        <v>4231.2</v>
      </c>
      <c r="J252" s="15" t="s">
        <v>98</v>
      </c>
      <c r="K252" s="15" t="s">
        <v>128</v>
      </c>
    </row>
    <row r="253" customFormat="false" ht="14.25" hidden="false" customHeight="false" outlineLevel="0" collapsed="false">
      <c r="A253" s="15" t="s">
        <v>616</v>
      </c>
      <c r="B253" s="16" t="n">
        <v>45495</v>
      </c>
      <c r="C253" s="15" t="s">
        <v>617</v>
      </c>
      <c r="D253" s="15" t="s">
        <v>138</v>
      </c>
      <c r="E253" s="15" t="s">
        <v>103</v>
      </c>
      <c r="F253" s="17" t="n">
        <v>2</v>
      </c>
      <c r="G253" s="17" t="n">
        <v>970</v>
      </c>
      <c r="H253" s="17" t="n">
        <v>23.8</v>
      </c>
      <c r="I253" s="17" t="n">
        <v>1478.28</v>
      </c>
      <c r="J253" s="15" t="s">
        <v>98</v>
      </c>
      <c r="K253" s="15" t="s">
        <v>123</v>
      </c>
    </row>
    <row r="254" customFormat="false" ht="14.25" hidden="false" customHeight="false" outlineLevel="0" collapsed="false">
      <c r="A254" s="15" t="s">
        <v>618</v>
      </c>
      <c r="B254" s="16" t="n">
        <v>45337</v>
      </c>
      <c r="C254" s="15" t="s">
        <v>619</v>
      </c>
      <c r="D254" s="15" t="s">
        <v>275</v>
      </c>
      <c r="E254" s="15" t="s">
        <v>336</v>
      </c>
      <c r="F254" s="17" t="n">
        <v>4</v>
      </c>
      <c r="G254" s="17" t="n">
        <v>4070</v>
      </c>
      <c r="H254" s="17" t="n">
        <v>19</v>
      </c>
      <c r="I254" s="17" t="n">
        <v>13186.8</v>
      </c>
      <c r="J254" s="15" t="s">
        <v>104</v>
      </c>
      <c r="K254" s="15" t="s">
        <v>99</v>
      </c>
    </row>
    <row r="255" customFormat="false" ht="14.25" hidden="false" customHeight="false" outlineLevel="0" collapsed="false">
      <c r="A255" s="15" t="s">
        <v>620</v>
      </c>
      <c r="B255" s="16" t="n">
        <v>45333</v>
      </c>
      <c r="C255" s="15" t="s">
        <v>621</v>
      </c>
      <c r="D255" s="15" t="s">
        <v>168</v>
      </c>
      <c r="E255" s="15" t="s">
        <v>249</v>
      </c>
      <c r="F255" s="17" t="n">
        <v>3</v>
      </c>
      <c r="G255" s="17" t="n">
        <v>3450</v>
      </c>
      <c r="H255" s="17" t="n">
        <v>4.4</v>
      </c>
      <c r="I255" s="17" t="n">
        <v>9894.6</v>
      </c>
      <c r="J255" s="15" t="s">
        <v>151</v>
      </c>
      <c r="K255" s="15" t="s">
        <v>128</v>
      </c>
    </row>
    <row r="256" customFormat="false" ht="14.25" hidden="false" customHeight="false" outlineLevel="0" collapsed="false">
      <c r="A256" s="15" t="s">
        <v>622</v>
      </c>
      <c r="B256" s="16" t="n">
        <v>45511</v>
      </c>
      <c r="C256" s="15" t="s">
        <v>347</v>
      </c>
      <c r="D256" s="15" t="s">
        <v>245</v>
      </c>
      <c r="E256" s="15" t="s">
        <v>143</v>
      </c>
      <c r="F256" s="17" t="n">
        <v>5</v>
      </c>
      <c r="G256" s="17" t="n">
        <v>3780</v>
      </c>
      <c r="H256" s="17" t="n">
        <v>13.5</v>
      </c>
      <c r="I256" s="17" t="n">
        <v>16348.5</v>
      </c>
      <c r="J256" s="15" t="s">
        <v>98</v>
      </c>
      <c r="K256" s="15" t="s">
        <v>123</v>
      </c>
    </row>
    <row r="257" customFormat="false" ht="14.25" hidden="false" customHeight="false" outlineLevel="0" collapsed="false">
      <c r="A257" s="15" t="s">
        <v>623</v>
      </c>
      <c r="B257" s="16" t="n">
        <v>45595</v>
      </c>
      <c r="C257" s="15" t="s">
        <v>624</v>
      </c>
      <c r="D257" s="15" t="s">
        <v>126</v>
      </c>
      <c r="E257" s="15" t="s">
        <v>150</v>
      </c>
      <c r="F257" s="17" t="n">
        <v>1</v>
      </c>
      <c r="G257" s="17" t="n">
        <v>960</v>
      </c>
      <c r="H257" s="17" t="n">
        <v>29.2</v>
      </c>
      <c r="I257" s="17" t="n">
        <v>679.68</v>
      </c>
      <c r="J257" s="15" t="s">
        <v>98</v>
      </c>
      <c r="K257" s="15" t="s">
        <v>123</v>
      </c>
    </row>
    <row r="258" customFormat="false" ht="14.25" hidden="false" customHeight="false" outlineLevel="0" collapsed="false">
      <c r="A258" s="15" t="s">
        <v>625</v>
      </c>
      <c r="B258" s="16" t="n">
        <v>45321</v>
      </c>
      <c r="C258" s="15" t="s">
        <v>626</v>
      </c>
      <c r="D258" s="15" t="s">
        <v>198</v>
      </c>
      <c r="E258" s="15" t="s">
        <v>296</v>
      </c>
      <c r="F258" s="17" t="n">
        <v>10</v>
      </c>
      <c r="G258" s="17" t="n">
        <v>3570</v>
      </c>
      <c r="H258" s="17" t="n">
        <v>10.7</v>
      </c>
      <c r="I258" s="17" t="n">
        <v>31880.1</v>
      </c>
      <c r="J258" s="15" t="s">
        <v>98</v>
      </c>
      <c r="K258" s="15" t="s">
        <v>123</v>
      </c>
    </row>
    <row r="259" customFormat="false" ht="14.25" hidden="false" customHeight="false" outlineLevel="0" collapsed="false">
      <c r="A259" s="15" t="s">
        <v>627</v>
      </c>
      <c r="B259" s="16" t="n">
        <v>45511</v>
      </c>
      <c r="C259" s="15" t="s">
        <v>628</v>
      </c>
      <c r="D259" s="15" t="s">
        <v>198</v>
      </c>
      <c r="E259" s="15" t="s">
        <v>127</v>
      </c>
      <c r="F259" s="17" t="n">
        <v>7</v>
      </c>
      <c r="G259" s="17" t="n">
        <v>3570</v>
      </c>
      <c r="H259" s="17" t="n">
        <v>12.2</v>
      </c>
      <c r="I259" s="17" t="n">
        <v>21941.22</v>
      </c>
      <c r="J259" s="15" t="s">
        <v>98</v>
      </c>
      <c r="K259" s="15" t="s">
        <v>123</v>
      </c>
    </row>
    <row r="260" customFormat="false" ht="14.25" hidden="false" customHeight="false" outlineLevel="0" collapsed="false">
      <c r="A260" s="15" t="s">
        <v>629</v>
      </c>
      <c r="B260" s="16" t="n">
        <v>45575</v>
      </c>
      <c r="C260" s="15" t="s">
        <v>521</v>
      </c>
      <c r="D260" s="15" t="s">
        <v>175</v>
      </c>
      <c r="E260" s="15" t="s">
        <v>109</v>
      </c>
      <c r="F260" s="17" t="n">
        <v>6</v>
      </c>
      <c r="G260" s="17" t="n">
        <v>1080</v>
      </c>
      <c r="H260" s="17" t="n">
        <v>19.8</v>
      </c>
      <c r="I260" s="17" t="n">
        <v>5196.96</v>
      </c>
      <c r="J260" s="15" t="s">
        <v>98</v>
      </c>
      <c r="K260" s="15" t="s">
        <v>128</v>
      </c>
    </row>
    <row r="261" customFormat="false" ht="14.25" hidden="false" customHeight="false" outlineLevel="0" collapsed="false">
      <c r="A261" s="15" t="s">
        <v>630</v>
      </c>
      <c r="B261" s="16" t="n">
        <v>45649</v>
      </c>
      <c r="C261" s="15" t="s">
        <v>186</v>
      </c>
      <c r="D261" s="15" t="s">
        <v>463</v>
      </c>
      <c r="E261" s="15" t="s">
        <v>143</v>
      </c>
      <c r="F261" s="17" t="n">
        <v>8</v>
      </c>
      <c r="G261" s="17" t="n">
        <v>3450</v>
      </c>
      <c r="H261" s="17" t="n">
        <v>19</v>
      </c>
      <c r="I261" s="17" t="n">
        <v>22356</v>
      </c>
      <c r="J261" s="15" t="s">
        <v>98</v>
      </c>
      <c r="K261" s="15" t="s">
        <v>144</v>
      </c>
    </row>
    <row r="262" customFormat="false" ht="14.25" hidden="false" customHeight="false" outlineLevel="0" collapsed="false">
      <c r="A262" s="15" t="s">
        <v>631</v>
      </c>
      <c r="B262" s="16" t="n">
        <v>45371</v>
      </c>
      <c r="C262" s="15" t="s">
        <v>632</v>
      </c>
      <c r="D262" s="15" t="s">
        <v>290</v>
      </c>
      <c r="E262" s="15" t="s">
        <v>165</v>
      </c>
      <c r="F262" s="17" t="n">
        <v>4</v>
      </c>
      <c r="G262" s="17" t="n">
        <v>2660</v>
      </c>
      <c r="H262" s="17" t="n">
        <v>18.8</v>
      </c>
      <c r="I262" s="17" t="n">
        <v>8639.68</v>
      </c>
      <c r="J262" s="15" t="s">
        <v>104</v>
      </c>
      <c r="K262" s="15" t="s">
        <v>105</v>
      </c>
    </row>
    <row r="263" customFormat="false" ht="14.25" hidden="false" customHeight="false" outlineLevel="0" collapsed="false">
      <c r="A263" s="15" t="s">
        <v>633</v>
      </c>
      <c r="B263" s="16" t="n">
        <v>45522</v>
      </c>
      <c r="C263" s="15" t="s">
        <v>316</v>
      </c>
      <c r="D263" s="15" t="s">
        <v>162</v>
      </c>
      <c r="E263" s="15" t="s">
        <v>215</v>
      </c>
      <c r="F263" s="17" t="n">
        <v>4</v>
      </c>
      <c r="G263" s="17" t="n">
        <v>2400</v>
      </c>
      <c r="H263" s="17" t="n">
        <v>5.6</v>
      </c>
      <c r="I263" s="17" t="n">
        <v>9062.4</v>
      </c>
      <c r="J263" s="15" t="s">
        <v>98</v>
      </c>
      <c r="K263" s="15" t="s">
        <v>144</v>
      </c>
    </row>
    <row r="264" customFormat="false" ht="14.25" hidden="false" customHeight="false" outlineLevel="0" collapsed="false">
      <c r="A264" s="15" t="s">
        <v>634</v>
      </c>
      <c r="B264" s="16" t="n">
        <v>45513</v>
      </c>
      <c r="C264" s="15" t="s">
        <v>635</v>
      </c>
      <c r="D264" s="15" t="s">
        <v>149</v>
      </c>
      <c r="E264" s="15" t="s">
        <v>159</v>
      </c>
      <c r="F264" s="17" t="n">
        <v>10</v>
      </c>
      <c r="G264" s="17" t="n">
        <v>2600</v>
      </c>
      <c r="H264" s="17" t="n">
        <v>24.7</v>
      </c>
      <c r="I264" s="17" t="n">
        <v>19578</v>
      </c>
      <c r="J264" s="15" t="s">
        <v>98</v>
      </c>
      <c r="K264" s="15" t="s">
        <v>99</v>
      </c>
    </row>
    <row r="265" customFormat="false" ht="14.25" hidden="false" customHeight="false" outlineLevel="0" collapsed="false">
      <c r="A265" s="15" t="s">
        <v>636</v>
      </c>
      <c r="B265" s="16" t="n">
        <v>45513</v>
      </c>
      <c r="C265" s="15" t="s">
        <v>637</v>
      </c>
      <c r="D265" s="15" t="s">
        <v>362</v>
      </c>
      <c r="E265" s="15" t="s">
        <v>150</v>
      </c>
      <c r="F265" s="17" t="n">
        <v>3</v>
      </c>
      <c r="G265" s="17" t="n">
        <v>4060</v>
      </c>
      <c r="H265" s="17" t="n">
        <v>6.9</v>
      </c>
      <c r="I265" s="17" t="n">
        <v>11339.58</v>
      </c>
      <c r="J265" s="15" t="s">
        <v>98</v>
      </c>
      <c r="K265" s="15" t="s">
        <v>110</v>
      </c>
    </row>
    <row r="266" customFormat="false" ht="14.25" hidden="false" customHeight="false" outlineLevel="0" collapsed="false">
      <c r="A266" s="15" t="s">
        <v>638</v>
      </c>
      <c r="B266" s="16" t="n">
        <v>45465</v>
      </c>
      <c r="C266" s="15" t="s">
        <v>639</v>
      </c>
      <c r="D266" s="15" t="s">
        <v>135</v>
      </c>
      <c r="E266" s="15" t="s">
        <v>165</v>
      </c>
      <c r="F266" s="17" t="n">
        <v>6</v>
      </c>
      <c r="G266" s="17" t="n">
        <v>5490</v>
      </c>
      <c r="H266" s="17" t="n">
        <v>8.4</v>
      </c>
      <c r="I266" s="17" t="n">
        <v>30173.04</v>
      </c>
      <c r="J266" s="15" t="s">
        <v>98</v>
      </c>
      <c r="K266" s="15" t="s">
        <v>144</v>
      </c>
    </row>
    <row r="267" customFormat="false" ht="14.25" hidden="false" customHeight="false" outlineLevel="0" collapsed="false">
      <c r="A267" s="15" t="s">
        <v>640</v>
      </c>
      <c r="B267" s="16" t="n">
        <v>45407</v>
      </c>
      <c r="C267" s="15" t="s">
        <v>496</v>
      </c>
      <c r="D267" s="15" t="s">
        <v>121</v>
      </c>
      <c r="E267" s="15" t="s">
        <v>314</v>
      </c>
      <c r="F267" s="17" t="n">
        <v>6</v>
      </c>
      <c r="G267" s="17" t="n">
        <v>370</v>
      </c>
      <c r="H267" s="17" t="n">
        <v>15.1</v>
      </c>
      <c r="I267" s="17" t="n">
        <v>1884.78</v>
      </c>
      <c r="J267" s="15" t="s">
        <v>98</v>
      </c>
      <c r="K267" s="15" t="s">
        <v>99</v>
      </c>
    </row>
    <row r="268" customFormat="false" ht="14.25" hidden="false" customHeight="false" outlineLevel="0" collapsed="false">
      <c r="A268" s="15" t="s">
        <v>641</v>
      </c>
      <c r="B268" s="16" t="n">
        <v>45405</v>
      </c>
      <c r="C268" s="15" t="s">
        <v>368</v>
      </c>
      <c r="D268" s="15" t="s">
        <v>303</v>
      </c>
      <c r="E268" s="15" t="s">
        <v>165</v>
      </c>
      <c r="F268" s="17" t="n">
        <v>5</v>
      </c>
      <c r="G268" s="17" t="n">
        <v>620</v>
      </c>
      <c r="H268" s="17" t="n">
        <v>13.1</v>
      </c>
      <c r="I268" s="17" t="n">
        <v>2693.9</v>
      </c>
      <c r="J268" s="15" t="s">
        <v>151</v>
      </c>
      <c r="K268" s="15" t="s">
        <v>110</v>
      </c>
    </row>
    <row r="269" customFormat="false" ht="14.25" hidden="false" customHeight="false" outlineLevel="0" collapsed="false">
      <c r="A269" s="15" t="s">
        <v>642</v>
      </c>
      <c r="B269" s="16" t="n">
        <v>45332</v>
      </c>
      <c r="C269" s="15" t="s">
        <v>353</v>
      </c>
      <c r="D269" s="15" t="s">
        <v>154</v>
      </c>
      <c r="E269" s="15" t="s">
        <v>240</v>
      </c>
      <c r="F269" s="17" t="n">
        <v>9</v>
      </c>
      <c r="G269" s="17" t="n">
        <v>3250</v>
      </c>
      <c r="H269" s="17" t="n">
        <v>16.5</v>
      </c>
      <c r="I269" s="17" t="n">
        <v>24423.75</v>
      </c>
      <c r="J269" s="15" t="s">
        <v>98</v>
      </c>
      <c r="K269" s="15" t="s">
        <v>105</v>
      </c>
    </row>
    <row r="270" customFormat="false" ht="14.25" hidden="false" customHeight="false" outlineLevel="0" collapsed="false">
      <c r="A270" s="15" t="s">
        <v>643</v>
      </c>
      <c r="B270" s="16" t="n">
        <v>45299</v>
      </c>
      <c r="C270" s="15" t="s">
        <v>239</v>
      </c>
      <c r="D270" s="15" t="s">
        <v>252</v>
      </c>
      <c r="E270" s="15" t="s">
        <v>284</v>
      </c>
      <c r="F270" s="17" t="n">
        <v>1</v>
      </c>
      <c r="G270" s="17" t="n">
        <v>6080</v>
      </c>
      <c r="H270" s="17" t="n">
        <v>0.1</v>
      </c>
      <c r="I270" s="17" t="n">
        <v>6073.92</v>
      </c>
      <c r="J270" s="15" t="s">
        <v>98</v>
      </c>
      <c r="K270" s="15" t="s">
        <v>123</v>
      </c>
    </row>
    <row r="271" customFormat="false" ht="14.25" hidden="false" customHeight="false" outlineLevel="0" collapsed="false">
      <c r="A271" s="15" t="s">
        <v>644</v>
      </c>
      <c r="B271" s="16" t="n">
        <v>45386</v>
      </c>
      <c r="C271" s="15" t="s">
        <v>600</v>
      </c>
      <c r="D271" s="15" t="s">
        <v>248</v>
      </c>
      <c r="E271" s="15" t="s">
        <v>109</v>
      </c>
      <c r="F271" s="17" t="n">
        <v>8</v>
      </c>
      <c r="G271" s="17" t="n">
        <v>3640</v>
      </c>
      <c r="H271" s="17" t="n">
        <v>13.5</v>
      </c>
      <c r="I271" s="17" t="n">
        <v>25188.8</v>
      </c>
      <c r="J271" s="15" t="s">
        <v>98</v>
      </c>
      <c r="K271" s="15" t="s">
        <v>105</v>
      </c>
    </row>
    <row r="272" customFormat="false" ht="14.25" hidden="false" customHeight="false" outlineLevel="0" collapsed="false">
      <c r="A272" s="15" t="s">
        <v>645</v>
      </c>
      <c r="B272" s="16" t="n">
        <v>45472</v>
      </c>
      <c r="C272" s="15" t="s">
        <v>646</v>
      </c>
      <c r="D272" s="15" t="s">
        <v>117</v>
      </c>
      <c r="E272" s="15" t="s">
        <v>103</v>
      </c>
      <c r="F272" s="17" t="n">
        <v>9</v>
      </c>
      <c r="G272" s="17" t="n">
        <v>3160</v>
      </c>
      <c r="H272" s="17" t="n">
        <v>29.7</v>
      </c>
      <c r="I272" s="17" t="n">
        <v>19993.32</v>
      </c>
      <c r="J272" s="15" t="s">
        <v>98</v>
      </c>
      <c r="K272" s="15" t="s">
        <v>110</v>
      </c>
    </row>
    <row r="273" customFormat="false" ht="14.25" hidden="false" customHeight="false" outlineLevel="0" collapsed="false">
      <c r="A273" s="15" t="s">
        <v>647</v>
      </c>
      <c r="B273" s="16" t="n">
        <v>45428</v>
      </c>
      <c r="C273" s="15" t="s">
        <v>572</v>
      </c>
      <c r="D273" s="15" t="s">
        <v>259</v>
      </c>
      <c r="E273" s="15" t="s">
        <v>97</v>
      </c>
      <c r="F273" s="17" t="n">
        <v>2</v>
      </c>
      <c r="G273" s="17" t="n">
        <v>3870</v>
      </c>
      <c r="H273" s="17" t="n">
        <v>18.1</v>
      </c>
      <c r="I273" s="17" t="n">
        <v>6339.06</v>
      </c>
      <c r="J273" s="15" t="s">
        <v>151</v>
      </c>
      <c r="K273" s="15" t="s">
        <v>144</v>
      </c>
    </row>
    <row r="274" customFormat="false" ht="14.25" hidden="false" customHeight="false" outlineLevel="0" collapsed="false">
      <c r="A274" s="15" t="s">
        <v>648</v>
      </c>
      <c r="B274" s="16" t="n">
        <v>45430</v>
      </c>
      <c r="C274" s="15" t="s">
        <v>649</v>
      </c>
      <c r="D274" s="15" t="s">
        <v>214</v>
      </c>
      <c r="E274" s="15" t="s">
        <v>181</v>
      </c>
      <c r="F274" s="17" t="n">
        <v>3</v>
      </c>
      <c r="G274" s="17" t="n">
        <v>660</v>
      </c>
      <c r="H274" s="17" t="n">
        <v>9.2</v>
      </c>
      <c r="I274" s="17" t="n">
        <v>1797.84</v>
      </c>
      <c r="J274" s="15" t="s">
        <v>98</v>
      </c>
      <c r="K274" s="15" t="s">
        <v>110</v>
      </c>
    </row>
    <row r="275" customFormat="false" ht="14.25" hidden="false" customHeight="false" outlineLevel="0" collapsed="false">
      <c r="A275" s="15" t="s">
        <v>650</v>
      </c>
      <c r="B275" s="16" t="n">
        <v>45418</v>
      </c>
      <c r="C275" s="15" t="s">
        <v>416</v>
      </c>
      <c r="D275" s="15" t="s">
        <v>362</v>
      </c>
      <c r="E275" s="15" t="s">
        <v>263</v>
      </c>
      <c r="F275" s="17" t="n">
        <v>4</v>
      </c>
      <c r="G275" s="17" t="n">
        <v>4060</v>
      </c>
      <c r="H275" s="17" t="n">
        <v>28</v>
      </c>
      <c r="I275" s="17" t="n">
        <v>11692.8</v>
      </c>
      <c r="J275" s="15" t="s">
        <v>98</v>
      </c>
      <c r="K275" s="15" t="s">
        <v>105</v>
      </c>
    </row>
    <row r="276" customFormat="false" ht="14.25" hidden="false" customHeight="false" outlineLevel="0" collapsed="false">
      <c r="A276" s="15" t="s">
        <v>651</v>
      </c>
      <c r="B276" s="16" t="n">
        <v>45360</v>
      </c>
      <c r="C276" s="15" t="s">
        <v>368</v>
      </c>
      <c r="D276" s="15" t="s">
        <v>454</v>
      </c>
      <c r="E276" s="15" t="s">
        <v>357</v>
      </c>
      <c r="F276" s="17" t="n">
        <v>2</v>
      </c>
      <c r="G276" s="17" t="n">
        <v>5080</v>
      </c>
      <c r="H276" s="17" t="n">
        <v>7.7</v>
      </c>
      <c r="I276" s="17" t="n">
        <v>9377.68</v>
      </c>
      <c r="J276" s="15" t="s">
        <v>155</v>
      </c>
      <c r="K276" s="15" t="s">
        <v>110</v>
      </c>
    </row>
    <row r="277" customFormat="false" ht="14.25" hidden="false" customHeight="false" outlineLevel="0" collapsed="false">
      <c r="A277" s="15" t="s">
        <v>652</v>
      </c>
      <c r="B277" s="16" t="n">
        <v>45296</v>
      </c>
      <c r="C277" s="15" t="s">
        <v>323</v>
      </c>
      <c r="D277" s="15" t="s">
        <v>198</v>
      </c>
      <c r="E277" s="15" t="s">
        <v>103</v>
      </c>
      <c r="F277" s="17" t="n">
        <v>3</v>
      </c>
      <c r="G277" s="17" t="n">
        <v>3570</v>
      </c>
      <c r="H277" s="17" t="n">
        <v>9.5</v>
      </c>
      <c r="I277" s="17" t="n">
        <v>9692.55</v>
      </c>
      <c r="J277" s="15" t="s">
        <v>98</v>
      </c>
      <c r="K277" s="15" t="s">
        <v>144</v>
      </c>
    </row>
    <row r="278" customFormat="false" ht="14.25" hidden="false" customHeight="false" outlineLevel="0" collapsed="false">
      <c r="A278" s="15" t="s">
        <v>653</v>
      </c>
      <c r="B278" s="16" t="n">
        <v>45460</v>
      </c>
      <c r="C278" s="15" t="s">
        <v>654</v>
      </c>
      <c r="D278" s="15" t="s">
        <v>303</v>
      </c>
      <c r="E278" s="15" t="s">
        <v>203</v>
      </c>
      <c r="F278" s="17" t="n">
        <v>2</v>
      </c>
      <c r="G278" s="17" t="n">
        <v>620</v>
      </c>
      <c r="H278" s="17" t="n">
        <v>29.5</v>
      </c>
      <c r="I278" s="17" t="n">
        <v>874.2</v>
      </c>
      <c r="J278" s="15" t="s">
        <v>98</v>
      </c>
      <c r="K278" s="15" t="s">
        <v>123</v>
      </c>
    </row>
    <row r="279" customFormat="false" ht="14.25" hidden="false" customHeight="false" outlineLevel="0" collapsed="false">
      <c r="A279" s="15" t="s">
        <v>655</v>
      </c>
      <c r="B279" s="16" t="n">
        <v>45638</v>
      </c>
      <c r="C279" s="15" t="s">
        <v>414</v>
      </c>
      <c r="D279" s="15" t="s">
        <v>463</v>
      </c>
      <c r="E279" s="15" t="s">
        <v>263</v>
      </c>
      <c r="F279" s="17" t="n">
        <v>3</v>
      </c>
      <c r="G279" s="17" t="n">
        <v>3450</v>
      </c>
      <c r="H279" s="17" t="n">
        <v>3</v>
      </c>
      <c r="I279" s="17" t="n">
        <v>10039.5</v>
      </c>
      <c r="J279" s="15" t="s">
        <v>98</v>
      </c>
      <c r="K279" s="15" t="s">
        <v>128</v>
      </c>
    </row>
    <row r="280" customFormat="false" ht="14.25" hidden="false" customHeight="false" outlineLevel="0" collapsed="false">
      <c r="A280" s="15" t="s">
        <v>656</v>
      </c>
      <c r="B280" s="16" t="n">
        <v>45408</v>
      </c>
      <c r="C280" s="15" t="s">
        <v>533</v>
      </c>
      <c r="D280" s="15" t="s">
        <v>202</v>
      </c>
      <c r="E280" s="15" t="s">
        <v>114</v>
      </c>
      <c r="F280" s="17" t="n">
        <v>7</v>
      </c>
      <c r="G280" s="17" t="n">
        <v>5100</v>
      </c>
      <c r="H280" s="17" t="n">
        <v>4.3</v>
      </c>
      <c r="I280" s="17" t="n">
        <v>34164.9</v>
      </c>
      <c r="J280" s="15" t="s">
        <v>98</v>
      </c>
      <c r="K280" s="15" t="s">
        <v>110</v>
      </c>
    </row>
    <row r="281" customFormat="false" ht="14.25" hidden="false" customHeight="false" outlineLevel="0" collapsed="false">
      <c r="A281" s="15" t="s">
        <v>657</v>
      </c>
      <c r="B281" s="16" t="n">
        <v>45541</v>
      </c>
      <c r="C281" s="15" t="s">
        <v>440</v>
      </c>
      <c r="D281" s="15" t="s">
        <v>259</v>
      </c>
      <c r="E281" s="15" t="s">
        <v>159</v>
      </c>
      <c r="F281" s="17" t="n">
        <v>9</v>
      </c>
      <c r="G281" s="17" t="n">
        <v>3870</v>
      </c>
      <c r="H281" s="17" t="n">
        <v>4.8</v>
      </c>
      <c r="I281" s="17" t="n">
        <v>33158.16</v>
      </c>
      <c r="J281" s="15" t="s">
        <v>98</v>
      </c>
      <c r="K281" s="15" t="s">
        <v>128</v>
      </c>
    </row>
    <row r="282" customFormat="false" ht="14.25" hidden="false" customHeight="false" outlineLevel="0" collapsed="false">
      <c r="A282" s="15" t="s">
        <v>658</v>
      </c>
      <c r="B282" s="16" t="n">
        <v>45633</v>
      </c>
      <c r="C282" s="15" t="s">
        <v>619</v>
      </c>
      <c r="D282" s="15" t="s">
        <v>278</v>
      </c>
      <c r="E282" s="15" t="s">
        <v>240</v>
      </c>
      <c r="F282" s="17" t="n">
        <v>5</v>
      </c>
      <c r="G282" s="17" t="n">
        <v>1220</v>
      </c>
      <c r="H282" s="17" t="n">
        <v>4</v>
      </c>
      <c r="I282" s="17" t="n">
        <v>5856</v>
      </c>
      <c r="J282" s="15" t="s">
        <v>151</v>
      </c>
      <c r="K282" s="15" t="s">
        <v>99</v>
      </c>
    </row>
    <row r="283" customFormat="false" ht="14.25" hidden="false" customHeight="false" outlineLevel="0" collapsed="false">
      <c r="A283" s="15" t="s">
        <v>659</v>
      </c>
      <c r="B283" s="16" t="n">
        <v>45338</v>
      </c>
      <c r="C283" s="15" t="s">
        <v>177</v>
      </c>
      <c r="D283" s="15" t="s">
        <v>135</v>
      </c>
      <c r="E283" s="15" t="s">
        <v>165</v>
      </c>
      <c r="F283" s="17" t="n">
        <v>5</v>
      </c>
      <c r="G283" s="17" t="n">
        <v>5490</v>
      </c>
      <c r="H283" s="17" t="n">
        <v>19.8</v>
      </c>
      <c r="I283" s="17" t="n">
        <v>22014.9</v>
      </c>
      <c r="J283" s="15" t="s">
        <v>98</v>
      </c>
      <c r="K283" s="15" t="s">
        <v>144</v>
      </c>
    </row>
    <row r="284" customFormat="false" ht="14.25" hidden="false" customHeight="false" outlineLevel="0" collapsed="false">
      <c r="A284" s="15" t="s">
        <v>660</v>
      </c>
      <c r="B284" s="16" t="n">
        <v>45529</v>
      </c>
      <c r="C284" s="15" t="s">
        <v>396</v>
      </c>
      <c r="D284" s="15" t="s">
        <v>187</v>
      </c>
      <c r="E284" s="15" t="s">
        <v>226</v>
      </c>
      <c r="F284" s="17" t="n">
        <v>1</v>
      </c>
      <c r="G284" s="17" t="n">
        <v>1650</v>
      </c>
      <c r="H284" s="17" t="n">
        <v>26.2</v>
      </c>
      <c r="I284" s="17" t="n">
        <v>1217.7</v>
      </c>
      <c r="J284" s="15" t="s">
        <v>98</v>
      </c>
      <c r="K284" s="15" t="s">
        <v>128</v>
      </c>
    </row>
    <row r="285" customFormat="false" ht="14.25" hidden="false" customHeight="false" outlineLevel="0" collapsed="false">
      <c r="A285" s="15" t="s">
        <v>661</v>
      </c>
      <c r="B285" s="16" t="n">
        <v>45460</v>
      </c>
      <c r="C285" s="15" t="s">
        <v>662</v>
      </c>
      <c r="D285" s="15" t="s">
        <v>290</v>
      </c>
      <c r="E285" s="15" t="s">
        <v>159</v>
      </c>
      <c r="F285" s="17" t="n">
        <v>1</v>
      </c>
      <c r="G285" s="17" t="n">
        <v>2660</v>
      </c>
      <c r="H285" s="17" t="n">
        <v>21</v>
      </c>
      <c r="I285" s="17" t="n">
        <v>2101.4</v>
      </c>
      <c r="J285" s="15" t="s">
        <v>98</v>
      </c>
      <c r="K285" s="15" t="s">
        <v>144</v>
      </c>
    </row>
    <row r="286" customFormat="false" ht="14.25" hidden="false" customHeight="false" outlineLevel="0" collapsed="false">
      <c r="A286" s="15" t="s">
        <v>663</v>
      </c>
      <c r="B286" s="16" t="n">
        <v>45375</v>
      </c>
      <c r="C286" s="15" t="s">
        <v>342</v>
      </c>
      <c r="D286" s="15" t="s">
        <v>349</v>
      </c>
      <c r="E286" s="15" t="s">
        <v>159</v>
      </c>
      <c r="F286" s="17" t="n">
        <v>6</v>
      </c>
      <c r="G286" s="17" t="n">
        <v>2210</v>
      </c>
      <c r="H286" s="17" t="n">
        <v>9.8</v>
      </c>
      <c r="I286" s="17" t="n">
        <v>11960.52</v>
      </c>
      <c r="J286" s="15" t="s">
        <v>104</v>
      </c>
      <c r="K286" s="15" t="s">
        <v>128</v>
      </c>
    </row>
    <row r="287" customFormat="false" ht="14.25" hidden="false" customHeight="false" outlineLevel="0" collapsed="false">
      <c r="A287" s="15" t="s">
        <v>664</v>
      </c>
      <c r="B287" s="16" t="n">
        <v>45310</v>
      </c>
      <c r="C287" s="15" t="s">
        <v>533</v>
      </c>
      <c r="D287" s="15" t="s">
        <v>149</v>
      </c>
      <c r="E287" s="15" t="s">
        <v>226</v>
      </c>
      <c r="F287" s="17" t="n">
        <v>9</v>
      </c>
      <c r="G287" s="17" t="n">
        <v>2600</v>
      </c>
      <c r="H287" s="17" t="n">
        <v>15.7</v>
      </c>
      <c r="I287" s="17" t="n">
        <v>19726.2</v>
      </c>
      <c r="J287" s="15" t="s">
        <v>98</v>
      </c>
      <c r="K287" s="15" t="s">
        <v>110</v>
      </c>
    </row>
    <row r="288" customFormat="false" ht="14.25" hidden="false" customHeight="false" outlineLevel="0" collapsed="false">
      <c r="A288" s="15" t="s">
        <v>665</v>
      </c>
      <c r="B288" s="16" t="n">
        <v>45314</v>
      </c>
      <c r="C288" s="15" t="s">
        <v>666</v>
      </c>
      <c r="D288" s="15" t="s">
        <v>287</v>
      </c>
      <c r="E288" s="15" t="s">
        <v>122</v>
      </c>
      <c r="F288" s="17" t="n">
        <v>3</v>
      </c>
      <c r="G288" s="17" t="n">
        <v>3020</v>
      </c>
      <c r="H288" s="17" t="n">
        <v>22.6</v>
      </c>
      <c r="I288" s="17" t="n">
        <v>7012.44</v>
      </c>
      <c r="J288" s="15" t="s">
        <v>98</v>
      </c>
      <c r="K288" s="15" t="s">
        <v>144</v>
      </c>
    </row>
    <row r="289" customFormat="false" ht="14.25" hidden="false" customHeight="false" outlineLevel="0" collapsed="false">
      <c r="A289" s="15" t="s">
        <v>667</v>
      </c>
      <c r="B289" s="16" t="n">
        <v>45459</v>
      </c>
      <c r="C289" s="15" t="s">
        <v>325</v>
      </c>
      <c r="D289" s="15" t="s">
        <v>121</v>
      </c>
      <c r="E289" s="15" t="s">
        <v>103</v>
      </c>
      <c r="F289" s="17" t="n">
        <v>6</v>
      </c>
      <c r="G289" s="17" t="n">
        <v>370</v>
      </c>
      <c r="H289" s="17" t="n">
        <v>12.4</v>
      </c>
      <c r="I289" s="17" t="n">
        <v>1944.72</v>
      </c>
      <c r="J289" s="15" t="s">
        <v>98</v>
      </c>
      <c r="K289" s="15" t="s">
        <v>99</v>
      </c>
    </row>
    <row r="290" customFormat="false" ht="14.25" hidden="false" customHeight="false" outlineLevel="0" collapsed="false">
      <c r="A290" s="15" t="s">
        <v>668</v>
      </c>
      <c r="B290" s="16" t="n">
        <v>45312</v>
      </c>
      <c r="C290" s="15" t="s">
        <v>626</v>
      </c>
      <c r="D290" s="15" t="s">
        <v>375</v>
      </c>
      <c r="E290" s="15" t="s">
        <v>114</v>
      </c>
      <c r="F290" s="17" t="n">
        <v>8</v>
      </c>
      <c r="G290" s="17" t="n">
        <v>5330</v>
      </c>
      <c r="H290" s="17" t="n">
        <v>16.2</v>
      </c>
      <c r="I290" s="17" t="n">
        <v>35732.32</v>
      </c>
      <c r="J290" s="15" t="s">
        <v>98</v>
      </c>
      <c r="K290" s="15" t="s">
        <v>123</v>
      </c>
    </row>
    <row r="291" customFormat="false" ht="14.25" hidden="false" customHeight="false" outlineLevel="0" collapsed="false">
      <c r="A291" s="15" t="s">
        <v>669</v>
      </c>
      <c r="B291" s="16" t="n">
        <v>45500</v>
      </c>
      <c r="C291" s="15" t="s">
        <v>236</v>
      </c>
      <c r="D291" s="15" t="s">
        <v>670</v>
      </c>
      <c r="E291" s="15" t="s">
        <v>181</v>
      </c>
      <c r="F291" s="17" t="n">
        <v>4</v>
      </c>
      <c r="G291" s="17" t="n">
        <v>3560</v>
      </c>
      <c r="H291" s="17" t="n">
        <v>10.5</v>
      </c>
      <c r="I291" s="17" t="n">
        <v>12744.8</v>
      </c>
      <c r="J291" s="15" t="s">
        <v>98</v>
      </c>
      <c r="K291" s="15" t="s">
        <v>105</v>
      </c>
    </row>
    <row r="292" customFormat="false" ht="14.25" hidden="false" customHeight="false" outlineLevel="0" collapsed="false">
      <c r="A292" s="15" t="s">
        <v>671</v>
      </c>
      <c r="B292" s="16" t="n">
        <v>45389</v>
      </c>
      <c r="C292" s="15" t="s">
        <v>615</v>
      </c>
      <c r="D292" s="15" t="s">
        <v>193</v>
      </c>
      <c r="E292" s="15" t="s">
        <v>181</v>
      </c>
      <c r="F292" s="17" t="n">
        <v>10</v>
      </c>
      <c r="G292" s="17" t="n">
        <v>1010</v>
      </c>
      <c r="H292" s="17" t="n">
        <v>10.8</v>
      </c>
      <c r="I292" s="17" t="n">
        <v>9009.2</v>
      </c>
      <c r="J292" s="15" t="s">
        <v>98</v>
      </c>
      <c r="K292" s="15" t="s">
        <v>128</v>
      </c>
    </row>
    <row r="293" customFormat="false" ht="14.25" hidden="false" customHeight="false" outlineLevel="0" collapsed="false">
      <c r="A293" s="15" t="s">
        <v>672</v>
      </c>
      <c r="B293" s="16" t="n">
        <v>45619</v>
      </c>
      <c r="C293" s="15" t="s">
        <v>673</v>
      </c>
      <c r="D293" s="15" t="s">
        <v>526</v>
      </c>
      <c r="E293" s="15" t="s">
        <v>114</v>
      </c>
      <c r="F293" s="17" t="n">
        <v>8</v>
      </c>
      <c r="G293" s="17" t="n">
        <v>6940</v>
      </c>
      <c r="H293" s="17" t="n">
        <v>3.2</v>
      </c>
      <c r="I293" s="17" t="n">
        <v>53743.36</v>
      </c>
      <c r="J293" s="15" t="s">
        <v>151</v>
      </c>
      <c r="K293" s="15" t="s">
        <v>105</v>
      </c>
    </row>
    <row r="294" customFormat="false" ht="14.25" hidden="false" customHeight="false" outlineLevel="0" collapsed="false">
      <c r="A294" s="15" t="s">
        <v>674</v>
      </c>
      <c r="B294" s="16" t="n">
        <v>45617</v>
      </c>
      <c r="C294" s="15" t="s">
        <v>323</v>
      </c>
      <c r="D294" s="15" t="s">
        <v>117</v>
      </c>
      <c r="E294" s="15" t="s">
        <v>199</v>
      </c>
      <c r="F294" s="17" t="n">
        <v>7</v>
      </c>
      <c r="G294" s="17" t="n">
        <v>3160</v>
      </c>
      <c r="H294" s="17" t="n">
        <v>3.6</v>
      </c>
      <c r="I294" s="17" t="n">
        <v>21323.68</v>
      </c>
      <c r="J294" s="15" t="s">
        <v>98</v>
      </c>
      <c r="K294" s="15" t="s">
        <v>144</v>
      </c>
    </row>
    <row r="295" customFormat="false" ht="14.25" hidden="false" customHeight="false" outlineLevel="0" collapsed="false">
      <c r="A295" s="15" t="s">
        <v>675</v>
      </c>
      <c r="B295" s="16" t="n">
        <v>45640</v>
      </c>
      <c r="C295" s="15" t="s">
        <v>496</v>
      </c>
      <c r="D295" s="15" t="s">
        <v>113</v>
      </c>
      <c r="E295" s="15" t="s">
        <v>118</v>
      </c>
      <c r="F295" s="17" t="n">
        <v>2</v>
      </c>
      <c r="G295" s="17" t="n">
        <v>3660</v>
      </c>
      <c r="H295" s="17" t="n">
        <v>30</v>
      </c>
      <c r="I295" s="17" t="n">
        <v>5124</v>
      </c>
      <c r="J295" s="15" t="s">
        <v>104</v>
      </c>
      <c r="K295" s="15" t="s">
        <v>99</v>
      </c>
    </row>
    <row r="296" customFormat="false" ht="14.25" hidden="false" customHeight="false" outlineLevel="0" collapsed="false">
      <c r="A296" s="15" t="s">
        <v>676</v>
      </c>
      <c r="B296" s="16" t="n">
        <v>45401</v>
      </c>
      <c r="C296" s="15" t="s">
        <v>377</v>
      </c>
      <c r="D296" s="15" t="s">
        <v>142</v>
      </c>
      <c r="E296" s="15" t="s">
        <v>103</v>
      </c>
      <c r="F296" s="17" t="n">
        <v>1</v>
      </c>
      <c r="G296" s="17" t="n">
        <v>2270</v>
      </c>
      <c r="H296" s="17" t="n">
        <v>4.8</v>
      </c>
      <c r="I296" s="17" t="n">
        <v>2161.04</v>
      </c>
      <c r="J296" s="15" t="s">
        <v>151</v>
      </c>
      <c r="K296" s="15" t="s">
        <v>123</v>
      </c>
    </row>
    <row r="297" customFormat="false" ht="14.25" hidden="false" customHeight="false" outlineLevel="0" collapsed="false">
      <c r="A297" s="15" t="s">
        <v>677</v>
      </c>
      <c r="B297" s="16" t="n">
        <v>45405</v>
      </c>
      <c r="C297" s="15" t="s">
        <v>234</v>
      </c>
      <c r="D297" s="15" t="s">
        <v>472</v>
      </c>
      <c r="E297" s="15" t="s">
        <v>122</v>
      </c>
      <c r="F297" s="17" t="n">
        <v>8</v>
      </c>
      <c r="G297" s="17" t="n">
        <v>3780</v>
      </c>
      <c r="H297" s="17" t="n">
        <v>13</v>
      </c>
      <c r="I297" s="17" t="n">
        <v>26308.8</v>
      </c>
      <c r="J297" s="15" t="s">
        <v>98</v>
      </c>
      <c r="K297" s="15" t="s">
        <v>110</v>
      </c>
    </row>
    <row r="298" customFormat="false" ht="14.25" hidden="false" customHeight="false" outlineLevel="0" collapsed="false">
      <c r="A298" s="15" t="s">
        <v>678</v>
      </c>
      <c r="B298" s="16" t="n">
        <v>45537</v>
      </c>
      <c r="C298" s="15" t="s">
        <v>628</v>
      </c>
      <c r="D298" s="15" t="s">
        <v>248</v>
      </c>
      <c r="E298" s="15" t="s">
        <v>336</v>
      </c>
      <c r="F298" s="17" t="n">
        <v>1</v>
      </c>
      <c r="G298" s="17" t="n">
        <v>3640</v>
      </c>
      <c r="H298" s="17" t="n">
        <v>15.3</v>
      </c>
      <c r="I298" s="17" t="n">
        <v>3083.08</v>
      </c>
      <c r="J298" s="15" t="s">
        <v>104</v>
      </c>
      <c r="K298" s="15" t="s">
        <v>123</v>
      </c>
    </row>
    <row r="299" customFormat="false" ht="14.25" hidden="false" customHeight="false" outlineLevel="0" collapsed="false">
      <c r="A299" s="15" t="s">
        <v>679</v>
      </c>
      <c r="B299" s="16" t="n">
        <v>45475</v>
      </c>
      <c r="C299" s="15" t="s">
        <v>680</v>
      </c>
      <c r="D299" s="15" t="s">
        <v>278</v>
      </c>
      <c r="E299" s="15" t="s">
        <v>215</v>
      </c>
      <c r="F299" s="17" t="n">
        <v>8</v>
      </c>
      <c r="G299" s="17" t="n">
        <v>1220</v>
      </c>
      <c r="H299" s="17" t="n">
        <v>28.2</v>
      </c>
      <c r="I299" s="17" t="n">
        <v>7007.68</v>
      </c>
      <c r="J299" s="15" t="s">
        <v>98</v>
      </c>
      <c r="K299" s="15" t="s">
        <v>144</v>
      </c>
    </row>
    <row r="300" customFormat="false" ht="14.25" hidden="false" customHeight="false" outlineLevel="0" collapsed="false">
      <c r="A300" s="15" t="s">
        <v>681</v>
      </c>
      <c r="B300" s="16" t="n">
        <v>45624</v>
      </c>
      <c r="C300" s="15" t="s">
        <v>280</v>
      </c>
      <c r="D300" s="15" t="s">
        <v>366</v>
      </c>
      <c r="E300" s="15" t="s">
        <v>181</v>
      </c>
      <c r="F300" s="17" t="n">
        <v>3</v>
      </c>
      <c r="G300" s="17" t="n">
        <v>2510</v>
      </c>
      <c r="H300" s="17" t="n">
        <v>17.4</v>
      </c>
      <c r="I300" s="17" t="n">
        <v>6219.78</v>
      </c>
      <c r="J300" s="15" t="s">
        <v>98</v>
      </c>
      <c r="K300" s="15" t="s">
        <v>123</v>
      </c>
    </row>
    <row r="301" customFormat="false" ht="14.25" hidden="false" customHeight="false" outlineLevel="0" collapsed="false">
      <c r="A301" s="15" t="s">
        <v>682</v>
      </c>
      <c r="B301" s="16" t="n">
        <v>45635</v>
      </c>
      <c r="C301" s="15" t="s">
        <v>576</v>
      </c>
      <c r="D301" s="15" t="s">
        <v>175</v>
      </c>
      <c r="E301" s="15" t="s">
        <v>150</v>
      </c>
      <c r="F301" s="17" t="n">
        <v>1</v>
      </c>
      <c r="G301" s="17" t="n">
        <v>1080</v>
      </c>
      <c r="H301" s="17" t="n">
        <v>13.9</v>
      </c>
      <c r="I301" s="17" t="n">
        <v>929.88</v>
      </c>
      <c r="J301" s="15" t="s">
        <v>98</v>
      </c>
      <c r="K301" s="15" t="s">
        <v>123</v>
      </c>
    </row>
    <row r="302" customFormat="false" ht="14.25" hidden="false" customHeight="false" outlineLevel="0" collapsed="false">
      <c r="A302" s="15" t="s">
        <v>683</v>
      </c>
      <c r="B302" s="16" t="n">
        <v>45395</v>
      </c>
      <c r="C302" s="15" t="s">
        <v>684</v>
      </c>
      <c r="D302" s="15" t="s">
        <v>306</v>
      </c>
      <c r="E302" s="15" t="s">
        <v>357</v>
      </c>
      <c r="F302" s="17" t="n">
        <v>7</v>
      </c>
      <c r="G302" s="17" t="n">
        <v>2030</v>
      </c>
      <c r="H302" s="17" t="n">
        <v>29.2</v>
      </c>
      <c r="I302" s="17" t="n">
        <v>10060.68</v>
      </c>
      <c r="J302" s="15" t="s">
        <v>98</v>
      </c>
      <c r="K302" s="15" t="s">
        <v>123</v>
      </c>
    </row>
    <row r="303" customFormat="false" ht="14.25" hidden="false" customHeight="false" outlineLevel="0" collapsed="false">
      <c r="A303" s="15" t="s">
        <v>685</v>
      </c>
      <c r="B303" s="16" t="n">
        <v>45415</v>
      </c>
      <c r="C303" s="15" t="s">
        <v>180</v>
      </c>
      <c r="D303" s="15" t="s">
        <v>472</v>
      </c>
      <c r="E303" s="15" t="s">
        <v>203</v>
      </c>
      <c r="F303" s="17" t="n">
        <v>6</v>
      </c>
      <c r="G303" s="17" t="n">
        <v>3780</v>
      </c>
      <c r="H303" s="17" t="n">
        <v>20.9</v>
      </c>
      <c r="I303" s="17" t="n">
        <v>17939.88</v>
      </c>
      <c r="J303" s="15" t="s">
        <v>155</v>
      </c>
      <c r="K303" s="15" t="s">
        <v>123</v>
      </c>
    </row>
    <row r="304" customFormat="false" ht="14.25" hidden="false" customHeight="false" outlineLevel="0" collapsed="false">
      <c r="A304" s="15" t="s">
        <v>686</v>
      </c>
      <c r="B304" s="16" t="n">
        <v>45653</v>
      </c>
      <c r="C304" s="15" t="s">
        <v>687</v>
      </c>
      <c r="D304" s="15" t="s">
        <v>117</v>
      </c>
      <c r="E304" s="15" t="s">
        <v>357</v>
      </c>
      <c r="F304" s="17" t="n">
        <v>1</v>
      </c>
      <c r="G304" s="17" t="n">
        <v>3160</v>
      </c>
      <c r="H304" s="17" t="n">
        <v>10.7</v>
      </c>
      <c r="I304" s="17" t="n">
        <v>2821.88</v>
      </c>
      <c r="J304" s="15" t="s">
        <v>98</v>
      </c>
      <c r="K304" s="15" t="s">
        <v>99</v>
      </c>
    </row>
    <row r="305" customFormat="false" ht="14.25" hidden="false" customHeight="false" outlineLevel="0" collapsed="false">
      <c r="A305" s="15" t="s">
        <v>688</v>
      </c>
      <c r="B305" s="16" t="n">
        <v>45564</v>
      </c>
      <c r="C305" s="15" t="s">
        <v>305</v>
      </c>
      <c r="D305" s="15" t="s">
        <v>195</v>
      </c>
      <c r="E305" s="15" t="s">
        <v>143</v>
      </c>
      <c r="F305" s="17" t="n">
        <v>5</v>
      </c>
      <c r="G305" s="17" t="n">
        <v>4880</v>
      </c>
      <c r="H305" s="17" t="n">
        <v>11.4</v>
      </c>
      <c r="I305" s="17" t="n">
        <v>21618.4</v>
      </c>
      <c r="J305" s="15" t="s">
        <v>98</v>
      </c>
      <c r="K305" s="15" t="s">
        <v>144</v>
      </c>
    </row>
    <row r="306" customFormat="false" ht="14.25" hidden="false" customHeight="false" outlineLevel="0" collapsed="false">
      <c r="A306" s="15" t="s">
        <v>689</v>
      </c>
      <c r="B306" s="16" t="n">
        <v>45633</v>
      </c>
      <c r="C306" s="15" t="s">
        <v>649</v>
      </c>
      <c r="D306" s="15" t="s">
        <v>237</v>
      </c>
      <c r="E306" s="15" t="s">
        <v>215</v>
      </c>
      <c r="F306" s="17" t="n">
        <v>9</v>
      </c>
      <c r="G306" s="17" t="n">
        <v>3730</v>
      </c>
      <c r="H306" s="17" t="n">
        <v>10</v>
      </c>
      <c r="I306" s="17" t="n">
        <v>30213</v>
      </c>
      <c r="J306" s="15" t="s">
        <v>98</v>
      </c>
      <c r="K306" s="15" t="s">
        <v>110</v>
      </c>
    </row>
    <row r="307" customFormat="false" ht="14.25" hidden="false" customHeight="false" outlineLevel="0" collapsed="false">
      <c r="A307" s="15" t="s">
        <v>690</v>
      </c>
      <c r="B307" s="16" t="n">
        <v>45309</v>
      </c>
      <c r="C307" s="15" t="s">
        <v>691</v>
      </c>
      <c r="D307" s="15" t="s">
        <v>454</v>
      </c>
      <c r="E307" s="15" t="s">
        <v>150</v>
      </c>
      <c r="F307" s="17" t="n">
        <v>5</v>
      </c>
      <c r="G307" s="17" t="n">
        <v>5080</v>
      </c>
      <c r="H307" s="17" t="n">
        <v>15.3</v>
      </c>
      <c r="I307" s="17" t="n">
        <v>21513.8</v>
      </c>
      <c r="J307" s="15" t="s">
        <v>98</v>
      </c>
      <c r="K307" s="15" t="s">
        <v>105</v>
      </c>
    </row>
    <row r="308" customFormat="false" ht="14.25" hidden="false" customHeight="false" outlineLevel="0" collapsed="false">
      <c r="A308" s="15" t="s">
        <v>692</v>
      </c>
      <c r="B308" s="16" t="n">
        <v>45403</v>
      </c>
      <c r="C308" s="15" t="s">
        <v>171</v>
      </c>
      <c r="D308" s="15" t="s">
        <v>397</v>
      </c>
      <c r="E308" s="15" t="s">
        <v>263</v>
      </c>
      <c r="F308" s="17" t="n">
        <v>9</v>
      </c>
      <c r="G308" s="17" t="n">
        <v>2290</v>
      </c>
      <c r="H308" s="17" t="n">
        <v>3.3</v>
      </c>
      <c r="I308" s="17" t="n">
        <v>19929.87</v>
      </c>
      <c r="J308" s="15" t="s">
        <v>104</v>
      </c>
      <c r="K308" s="15" t="s">
        <v>123</v>
      </c>
    </row>
    <row r="309" customFormat="false" ht="14.25" hidden="false" customHeight="false" outlineLevel="0" collapsed="false">
      <c r="A309" s="15" t="s">
        <v>693</v>
      </c>
      <c r="B309" s="16" t="n">
        <v>45554</v>
      </c>
      <c r="C309" s="15" t="s">
        <v>557</v>
      </c>
      <c r="D309" s="15" t="s">
        <v>290</v>
      </c>
      <c r="E309" s="15" t="s">
        <v>143</v>
      </c>
      <c r="F309" s="17" t="n">
        <v>5</v>
      </c>
      <c r="G309" s="17" t="n">
        <v>2660</v>
      </c>
      <c r="H309" s="17" t="n">
        <v>8.3</v>
      </c>
      <c r="I309" s="17" t="n">
        <v>12196.1</v>
      </c>
      <c r="J309" s="15" t="s">
        <v>98</v>
      </c>
      <c r="K309" s="15" t="s">
        <v>110</v>
      </c>
    </row>
    <row r="310" customFormat="false" ht="14.25" hidden="false" customHeight="false" outlineLevel="0" collapsed="false">
      <c r="A310" s="15" t="s">
        <v>694</v>
      </c>
      <c r="B310" s="16" t="n">
        <v>45529</v>
      </c>
      <c r="C310" s="15" t="s">
        <v>695</v>
      </c>
      <c r="D310" s="15" t="s">
        <v>245</v>
      </c>
      <c r="E310" s="15" t="s">
        <v>122</v>
      </c>
      <c r="F310" s="17" t="n">
        <v>6</v>
      </c>
      <c r="G310" s="17" t="n">
        <v>3780</v>
      </c>
      <c r="H310" s="17" t="n">
        <v>28.3</v>
      </c>
      <c r="I310" s="17" t="n">
        <v>16261.56</v>
      </c>
      <c r="J310" s="15" t="s">
        <v>98</v>
      </c>
      <c r="K310" s="15" t="s">
        <v>110</v>
      </c>
    </row>
    <row r="311" customFormat="false" ht="14.25" hidden="false" customHeight="false" outlineLevel="0" collapsed="false">
      <c r="A311" s="15" t="s">
        <v>696</v>
      </c>
      <c r="B311" s="16" t="n">
        <v>45300</v>
      </c>
      <c r="C311" s="15" t="s">
        <v>697</v>
      </c>
      <c r="D311" s="15" t="s">
        <v>211</v>
      </c>
      <c r="E311" s="15" t="s">
        <v>139</v>
      </c>
      <c r="F311" s="17" t="n">
        <v>5</v>
      </c>
      <c r="G311" s="17" t="n">
        <v>2760</v>
      </c>
      <c r="H311" s="17" t="n">
        <v>4.9</v>
      </c>
      <c r="I311" s="17" t="n">
        <v>13123.8</v>
      </c>
      <c r="J311" s="15" t="s">
        <v>98</v>
      </c>
      <c r="K311" s="15" t="s">
        <v>123</v>
      </c>
    </row>
    <row r="312" customFormat="false" ht="14.25" hidden="false" customHeight="false" outlineLevel="0" collapsed="false">
      <c r="A312" s="15" t="s">
        <v>698</v>
      </c>
      <c r="B312" s="16" t="n">
        <v>45368</v>
      </c>
      <c r="C312" s="15" t="s">
        <v>344</v>
      </c>
      <c r="D312" s="15" t="s">
        <v>270</v>
      </c>
      <c r="E312" s="15" t="s">
        <v>114</v>
      </c>
      <c r="F312" s="17" t="n">
        <v>8</v>
      </c>
      <c r="G312" s="17" t="n">
        <v>1540</v>
      </c>
      <c r="H312" s="17" t="n">
        <v>29.4</v>
      </c>
      <c r="I312" s="17" t="n">
        <v>8697.92</v>
      </c>
      <c r="J312" s="15" t="s">
        <v>151</v>
      </c>
      <c r="K312" s="15" t="s">
        <v>144</v>
      </c>
    </row>
    <row r="313" customFormat="false" ht="14.25" hidden="false" customHeight="false" outlineLevel="0" collapsed="false">
      <c r="A313" s="15" t="s">
        <v>699</v>
      </c>
      <c r="B313" s="16" t="n">
        <v>45374</v>
      </c>
      <c r="C313" s="15" t="s">
        <v>700</v>
      </c>
      <c r="D313" s="15" t="s">
        <v>195</v>
      </c>
      <c r="E313" s="15" t="s">
        <v>296</v>
      </c>
      <c r="F313" s="17" t="n">
        <v>1</v>
      </c>
      <c r="G313" s="17" t="n">
        <v>4880</v>
      </c>
      <c r="H313" s="17" t="n">
        <v>18.1</v>
      </c>
      <c r="I313" s="17" t="n">
        <v>3996.72</v>
      </c>
      <c r="J313" s="15" t="s">
        <v>98</v>
      </c>
      <c r="K313" s="15" t="s">
        <v>144</v>
      </c>
    </row>
    <row r="314" customFormat="false" ht="14.25" hidden="false" customHeight="false" outlineLevel="0" collapsed="false">
      <c r="A314" s="15" t="s">
        <v>701</v>
      </c>
      <c r="B314" s="16" t="n">
        <v>45592</v>
      </c>
      <c r="C314" s="15" t="s">
        <v>493</v>
      </c>
      <c r="D314" s="15" t="s">
        <v>142</v>
      </c>
      <c r="E314" s="15" t="s">
        <v>199</v>
      </c>
      <c r="F314" s="17" t="n">
        <v>8</v>
      </c>
      <c r="G314" s="17" t="n">
        <v>2270</v>
      </c>
      <c r="H314" s="17" t="n">
        <v>19.8</v>
      </c>
      <c r="I314" s="17" t="n">
        <v>14564.32</v>
      </c>
      <c r="J314" s="15" t="s">
        <v>104</v>
      </c>
      <c r="K314" s="15" t="s">
        <v>144</v>
      </c>
    </row>
    <row r="315" customFormat="false" ht="14.25" hidden="false" customHeight="false" outlineLevel="0" collapsed="false">
      <c r="A315" s="15" t="s">
        <v>702</v>
      </c>
      <c r="B315" s="16" t="n">
        <v>45508</v>
      </c>
      <c r="C315" s="15" t="s">
        <v>626</v>
      </c>
      <c r="D315" s="15" t="s">
        <v>178</v>
      </c>
      <c r="E315" s="15" t="s">
        <v>143</v>
      </c>
      <c r="F315" s="17" t="n">
        <v>10</v>
      </c>
      <c r="G315" s="17" t="n">
        <v>2480</v>
      </c>
      <c r="H315" s="17" t="n">
        <v>24.4</v>
      </c>
      <c r="I315" s="17" t="n">
        <v>18748.8</v>
      </c>
      <c r="J315" s="15" t="s">
        <v>104</v>
      </c>
      <c r="K315" s="15" t="s">
        <v>123</v>
      </c>
    </row>
    <row r="316" customFormat="false" ht="14.25" hidden="false" customHeight="false" outlineLevel="0" collapsed="false">
      <c r="A316" s="15" t="s">
        <v>703</v>
      </c>
      <c r="B316" s="16" t="n">
        <v>45481</v>
      </c>
      <c r="C316" s="15" t="s">
        <v>141</v>
      </c>
      <c r="D316" s="15" t="s">
        <v>287</v>
      </c>
      <c r="E316" s="15" t="s">
        <v>109</v>
      </c>
      <c r="F316" s="17" t="n">
        <v>8</v>
      </c>
      <c r="G316" s="17" t="n">
        <v>3020</v>
      </c>
      <c r="H316" s="17" t="n">
        <v>15.2</v>
      </c>
      <c r="I316" s="17" t="n">
        <v>20487.68</v>
      </c>
      <c r="J316" s="15" t="s">
        <v>104</v>
      </c>
      <c r="K316" s="15" t="s">
        <v>144</v>
      </c>
    </row>
    <row r="317" customFormat="false" ht="14.25" hidden="false" customHeight="false" outlineLevel="0" collapsed="false">
      <c r="A317" s="15" t="s">
        <v>704</v>
      </c>
      <c r="B317" s="16" t="n">
        <v>45517</v>
      </c>
      <c r="C317" s="15" t="s">
        <v>339</v>
      </c>
      <c r="D317" s="15" t="s">
        <v>270</v>
      </c>
      <c r="E317" s="15" t="s">
        <v>132</v>
      </c>
      <c r="F317" s="17" t="n">
        <v>10</v>
      </c>
      <c r="G317" s="17" t="n">
        <v>1540</v>
      </c>
      <c r="H317" s="17" t="n">
        <v>0.6</v>
      </c>
      <c r="I317" s="17" t="n">
        <v>15307.6</v>
      </c>
      <c r="J317" s="15" t="s">
        <v>98</v>
      </c>
      <c r="K317" s="15" t="s">
        <v>105</v>
      </c>
    </row>
    <row r="318" customFormat="false" ht="14.25" hidden="false" customHeight="false" outlineLevel="0" collapsed="false">
      <c r="A318" s="15" t="s">
        <v>705</v>
      </c>
      <c r="B318" s="16" t="n">
        <v>45632</v>
      </c>
      <c r="C318" s="15" t="s">
        <v>501</v>
      </c>
      <c r="D318" s="15" t="s">
        <v>117</v>
      </c>
      <c r="E318" s="15" t="s">
        <v>226</v>
      </c>
      <c r="F318" s="17" t="n">
        <v>7</v>
      </c>
      <c r="G318" s="17" t="n">
        <v>3160</v>
      </c>
      <c r="H318" s="17" t="n">
        <v>8.9</v>
      </c>
      <c r="I318" s="17" t="n">
        <v>20151.32</v>
      </c>
      <c r="J318" s="15" t="s">
        <v>98</v>
      </c>
      <c r="K318" s="15" t="s">
        <v>110</v>
      </c>
    </row>
    <row r="319" customFormat="false" ht="14.25" hidden="false" customHeight="false" outlineLevel="0" collapsed="false">
      <c r="A319" s="15" t="s">
        <v>706</v>
      </c>
      <c r="B319" s="16" t="n">
        <v>45592</v>
      </c>
      <c r="C319" s="15" t="s">
        <v>221</v>
      </c>
      <c r="D319" s="15" t="s">
        <v>193</v>
      </c>
      <c r="E319" s="15" t="s">
        <v>263</v>
      </c>
      <c r="F319" s="17" t="n">
        <v>6</v>
      </c>
      <c r="G319" s="17" t="n">
        <v>1010</v>
      </c>
      <c r="H319" s="17" t="n">
        <v>12.9</v>
      </c>
      <c r="I319" s="17" t="n">
        <v>5278.26</v>
      </c>
      <c r="J319" s="15" t="s">
        <v>98</v>
      </c>
      <c r="K319" s="15" t="s">
        <v>110</v>
      </c>
    </row>
    <row r="320" customFormat="false" ht="14.25" hidden="false" customHeight="false" outlineLevel="0" collapsed="false">
      <c r="A320" s="15" t="s">
        <v>707</v>
      </c>
      <c r="B320" s="16" t="n">
        <v>45450</v>
      </c>
      <c r="C320" s="15" t="s">
        <v>708</v>
      </c>
      <c r="D320" s="15" t="s">
        <v>281</v>
      </c>
      <c r="E320" s="15" t="s">
        <v>203</v>
      </c>
      <c r="F320" s="17" t="n">
        <v>4</v>
      </c>
      <c r="G320" s="17" t="n">
        <v>4610</v>
      </c>
      <c r="H320" s="17" t="n">
        <v>18.2</v>
      </c>
      <c r="I320" s="17" t="n">
        <v>15083.92</v>
      </c>
      <c r="J320" s="15" t="s">
        <v>98</v>
      </c>
      <c r="K320" s="15" t="s">
        <v>144</v>
      </c>
    </row>
    <row r="321" customFormat="false" ht="14.25" hidden="false" customHeight="false" outlineLevel="0" collapsed="false">
      <c r="A321" s="15" t="s">
        <v>709</v>
      </c>
      <c r="B321" s="16" t="n">
        <v>45343</v>
      </c>
      <c r="C321" s="15" t="s">
        <v>274</v>
      </c>
      <c r="D321" s="15" t="s">
        <v>362</v>
      </c>
      <c r="E321" s="15" t="s">
        <v>240</v>
      </c>
      <c r="F321" s="17" t="n">
        <v>6</v>
      </c>
      <c r="G321" s="17" t="n">
        <v>4060</v>
      </c>
      <c r="H321" s="17" t="n">
        <v>24.3</v>
      </c>
      <c r="I321" s="17" t="n">
        <v>18440.52</v>
      </c>
      <c r="J321" s="15" t="s">
        <v>98</v>
      </c>
      <c r="K321" s="15" t="s">
        <v>144</v>
      </c>
    </row>
    <row r="322" customFormat="false" ht="14.25" hidden="false" customHeight="false" outlineLevel="0" collapsed="false">
      <c r="A322" s="15" t="s">
        <v>710</v>
      </c>
      <c r="B322" s="16" t="n">
        <v>45509</v>
      </c>
      <c r="C322" s="15" t="s">
        <v>711</v>
      </c>
      <c r="D322" s="15" t="s">
        <v>303</v>
      </c>
      <c r="E322" s="15" t="s">
        <v>226</v>
      </c>
      <c r="F322" s="17" t="n">
        <v>5</v>
      </c>
      <c r="G322" s="17" t="n">
        <v>620</v>
      </c>
      <c r="H322" s="17" t="n">
        <v>10.7</v>
      </c>
      <c r="I322" s="17" t="n">
        <v>2768.3</v>
      </c>
      <c r="J322" s="15" t="s">
        <v>155</v>
      </c>
      <c r="K322" s="15" t="s">
        <v>105</v>
      </c>
    </row>
    <row r="323" customFormat="false" ht="14.25" hidden="false" customHeight="false" outlineLevel="0" collapsed="false">
      <c r="A323" s="15" t="s">
        <v>712</v>
      </c>
      <c r="B323" s="16" t="n">
        <v>45513</v>
      </c>
      <c r="C323" s="15" t="s">
        <v>465</v>
      </c>
      <c r="D323" s="15" t="s">
        <v>670</v>
      </c>
      <c r="E323" s="15" t="s">
        <v>159</v>
      </c>
      <c r="F323" s="17" t="n">
        <v>3</v>
      </c>
      <c r="G323" s="17" t="n">
        <v>3560</v>
      </c>
      <c r="H323" s="17" t="n">
        <v>4.1</v>
      </c>
      <c r="I323" s="17" t="n">
        <v>10242.12</v>
      </c>
      <c r="J323" s="15" t="s">
        <v>98</v>
      </c>
      <c r="K323" s="15" t="s">
        <v>144</v>
      </c>
    </row>
    <row r="324" customFormat="false" ht="14.25" hidden="false" customHeight="false" outlineLevel="0" collapsed="false">
      <c r="A324" s="15" t="s">
        <v>713</v>
      </c>
      <c r="B324" s="16" t="n">
        <v>45500</v>
      </c>
      <c r="C324" s="15" t="s">
        <v>714</v>
      </c>
      <c r="D324" s="15" t="s">
        <v>162</v>
      </c>
      <c r="E324" s="15" t="s">
        <v>336</v>
      </c>
      <c r="F324" s="17" t="n">
        <v>2</v>
      </c>
      <c r="G324" s="17" t="n">
        <v>2400</v>
      </c>
      <c r="H324" s="17" t="n">
        <v>13</v>
      </c>
      <c r="I324" s="17" t="n">
        <v>4176</v>
      </c>
      <c r="J324" s="15" t="s">
        <v>98</v>
      </c>
      <c r="K324" s="15" t="s">
        <v>99</v>
      </c>
    </row>
    <row r="325" customFormat="false" ht="14.25" hidden="false" customHeight="false" outlineLevel="0" collapsed="false">
      <c r="A325" s="15" t="s">
        <v>715</v>
      </c>
      <c r="B325" s="16" t="n">
        <v>45407</v>
      </c>
      <c r="C325" s="15" t="s">
        <v>716</v>
      </c>
      <c r="D325" s="15" t="s">
        <v>526</v>
      </c>
      <c r="E325" s="15" t="s">
        <v>114</v>
      </c>
      <c r="F325" s="17" t="n">
        <v>9</v>
      </c>
      <c r="G325" s="17" t="n">
        <v>6940</v>
      </c>
      <c r="H325" s="17" t="n">
        <v>26.2</v>
      </c>
      <c r="I325" s="17" t="n">
        <v>46095.48</v>
      </c>
      <c r="J325" s="15" t="s">
        <v>98</v>
      </c>
      <c r="K325" s="15" t="s">
        <v>110</v>
      </c>
    </row>
    <row r="326" customFormat="false" ht="14.25" hidden="false" customHeight="false" outlineLevel="0" collapsed="false">
      <c r="A326" s="15" t="s">
        <v>717</v>
      </c>
      <c r="B326" s="16" t="n">
        <v>45385</v>
      </c>
      <c r="C326" s="15" t="s">
        <v>718</v>
      </c>
      <c r="D326" s="15" t="s">
        <v>378</v>
      </c>
      <c r="E326" s="15" t="s">
        <v>122</v>
      </c>
      <c r="F326" s="17" t="n">
        <v>9</v>
      </c>
      <c r="G326" s="17" t="n">
        <v>2380</v>
      </c>
      <c r="H326" s="17" t="n">
        <v>22.7</v>
      </c>
      <c r="I326" s="17" t="n">
        <v>16557.66</v>
      </c>
      <c r="J326" s="15" t="s">
        <v>98</v>
      </c>
      <c r="K326" s="15" t="s">
        <v>123</v>
      </c>
    </row>
    <row r="327" customFormat="false" ht="14.25" hidden="false" customHeight="false" outlineLevel="0" collapsed="false">
      <c r="A327" s="15" t="s">
        <v>719</v>
      </c>
      <c r="B327" s="16" t="n">
        <v>45542</v>
      </c>
      <c r="C327" s="15" t="s">
        <v>277</v>
      </c>
      <c r="D327" s="15" t="s">
        <v>96</v>
      </c>
      <c r="E327" s="15" t="s">
        <v>139</v>
      </c>
      <c r="F327" s="17" t="n">
        <v>6</v>
      </c>
      <c r="G327" s="17" t="n">
        <v>3620</v>
      </c>
      <c r="H327" s="17" t="n">
        <v>9.2</v>
      </c>
      <c r="I327" s="17" t="n">
        <v>19721.76</v>
      </c>
      <c r="J327" s="15" t="s">
        <v>98</v>
      </c>
      <c r="K327" s="15" t="s">
        <v>110</v>
      </c>
    </row>
    <row r="328" customFormat="false" ht="14.25" hidden="false" customHeight="false" outlineLevel="0" collapsed="false">
      <c r="A328" s="15" t="s">
        <v>720</v>
      </c>
      <c r="B328" s="16" t="n">
        <v>45422</v>
      </c>
      <c r="C328" s="15" t="s">
        <v>465</v>
      </c>
      <c r="D328" s="15" t="s">
        <v>252</v>
      </c>
      <c r="E328" s="15" t="s">
        <v>150</v>
      </c>
      <c r="F328" s="17" t="n">
        <v>1</v>
      </c>
      <c r="G328" s="17" t="n">
        <v>6080</v>
      </c>
      <c r="H328" s="17" t="n">
        <v>29.4</v>
      </c>
      <c r="I328" s="17" t="n">
        <v>4292.48</v>
      </c>
      <c r="J328" s="15" t="s">
        <v>151</v>
      </c>
      <c r="K328" s="15" t="s">
        <v>144</v>
      </c>
    </row>
    <row r="329" customFormat="false" ht="14.25" hidden="false" customHeight="false" outlineLevel="0" collapsed="false">
      <c r="A329" s="15" t="s">
        <v>721</v>
      </c>
      <c r="B329" s="16" t="n">
        <v>45343</v>
      </c>
      <c r="C329" s="15" t="s">
        <v>691</v>
      </c>
      <c r="D329" s="15" t="s">
        <v>102</v>
      </c>
      <c r="E329" s="15" t="s">
        <v>314</v>
      </c>
      <c r="F329" s="17" t="n">
        <v>6</v>
      </c>
      <c r="G329" s="17" t="n">
        <v>820</v>
      </c>
      <c r="H329" s="17" t="n">
        <v>29.1</v>
      </c>
      <c r="I329" s="17" t="n">
        <v>3488.28</v>
      </c>
      <c r="J329" s="15" t="s">
        <v>98</v>
      </c>
      <c r="K329" s="15" t="s">
        <v>105</v>
      </c>
    </row>
    <row r="330" customFormat="false" ht="14.25" hidden="false" customHeight="false" outlineLevel="0" collapsed="false">
      <c r="A330" s="15" t="s">
        <v>722</v>
      </c>
      <c r="B330" s="16" t="n">
        <v>45646</v>
      </c>
      <c r="C330" s="15" t="s">
        <v>723</v>
      </c>
      <c r="D330" s="15" t="s">
        <v>287</v>
      </c>
      <c r="E330" s="15" t="s">
        <v>127</v>
      </c>
      <c r="F330" s="17" t="n">
        <v>9</v>
      </c>
      <c r="G330" s="17" t="n">
        <v>3020</v>
      </c>
      <c r="H330" s="17" t="n">
        <v>7.9</v>
      </c>
      <c r="I330" s="17" t="n">
        <v>25032.78</v>
      </c>
      <c r="J330" s="15" t="s">
        <v>98</v>
      </c>
      <c r="K330" s="15" t="s">
        <v>123</v>
      </c>
    </row>
    <row r="331" customFormat="false" ht="14.25" hidden="false" customHeight="false" outlineLevel="0" collapsed="false">
      <c r="A331" s="15" t="s">
        <v>724</v>
      </c>
      <c r="B331" s="16" t="n">
        <v>45645</v>
      </c>
      <c r="C331" s="15" t="s">
        <v>725</v>
      </c>
      <c r="D331" s="15" t="s">
        <v>259</v>
      </c>
      <c r="E331" s="15" t="s">
        <v>240</v>
      </c>
      <c r="F331" s="17" t="n">
        <v>8</v>
      </c>
      <c r="G331" s="17" t="n">
        <v>3870</v>
      </c>
      <c r="H331" s="17" t="n">
        <v>11.9</v>
      </c>
      <c r="I331" s="17" t="n">
        <v>27275.76</v>
      </c>
      <c r="J331" s="15" t="s">
        <v>98</v>
      </c>
      <c r="K331" s="15" t="s">
        <v>110</v>
      </c>
    </row>
    <row r="332" customFormat="false" ht="14.25" hidden="false" customHeight="false" outlineLevel="0" collapsed="false">
      <c r="A332" s="15" t="s">
        <v>726</v>
      </c>
      <c r="B332" s="16" t="n">
        <v>45528</v>
      </c>
      <c r="C332" s="15" t="s">
        <v>451</v>
      </c>
      <c r="D332" s="15" t="s">
        <v>168</v>
      </c>
      <c r="E332" s="15" t="s">
        <v>181</v>
      </c>
      <c r="F332" s="17" t="n">
        <v>6</v>
      </c>
      <c r="G332" s="17" t="n">
        <v>3450</v>
      </c>
      <c r="H332" s="17" t="n">
        <v>13.9</v>
      </c>
      <c r="I332" s="17" t="n">
        <v>17822.7</v>
      </c>
      <c r="J332" s="15" t="s">
        <v>98</v>
      </c>
      <c r="K332" s="15" t="s">
        <v>99</v>
      </c>
    </row>
    <row r="333" customFormat="false" ht="14.25" hidden="false" customHeight="false" outlineLevel="0" collapsed="false">
      <c r="A333" s="15" t="s">
        <v>727</v>
      </c>
      <c r="B333" s="16" t="n">
        <v>45655</v>
      </c>
      <c r="C333" s="15" t="s">
        <v>728</v>
      </c>
      <c r="D333" s="15" t="s">
        <v>202</v>
      </c>
      <c r="E333" s="15" t="s">
        <v>118</v>
      </c>
      <c r="F333" s="17" t="n">
        <v>9</v>
      </c>
      <c r="G333" s="17" t="n">
        <v>5100</v>
      </c>
      <c r="H333" s="17" t="n">
        <v>2.1</v>
      </c>
      <c r="I333" s="17" t="n">
        <v>44936.1</v>
      </c>
      <c r="J333" s="15" t="s">
        <v>98</v>
      </c>
      <c r="K333" s="15" t="s">
        <v>105</v>
      </c>
    </row>
    <row r="334" customFormat="false" ht="14.25" hidden="false" customHeight="false" outlineLevel="0" collapsed="false">
      <c r="A334" s="15" t="s">
        <v>729</v>
      </c>
      <c r="B334" s="16" t="n">
        <v>45518</v>
      </c>
      <c r="C334" s="15" t="s">
        <v>410</v>
      </c>
      <c r="D334" s="15" t="s">
        <v>275</v>
      </c>
      <c r="E334" s="15" t="s">
        <v>118</v>
      </c>
      <c r="F334" s="17" t="n">
        <v>2</v>
      </c>
      <c r="G334" s="17" t="n">
        <v>4070</v>
      </c>
      <c r="H334" s="17" t="n">
        <v>28.6</v>
      </c>
      <c r="I334" s="17" t="n">
        <v>5811.96</v>
      </c>
      <c r="J334" s="15" t="s">
        <v>98</v>
      </c>
      <c r="K334" s="15" t="s">
        <v>110</v>
      </c>
    </row>
    <row r="335" customFormat="false" ht="14.25" hidden="false" customHeight="false" outlineLevel="0" collapsed="false">
      <c r="A335" s="15" t="s">
        <v>730</v>
      </c>
      <c r="B335" s="16" t="n">
        <v>45339</v>
      </c>
      <c r="C335" s="15" t="s">
        <v>687</v>
      </c>
      <c r="D335" s="15" t="s">
        <v>375</v>
      </c>
      <c r="E335" s="15" t="s">
        <v>97</v>
      </c>
      <c r="F335" s="17" t="n">
        <v>9</v>
      </c>
      <c r="G335" s="17" t="n">
        <v>5330</v>
      </c>
      <c r="H335" s="17" t="n">
        <v>6.2</v>
      </c>
      <c r="I335" s="17" t="n">
        <v>44995.86</v>
      </c>
      <c r="J335" s="15" t="s">
        <v>98</v>
      </c>
      <c r="K335" s="15" t="s">
        <v>99</v>
      </c>
    </row>
    <row r="336" customFormat="false" ht="14.25" hidden="false" customHeight="false" outlineLevel="0" collapsed="false">
      <c r="A336" s="15" t="s">
        <v>674</v>
      </c>
      <c r="B336" s="16" t="n">
        <v>45319</v>
      </c>
      <c r="C336" s="15" t="s">
        <v>731</v>
      </c>
      <c r="D336" s="15" t="s">
        <v>142</v>
      </c>
      <c r="E336" s="15" t="s">
        <v>203</v>
      </c>
      <c r="F336" s="17" t="n">
        <v>6</v>
      </c>
      <c r="G336" s="17" t="n">
        <v>2270</v>
      </c>
      <c r="H336" s="17" t="n">
        <v>23.7</v>
      </c>
      <c r="I336" s="17" t="n">
        <v>10392.06</v>
      </c>
      <c r="J336" s="15" t="s">
        <v>98</v>
      </c>
      <c r="K336" s="15" t="s">
        <v>732</v>
      </c>
    </row>
    <row r="337" customFormat="false" ht="14.25" hidden="false" customHeight="false" outlineLevel="0" collapsed="false">
      <c r="A337" s="15" t="s">
        <v>733</v>
      </c>
      <c r="B337" s="16" t="n">
        <v>45618</v>
      </c>
      <c r="C337" s="15" t="s">
        <v>153</v>
      </c>
      <c r="D337" s="15" t="s">
        <v>366</v>
      </c>
      <c r="E337" s="15" t="s">
        <v>127</v>
      </c>
      <c r="F337" s="17" t="n">
        <v>5</v>
      </c>
      <c r="G337" s="17" t="n">
        <v>2510</v>
      </c>
      <c r="H337" s="17" t="n">
        <v>25</v>
      </c>
      <c r="I337" s="17" t="n">
        <v>9412.5</v>
      </c>
      <c r="J337" s="15" t="s">
        <v>98</v>
      </c>
      <c r="K337" s="15" t="s">
        <v>99</v>
      </c>
    </row>
    <row r="338" customFormat="false" ht="14.25" hidden="false" customHeight="false" outlineLevel="0" collapsed="false">
      <c r="A338" s="15" t="s">
        <v>734</v>
      </c>
      <c r="B338" s="16" t="n">
        <v>45335</v>
      </c>
      <c r="C338" s="15" t="s">
        <v>637</v>
      </c>
      <c r="D338" s="15" t="s">
        <v>378</v>
      </c>
      <c r="E338" s="15" t="s">
        <v>132</v>
      </c>
      <c r="F338" s="17" t="n">
        <v>9</v>
      </c>
      <c r="G338" s="17" t="n">
        <v>2380</v>
      </c>
      <c r="H338" s="17" t="n">
        <v>16.8</v>
      </c>
      <c r="I338" s="17" t="n">
        <v>17821.44</v>
      </c>
      <c r="J338" s="15" t="s">
        <v>98</v>
      </c>
      <c r="K338" s="15" t="s">
        <v>110</v>
      </c>
    </row>
    <row r="339" customFormat="false" ht="14.25" hidden="false" customHeight="false" outlineLevel="0" collapsed="false">
      <c r="A339" s="15" t="s">
        <v>735</v>
      </c>
      <c r="B339" s="16" t="n">
        <v>45420</v>
      </c>
      <c r="C339" s="15" t="s">
        <v>736</v>
      </c>
      <c r="D339" s="15" t="s">
        <v>463</v>
      </c>
      <c r="E339" s="15" t="s">
        <v>118</v>
      </c>
      <c r="F339" s="17" t="n">
        <v>1</v>
      </c>
      <c r="G339" s="17" t="n">
        <v>3450</v>
      </c>
      <c r="H339" s="17" t="n">
        <v>1.5</v>
      </c>
      <c r="I339" s="17" t="n">
        <v>3398.25</v>
      </c>
      <c r="J339" s="15" t="s">
        <v>155</v>
      </c>
      <c r="K339" s="15" t="s">
        <v>110</v>
      </c>
    </row>
    <row r="340" customFormat="false" ht="14.25" hidden="false" customHeight="false" outlineLevel="0" collapsed="false">
      <c r="A340" s="15" t="s">
        <v>737</v>
      </c>
      <c r="B340" s="16" t="n">
        <v>45295</v>
      </c>
      <c r="C340" s="15" t="s">
        <v>130</v>
      </c>
      <c r="D340" s="15" t="s">
        <v>198</v>
      </c>
      <c r="E340" s="15" t="s">
        <v>308</v>
      </c>
      <c r="F340" s="17" t="n">
        <v>5</v>
      </c>
      <c r="G340" s="17" t="n">
        <v>3570</v>
      </c>
      <c r="H340" s="17" t="n">
        <v>12.8</v>
      </c>
      <c r="I340" s="17" t="n">
        <v>15565.2</v>
      </c>
      <c r="J340" s="15" t="s">
        <v>98</v>
      </c>
      <c r="K340" s="15" t="s">
        <v>128</v>
      </c>
    </row>
    <row r="341" customFormat="false" ht="14.25" hidden="false" customHeight="false" outlineLevel="0" collapsed="false">
      <c r="A341" s="15" t="s">
        <v>738</v>
      </c>
      <c r="B341" s="16" t="n">
        <v>45590</v>
      </c>
      <c r="C341" s="15" t="s">
        <v>267</v>
      </c>
      <c r="D341" s="15" t="s">
        <v>375</v>
      </c>
      <c r="E341" s="15" t="s">
        <v>240</v>
      </c>
      <c r="F341" s="17" t="n">
        <v>3</v>
      </c>
      <c r="G341" s="17" t="n">
        <v>5330</v>
      </c>
      <c r="H341" s="17" t="n">
        <v>16.2</v>
      </c>
      <c r="I341" s="17" t="n">
        <v>13399.62</v>
      </c>
      <c r="J341" s="15" t="s">
        <v>98</v>
      </c>
      <c r="K341" s="15" t="s">
        <v>144</v>
      </c>
    </row>
    <row r="342" customFormat="false" ht="14.25" hidden="false" customHeight="false" outlineLevel="0" collapsed="false">
      <c r="A342" s="15" t="s">
        <v>739</v>
      </c>
      <c r="B342" s="16" t="n">
        <v>45341</v>
      </c>
      <c r="C342" s="15" t="s">
        <v>740</v>
      </c>
      <c r="D342" s="15" t="s">
        <v>113</v>
      </c>
      <c r="E342" s="15" t="s">
        <v>354</v>
      </c>
      <c r="F342" s="17" t="n">
        <v>3</v>
      </c>
      <c r="G342" s="17" t="n">
        <v>3660</v>
      </c>
      <c r="H342" s="17" t="n">
        <v>25.3</v>
      </c>
      <c r="I342" s="17" t="n">
        <v>8202.06</v>
      </c>
      <c r="J342" s="15" t="s">
        <v>98</v>
      </c>
      <c r="K342" s="15" t="s">
        <v>123</v>
      </c>
    </row>
    <row r="343" customFormat="false" ht="14.25" hidden="false" customHeight="false" outlineLevel="0" collapsed="false">
      <c r="A343" s="15" t="s">
        <v>741</v>
      </c>
      <c r="B343" s="16" t="n">
        <v>45600</v>
      </c>
      <c r="C343" s="15" t="s">
        <v>684</v>
      </c>
      <c r="D343" s="15" t="s">
        <v>193</v>
      </c>
      <c r="E343" s="15" t="s">
        <v>199</v>
      </c>
      <c r="F343" s="17" t="n">
        <v>2</v>
      </c>
      <c r="G343" s="17" t="n">
        <v>1010</v>
      </c>
      <c r="H343" s="17" t="n">
        <v>29.2</v>
      </c>
      <c r="I343" s="17" t="n">
        <v>1430.16</v>
      </c>
      <c r="J343" s="15" t="s">
        <v>98</v>
      </c>
      <c r="K343" s="15" t="s">
        <v>123</v>
      </c>
    </row>
    <row r="344" customFormat="false" ht="14.25" hidden="false" customHeight="false" outlineLevel="0" collapsed="false">
      <c r="A344" s="15" t="s">
        <v>742</v>
      </c>
      <c r="B344" s="16" t="n">
        <v>45506</v>
      </c>
      <c r="C344" s="15" t="s">
        <v>606</v>
      </c>
      <c r="D344" s="15" t="s">
        <v>175</v>
      </c>
      <c r="E344" s="15" t="s">
        <v>199</v>
      </c>
      <c r="F344" s="17" t="n">
        <v>1</v>
      </c>
      <c r="G344" s="17" t="n">
        <v>1080</v>
      </c>
      <c r="H344" s="17" t="n">
        <v>1.8</v>
      </c>
      <c r="I344" s="17" t="n">
        <v>1060.56</v>
      </c>
      <c r="J344" s="15" t="s">
        <v>98</v>
      </c>
      <c r="K344" s="15" t="s">
        <v>110</v>
      </c>
    </row>
    <row r="345" customFormat="false" ht="14.25" hidden="false" customHeight="false" outlineLevel="0" collapsed="false">
      <c r="A345" s="15" t="s">
        <v>743</v>
      </c>
      <c r="B345" s="16" t="n">
        <v>45414</v>
      </c>
      <c r="C345" s="15" t="s">
        <v>424</v>
      </c>
      <c r="D345" s="15" t="s">
        <v>172</v>
      </c>
      <c r="E345" s="15" t="s">
        <v>143</v>
      </c>
      <c r="F345" s="17" t="n">
        <v>8</v>
      </c>
      <c r="G345" s="17" t="n">
        <v>3450</v>
      </c>
      <c r="H345" s="17" t="n">
        <v>20.4</v>
      </c>
      <c r="I345" s="17" t="n">
        <v>21969.6</v>
      </c>
      <c r="J345" s="15" t="s">
        <v>98</v>
      </c>
      <c r="K345" s="15" t="s">
        <v>99</v>
      </c>
    </row>
    <row r="346" customFormat="false" ht="14.25" hidden="false" customHeight="false" outlineLevel="0" collapsed="false">
      <c r="A346" s="15" t="s">
        <v>744</v>
      </c>
      <c r="B346" s="16" t="n">
        <v>45553</v>
      </c>
      <c r="C346" s="15" t="s">
        <v>382</v>
      </c>
      <c r="D346" s="15" t="s">
        <v>526</v>
      </c>
      <c r="E346" s="15" t="s">
        <v>199</v>
      </c>
      <c r="F346" s="17" t="n">
        <v>8</v>
      </c>
      <c r="G346" s="17" t="n">
        <v>6940</v>
      </c>
      <c r="H346" s="17" t="n">
        <v>19.4</v>
      </c>
      <c r="I346" s="17" t="n">
        <v>44749.12</v>
      </c>
      <c r="J346" s="15" t="s">
        <v>98</v>
      </c>
      <c r="K346" s="15" t="s">
        <v>123</v>
      </c>
    </row>
    <row r="347" customFormat="false" ht="14.25" hidden="false" customHeight="false" outlineLevel="0" collapsed="false">
      <c r="A347" s="15" t="s">
        <v>745</v>
      </c>
      <c r="B347" s="16" t="n">
        <v>45434</v>
      </c>
      <c r="C347" s="15" t="s">
        <v>746</v>
      </c>
      <c r="D347" s="15" t="s">
        <v>270</v>
      </c>
      <c r="E347" s="15" t="s">
        <v>159</v>
      </c>
      <c r="F347" s="17" t="n">
        <v>2</v>
      </c>
      <c r="G347" s="17" t="n">
        <v>1540</v>
      </c>
      <c r="H347" s="17" t="n">
        <v>9.3</v>
      </c>
      <c r="I347" s="17" t="n">
        <v>2793.56</v>
      </c>
      <c r="J347" s="15" t="s">
        <v>98</v>
      </c>
      <c r="K347" s="15" t="s">
        <v>99</v>
      </c>
    </row>
    <row r="348" customFormat="false" ht="14.25" hidden="false" customHeight="false" outlineLevel="0" collapsed="false">
      <c r="A348" s="15" t="s">
        <v>747</v>
      </c>
      <c r="B348" s="16" t="n">
        <v>45446</v>
      </c>
      <c r="C348" s="15" t="s">
        <v>208</v>
      </c>
      <c r="D348" s="15" t="s">
        <v>146</v>
      </c>
      <c r="E348" s="15" t="s">
        <v>199</v>
      </c>
      <c r="F348" s="17" t="n">
        <v>4</v>
      </c>
      <c r="G348" s="17" t="n">
        <v>2640</v>
      </c>
      <c r="H348" s="17" t="n">
        <v>23.2</v>
      </c>
      <c r="I348" s="17" t="n">
        <v>8110.08</v>
      </c>
      <c r="J348" s="15" t="s">
        <v>155</v>
      </c>
      <c r="K348" s="15" t="s">
        <v>99</v>
      </c>
    </row>
    <row r="349" customFormat="false" ht="14.25" hidden="false" customHeight="false" outlineLevel="0" collapsed="false">
      <c r="A349" s="15" t="s">
        <v>748</v>
      </c>
      <c r="B349" s="16" t="n">
        <v>45626</v>
      </c>
      <c r="C349" s="15" t="s">
        <v>749</v>
      </c>
      <c r="D349" s="15" t="s">
        <v>371</v>
      </c>
      <c r="E349" s="15" t="s">
        <v>127</v>
      </c>
      <c r="F349" s="17" t="n">
        <v>6</v>
      </c>
      <c r="G349" s="17" t="n">
        <v>5410</v>
      </c>
      <c r="H349" s="17" t="n">
        <v>29.4</v>
      </c>
      <c r="I349" s="17" t="n">
        <v>22916.76</v>
      </c>
      <c r="J349" s="15" t="s">
        <v>98</v>
      </c>
      <c r="K349" s="15" t="s">
        <v>99</v>
      </c>
    </row>
    <row r="350" customFormat="false" ht="14.25" hidden="false" customHeight="false" outlineLevel="0" collapsed="false">
      <c r="A350" s="15" t="s">
        <v>750</v>
      </c>
      <c r="B350" s="16" t="n">
        <v>45459</v>
      </c>
      <c r="C350" s="15" t="s">
        <v>368</v>
      </c>
      <c r="D350" s="15" t="s">
        <v>198</v>
      </c>
      <c r="E350" s="15" t="s">
        <v>354</v>
      </c>
      <c r="F350" s="17" t="n">
        <v>1</v>
      </c>
      <c r="G350" s="17" t="n">
        <v>3570</v>
      </c>
      <c r="H350" s="17" t="n">
        <v>4.3</v>
      </c>
      <c r="I350" s="17" t="n">
        <v>3416.49</v>
      </c>
      <c r="J350" s="15" t="s">
        <v>98</v>
      </c>
      <c r="K350" s="15" t="s">
        <v>110</v>
      </c>
    </row>
    <row r="351" customFormat="false" ht="14.25" hidden="false" customHeight="false" outlineLevel="0" collapsed="false">
      <c r="A351" s="15" t="s">
        <v>751</v>
      </c>
      <c r="B351" s="16" t="n">
        <v>45520</v>
      </c>
      <c r="C351" s="15" t="s">
        <v>752</v>
      </c>
      <c r="D351" s="15" t="s">
        <v>121</v>
      </c>
      <c r="E351" s="15" t="s">
        <v>139</v>
      </c>
      <c r="F351" s="17" t="n">
        <v>2</v>
      </c>
      <c r="G351" s="17" t="n">
        <v>370</v>
      </c>
      <c r="H351" s="17" t="n">
        <v>7.2</v>
      </c>
      <c r="I351" s="17" t="n">
        <v>686.72</v>
      </c>
      <c r="J351" s="15" t="s">
        <v>98</v>
      </c>
      <c r="K351" s="15" t="s">
        <v>144</v>
      </c>
    </row>
    <row r="352" customFormat="false" ht="14.25" hidden="false" customHeight="false" outlineLevel="0" collapsed="false">
      <c r="A352" s="15" t="s">
        <v>753</v>
      </c>
      <c r="B352" s="16" t="n">
        <v>45314</v>
      </c>
      <c r="C352" s="15" t="s">
        <v>608</v>
      </c>
      <c r="D352" s="15" t="s">
        <v>366</v>
      </c>
      <c r="E352" s="15" t="s">
        <v>249</v>
      </c>
      <c r="F352" s="17" t="n">
        <v>1</v>
      </c>
      <c r="G352" s="17" t="n">
        <v>2510</v>
      </c>
      <c r="H352" s="17" t="n">
        <v>2.4</v>
      </c>
      <c r="I352" s="17" t="n">
        <v>2449.76</v>
      </c>
      <c r="J352" s="15" t="s">
        <v>98</v>
      </c>
      <c r="K352" s="15" t="s">
        <v>123</v>
      </c>
    </row>
    <row r="353" customFormat="false" ht="14.25" hidden="false" customHeight="false" outlineLevel="0" collapsed="false">
      <c r="A353" s="15" t="s">
        <v>754</v>
      </c>
      <c r="B353" s="16" t="n">
        <v>45480</v>
      </c>
      <c r="C353" s="15" t="s">
        <v>755</v>
      </c>
      <c r="D353" s="15" t="s">
        <v>248</v>
      </c>
      <c r="E353" s="15" t="s">
        <v>296</v>
      </c>
      <c r="F353" s="17" t="n">
        <v>8</v>
      </c>
      <c r="G353" s="17" t="n">
        <v>3640</v>
      </c>
      <c r="H353" s="17" t="n">
        <v>28.7</v>
      </c>
      <c r="I353" s="17" t="n">
        <v>20762.56</v>
      </c>
      <c r="J353" s="15" t="s">
        <v>104</v>
      </c>
      <c r="K353" s="15" t="s">
        <v>144</v>
      </c>
    </row>
    <row r="354" customFormat="false" ht="14.25" hidden="false" customHeight="false" outlineLevel="0" collapsed="false">
      <c r="A354" s="15" t="s">
        <v>756</v>
      </c>
      <c r="B354" s="16" t="n">
        <v>45520</v>
      </c>
      <c r="C354" s="15" t="s">
        <v>197</v>
      </c>
      <c r="D354" s="15" t="s">
        <v>187</v>
      </c>
      <c r="E354" s="15" t="s">
        <v>240</v>
      </c>
      <c r="F354" s="17" t="n">
        <v>5</v>
      </c>
      <c r="G354" s="17" t="n">
        <v>1650</v>
      </c>
      <c r="H354" s="17" t="n">
        <v>13.4</v>
      </c>
      <c r="I354" s="17" t="n">
        <v>7144.5</v>
      </c>
      <c r="J354" s="15" t="s">
        <v>104</v>
      </c>
      <c r="K354" s="15" t="s">
        <v>105</v>
      </c>
    </row>
    <row r="355" customFormat="false" ht="14.25" hidden="false" customHeight="false" outlineLevel="0" collapsed="false">
      <c r="A355" s="15" t="s">
        <v>757</v>
      </c>
      <c r="B355" s="16" t="n">
        <v>45360</v>
      </c>
      <c r="C355" s="15" t="s">
        <v>364</v>
      </c>
      <c r="D355" s="15" t="s">
        <v>391</v>
      </c>
      <c r="E355" s="15" t="s">
        <v>127</v>
      </c>
      <c r="F355" s="17" t="n">
        <v>9</v>
      </c>
      <c r="G355" s="17" t="n">
        <v>960</v>
      </c>
      <c r="H355" s="17" t="n">
        <v>28.6</v>
      </c>
      <c r="I355" s="17" t="n">
        <v>6168.96</v>
      </c>
      <c r="J355" s="15" t="s">
        <v>104</v>
      </c>
      <c r="K355" s="15" t="s">
        <v>105</v>
      </c>
    </row>
    <row r="356" customFormat="false" ht="14.25" hidden="false" customHeight="false" outlineLevel="0" collapsed="false">
      <c r="A356" s="15" t="s">
        <v>758</v>
      </c>
      <c r="B356" s="16" t="n">
        <v>45486</v>
      </c>
      <c r="C356" s="15" t="s">
        <v>242</v>
      </c>
      <c r="D356" s="15" t="s">
        <v>245</v>
      </c>
      <c r="E356" s="15" t="s">
        <v>169</v>
      </c>
      <c r="F356" s="17" t="n">
        <v>4</v>
      </c>
      <c r="G356" s="17" t="n">
        <v>3780</v>
      </c>
      <c r="H356" s="17" t="n">
        <v>25.3</v>
      </c>
      <c r="I356" s="17" t="n">
        <v>11294.64</v>
      </c>
      <c r="J356" s="15" t="s">
        <v>98</v>
      </c>
      <c r="K356" s="15" t="s">
        <v>128</v>
      </c>
    </row>
    <row r="357" customFormat="false" ht="14.25" hidden="false" customHeight="false" outlineLevel="0" collapsed="false">
      <c r="A357" s="15" t="s">
        <v>759</v>
      </c>
      <c r="B357" s="16" t="n">
        <v>45544</v>
      </c>
      <c r="C357" s="15" t="s">
        <v>197</v>
      </c>
      <c r="D357" s="15" t="s">
        <v>187</v>
      </c>
      <c r="E357" s="15" t="s">
        <v>109</v>
      </c>
      <c r="F357" s="17" t="n">
        <v>4</v>
      </c>
      <c r="G357" s="17" t="n">
        <v>1650</v>
      </c>
      <c r="H357" s="17" t="n">
        <v>13.7</v>
      </c>
      <c r="I357" s="17" t="n">
        <v>5695.8</v>
      </c>
      <c r="J357" s="15" t="s">
        <v>151</v>
      </c>
      <c r="K357" s="15" t="s">
        <v>105</v>
      </c>
    </row>
    <row r="358" customFormat="false" ht="14.25" hidden="false" customHeight="false" outlineLevel="0" collapsed="false">
      <c r="A358" s="15" t="s">
        <v>760</v>
      </c>
      <c r="B358" s="16" t="n">
        <v>45580</v>
      </c>
      <c r="C358" s="15" t="s">
        <v>550</v>
      </c>
      <c r="D358" s="15" t="s">
        <v>96</v>
      </c>
      <c r="E358" s="15" t="s">
        <v>336</v>
      </c>
      <c r="F358" s="17" t="n">
        <v>6</v>
      </c>
      <c r="G358" s="17" t="n">
        <v>3620</v>
      </c>
      <c r="H358" s="17" t="n">
        <v>21.3</v>
      </c>
      <c r="I358" s="17" t="n">
        <v>17093.64</v>
      </c>
      <c r="J358" s="15" t="s">
        <v>104</v>
      </c>
      <c r="K358" s="15" t="s">
        <v>144</v>
      </c>
    </row>
    <row r="359" customFormat="false" ht="14.25" hidden="false" customHeight="false" outlineLevel="0" collapsed="false">
      <c r="A359" s="15" t="s">
        <v>761</v>
      </c>
      <c r="B359" s="16" t="n">
        <v>45312</v>
      </c>
      <c r="C359" s="15" t="s">
        <v>485</v>
      </c>
      <c r="D359" s="15" t="s">
        <v>256</v>
      </c>
      <c r="E359" s="15" t="s">
        <v>181</v>
      </c>
      <c r="F359" s="17" t="n">
        <v>10</v>
      </c>
      <c r="G359" s="17" t="n">
        <v>2270</v>
      </c>
      <c r="H359" s="17" t="n">
        <v>17.7</v>
      </c>
      <c r="I359" s="17" t="n">
        <v>18682.1</v>
      </c>
      <c r="J359" s="15" t="s">
        <v>98</v>
      </c>
      <c r="K359" s="15" t="s">
        <v>110</v>
      </c>
    </row>
    <row r="360" customFormat="false" ht="14.25" hidden="false" customHeight="false" outlineLevel="0" collapsed="false">
      <c r="A360" s="15" t="s">
        <v>762</v>
      </c>
      <c r="B360" s="16" t="n">
        <v>45447</v>
      </c>
      <c r="C360" s="15" t="s">
        <v>763</v>
      </c>
      <c r="D360" s="15" t="s">
        <v>270</v>
      </c>
      <c r="E360" s="15" t="s">
        <v>263</v>
      </c>
      <c r="F360" s="17" t="n">
        <v>9</v>
      </c>
      <c r="G360" s="17" t="n">
        <v>1540</v>
      </c>
      <c r="H360" s="17" t="n">
        <v>10.7</v>
      </c>
      <c r="I360" s="17" t="n">
        <v>12376.98</v>
      </c>
      <c r="J360" s="15" t="s">
        <v>98</v>
      </c>
      <c r="K360" s="15" t="s">
        <v>128</v>
      </c>
    </row>
    <row r="361" customFormat="false" ht="14.25" hidden="false" customHeight="false" outlineLevel="0" collapsed="false">
      <c r="A361" s="15" t="s">
        <v>764</v>
      </c>
      <c r="B361" s="16" t="n">
        <v>45607</v>
      </c>
      <c r="C361" s="15" t="s">
        <v>219</v>
      </c>
      <c r="D361" s="15" t="s">
        <v>206</v>
      </c>
      <c r="E361" s="15" t="s">
        <v>169</v>
      </c>
      <c r="F361" s="17" t="n">
        <v>9</v>
      </c>
      <c r="G361" s="17" t="n">
        <v>2860</v>
      </c>
      <c r="H361" s="17" t="n">
        <v>12.9</v>
      </c>
      <c r="I361" s="17" t="n">
        <v>22419.54</v>
      </c>
      <c r="J361" s="15" t="s">
        <v>98</v>
      </c>
      <c r="K361" s="15" t="s">
        <v>144</v>
      </c>
    </row>
    <row r="362" customFormat="false" ht="14.25" hidden="false" customHeight="false" outlineLevel="0" collapsed="false">
      <c r="A362" s="15" t="s">
        <v>765</v>
      </c>
      <c r="B362" s="16" t="n">
        <v>45379</v>
      </c>
      <c r="C362" s="15" t="s">
        <v>711</v>
      </c>
      <c r="D362" s="15" t="s">
        <v>349</v>
      </c>
      <c r="E362" s="15" t="s">
        <v>357</v>
      </c>
      <c r="F362" s="17" t="n">
        <v>5</v>
      </c>
      <c r="G362" s="17" t="n">
        <v>2210</v>
      </c>
      <c r="H362" s="17" t="n">
        <v>5.1</v>
      </c>
      <c r="I362" s="17" t="n">
        <v>10486.45</v>
      </c>
      <c r="J362" s="15" t="s">
        <v>98</v>
      </c>
      <c r="K362" s="15" t="s">
        <v>105</v>
      </c>
    </row>
    <row r="363" customFormat="false" ht="14.25" hidden="false" customHeight="false" outlineLevel="0" collapsed="false">
      <c r="A363" s="15" t="s">
        <v>766</v>
      </c>
      <c r="B363" s="16" t="n">
        <v>45591</v>
      </c>
      <c r="C363" s="15" t="s">
        <v>389</v>
      </c>
      <c r="D363" s="15" t="s">
        <v>278</v>
      </c>
      <c r="E363" s="15" t="s">
        <v>240</v>
      </c>
      <c r="F363" s="17" t="n">
        <v>1</v>
      </c>
      <c r="G363" s="17" t="n">
        <v>1220</v>
      </c>
      <c r="H363" s="17" t="n">
        <v>16.1</v>
      </c>
      <c r="I363" s="17" t="n">
        <v>1023.58</v>
      </c>
      <c r="J363" s="15" t="s">
        <v>98</v>
      </c>
      <c r="K363" s="15" t="s">
        <v>105</v>
      </c>
    </row>
    <row r="364" customFormat="false" ht="14.25" hidden="false" customHeight="false" outlineLevel="0" collapsed="false">
      <c r="A364" s="15" t="s">
        <v>767</v>
      </c>
      <c r="B364" s="16" t="n">
        <v>45561</v>
      </c>
      <c r="C364" s="15" t="s">
        <v>768</v>
      </c>
      <c r="D364" s="15" t="s">
        <v>198</v>
      </c>
      <c r="E364" s="15" t="s">
        <v>114</v>
      </c>
      <c r="F364" s="17" t="n">
        <v>2</v>
      </c>
      <c r="G364" s="17" t="n">
        <v>3570</v>
      </c>
      <c r="H364" s="17" t="n">
        <v>1.1</v>
      </c>
      <c r="I364" s="17" t="n">
        <v>7061.46</v>
      </c>
      <c r="J364" s="15" t="s">
        <v>98</v>
      </c>
      <c r="K364" s="15" t="s">
        <v>128</v>
      </c>
    </row>
    <row r="365" customFormat="false" ht="14.25" hidden="false" customHeight="false" outlineLevel="0" collapsed="false">
      <c r="A365" s="15" t="s">
        <v>769</v>
      </c>
      <c r="B365" s="16" t="n">
        <v>45308</v>
      </c>
      <c r="C365" s="15" t="s">
        <v>770</v>
      </c>
      <c r="D365" s="15" t="s">
        <v>463</v>
      </c>
      <c r="E365" s="15" t="s">
        <v>357</v>
      </c>
      <c r="F365" s="17" t="n">
        <v>10</v>
      </c>
      <c r="G365" s="17" t="n">
        <v>3450</v>
      </c>
      <c r="H365" s="17" t="n">
        <v>12.6</v>
      </c>
      <c r="I365" s="17" t="n">
        <v>30153</v>
      </c>
      <c r="J365" s="15" t="s">
        <v>98</v>
      </c>
      <c r="K365" s="15" t="s">
        <v>128</v>
      </c>
    </row>
    <row r="366" customFormat="false" ht="14.25" hidden="false" customHeight="false" outlineLevel="0" collapsed="false">
      <c r="A366" s="15" t="s">
        <v>771</v>
      </c>
      <c r="B366" s="16" t="n">
        <v>45563</v>
      </c>
      <c r="C366" s="15" t="s">
        <v>749</v>
      </c>
      <c r="D366" s="15" t="s">
        <v>349</v>
      </c>
      <c r="E366" s="15" t="s">
        <v>169</v>
      </c>
      <c r="F366" s="17" t="n">
        <v>4</v>
      </c>
      <c r="G366" s="17" t="n">
        <v>2210</v>
      </c>
      <c r="H366" s="17" t="n">
        <v>5.4</v>
      </c>
      <c r="I366" s="17" t="n">
        <v>8362.64</v>
      </c>
      <c r="J366" s="15" t="s">
        <v>98</v>
      </c>
      <c r="K366" s="15" t="s">
        <v>99</v>
      </c>
    </row>
    <row r="367" customFormat="false" ht="14.25" hidden="false" customHeight="false" outlineLevel="0" collapsed="false">
      <c r="A367" s="15" t="s">
        <v>772</v>
      </c>
      <c r="B367" s="16" t="n">
        <v>45476</v>
      </c>
      <c r="C367" s="15" t="s">
        <v>773</v>
      </c>
      <c r="D367" s="15" t="s">
        <v>513</v>
      </c>
      <c r="E367" s="15" t="s">
        <v>109</v>
      </c>
      <c r="F367" s="17" t="n">
        <v>6</v>
      </c>
      <c r="G367" s="17" t="n">
        <v>1090</v>
      </c>
      <c r="H367" s="17" t="n">
        <v>2.9</v>
      </c>
      <c r="I367" s="17" t="n">
        <v>6350.34</v>
      </c>
      <c r="J367" s="15" t="s">
        <v>151</v>
      </c>
      <c r="K367" s="15" t="s">
        <v>144</v>
      </c>
    </row>
    <row r="368" customFormat="false" ht="14.25" hidden="false" customHeight="false" outlineLevel="0" collapsed="false">
      <c r="A368" s="15" t="s">
        <v>774</v>
      </c>
      <c r="B368" s="16" t="n">
        <v>45364</v>
      </c>
      <c r="C368" s="15" t="s">
        <v>775</v>
      </c>
      <c r="D368" s="15" t="s">
        <v>270</v>
      </c>
      <c r="E368" s="15" t="s">
        <v>249</v>
      </c>
      <c r="F368" s="17" t="n">
        <v>8</v>
      </c>
      <c r="G368" s="17" t="n">
        <v>1540</v>
      </c>
      <c r="H368" s="17" t="n">
        <v>17.9</v>
      </c>
      <c r="I368" s="17" t="n">
        <v>10114.72</v>
      </c>
      <c r="J368" s="15" t="s">
        <v>104</v>
      </c>
      <c r="K368" s="15" t="s">
        <v>105</v>
      </c>
    </row>
    <row r="369" customFormat="false" ht="14.25" hidden="false" customHeight="false" outlineLevel="0" collapsed="false">
      <c r="A369" s="15" t="s">
        <v>776</v>
      </c>
      <c r="B369" s="16" t="n">
        <v>45371</v>
      </c>
      <c r="C369" s="15" t="s">
        <v>496</v>
      </c>
      <c r="D369" s="15" t="s">
        <v>149</v>
      </c>
      <c r="E369" s="15" t="s">
        <v>139</v>
      </c>
      <c r="F369" s="17" t="n">
        <v>9</v>
      </c>
      <c r="G369" s="17" t="n">
        <v>2600</v>
      </c>
      <c r="H369" s="17" t="n">
        <v>4.1</v>
      </c>
      <c r="I369" s="17" t="n">
        <v>22440.6</v>
      </c>
      <c r="J369" s="15" t="s">
        <v>98</v>
      </c>
      <c r="K369" s="15" t="s">
        <v>99</v>
      </c>
    </row>
    <row r="370" customFormat="false" ht="14.25" hidden="false" customHeight="false" outlineLevel="0" collapsed="false">
      <c r="A370" s="15" t="s">
        <v>777</v>
      </c>
      <c r="B370" s="16" t="n">
        <v>45623</v>
      </c>
      <c r="C370" s="15" t="s">
        <v>691</v>
      </c>
      <c r="D370" s="15" t="s">
        <v>158</v>
      </c>
      <c r="E370" s="15" t="s">
        <v>97</v>
      </c>
      <c r="F370" s="17" t="n">
        <v>2</v>
      </c>
      <c r="G370" s="17" t="n">
        <v>190</v>
      </c>
      <c r="H370" s="17" t="n">
        <v>4.8</v>
      </c>
      <c r="I370" s="17" t="n">
        <v>361.76</v>
      </c>
      <c r="J370" s="15" t="s">
        <v>98</v>
      </c>
      <c r="K370" s="15" t="s">
        <v>105</v>
      </c>
    </row>
    <row r="371" customFormat="false" ht="14.25" hidden="false" customHeight="false" outlineLevel="0" collapsed="false">
      <c r="A371" s="15" t="s">
        <v>778</v>
      </c>
      <c r="B371" s="16" t="n">
        <v>45441</v>
      </c>
      <c r="C371" s="15" t="s">
        <v>779</v>
      </c>
      <c r="D371" s="15" t="s">
        <v>178</v>
      </c>
      <c r="E371" s="15" t="s">
        <v>109</v>
      </c>
      <c r="F371" s="17" t="n">
        <v>9</v>
      </c>
      <c r="G371" s="17" t="n">
        <v>2480</v>
      </c>
      <c r="H371" s="17" t="n">
        <v>28.3</v>
      </c>
      <c r="I371" s="17" t="n">
        <v>16003.44</v>
      </c>
      <c r="J371" s="15" t="s">
        <v>98</v>
      </c>
      <c r="K371" s="15" t="s">
        <v>99</v>
      </c>
    </row>
    <row r="372" customFormat="false" ht="14.25" hidden="false" customHeight="false" outlineLevel="0" collapsed="false">
      <c r="A372" s="15" t="s">
        <v>780</v>
      </c>
      <c r="B372" s="16" t="n">
        <v>45442</v>
      </c>
      <c r="C372" s="15" t="s">
        <v>781</v>
      </c>
      <c r="D372" s="15" t="s">
        <v>397</v>
      </c>
      <c r="E372" s="15" t="s">
        <v>114</v>
      </c>
      <c r="F372" s="17" t="n">
        <v>7</v>
      </c>
      <c r="G372" s="17" t="n">
        <v>2290</v>
      </c>
      <c r="H372" s="17" t="n">
        <v>25</v>
      </c>
      <c r="I372" s="17" t="n">
        <v>12022.5</v>
      </c>
      <c r="J372" s="15" t="s">
        <v>151</v>
      </c>
      <c r="K372" s="15" t="s">
        <v>99</v>
      </c>
    </row>
    <row r="373" customFormat="false" ht="14.25" hidden="false" customHeight="false" outlineLevel="0" collapsed="false">
      <c r="A373" s="15" t="s">
        <v>782</v>
      </c>
      <c r="B373" s="16" t="n">
        <v>45567</v>
      </c>
      <c r="C373" s="15" t="s">
        <v>247</v>
      </c>
      <c r="D373" s="15" t="s">
        <v>270</v>
      </c>
      <c r="E373" s="15" t="s">
        <v>199</v>
      </c>
      <c r="F373" s="17" t="n">
        <v>9</v>
      </c>
      <c r="G373" s="17" t="n">
        <v>1540</v>
      </c>
      <c r="H373" s="17" t="n">
        <v>23.3</v>
      </c>
      <c r="I373" s="17" t="n">
        <v>10630.62</v>
      </c>
      <c r="J373" s="15" t="s">
        <v>98</v>
      </c>
      <c r="K373" s="15" t="s">
        <v>144</v>
      </c>
    </row>
    <row r="374" customFormat="false" ht="14.25" hidden="false" customHeight="false" outlineLevel="0" collapsed="false">
      <c r="A374" s="15" t="s">
        <v>783</v>
      </c>
      <c r="B374" s="16" t="n">
        <v>45653</v>
      </c>
      <c r="C374" s="15" t="s">
        <v>370</v>
      </c>
      <c r="D374" s="15" t="s">
        <v>454</v>
      </c>
      <c r="E374" s="15" t="s">
        <v>122</v>
      </c>
      <c r="F374" s="17" t="n">
        <v>2</v>
      </c>
      <c r="G374" s="17" t="n">
        <v>5080</v>
      </c>
      <c r="H374" s="17" t="n">
        <v>2.5</v>
      </c>
      <c r="I374" s="17" t="n">
        <v>9906</v>
      </c>
      <c r="J374" s="15" t="s">
        <v>151</v>
      </c>
      <c r="K374" s="15" t="s">
        <v>110</v>
      </c>
    </row>
    <row r="375" customFormat="false" ht="14.25" hidden="false" customHeight="false" outlineLevel="0" collapsed="false">
      <c r="A375" s="15" t="s">
        <v>784</v>
      </c>
      <c r="B375" s="16" t="n">
        <v>45331</v>
      </c>
      <c r="C375" s="15" t="s">
        <v>504</v>
      </c>
      <c r="D375" s="15" t="s">
        <v>366</v>
      </c>
      <c r="E375" s="15" t="s">
        <v>357</v>
      </c>
      <c r="F375" s="17" t="n">
        <v>4</v>
      </c>
      <c r="G375" s="17" t="n">
        <v>2510</v>
      </c>
      <c r="H375" s="17" t="n">
        <v>23.6</v>
      </c>
      <c r="I375" s="17" t="n">
        <v>7670.56</v>
      </c>
      <c r="J375" s="15" t="s">
        <v>98</v>
      </c>
      <c r="K375" s="15" t="s">
        <v>99</v>
      </c>
    </row>
    <row r="376" customFormat="false" ht="14.25" hidden="false" customHeight="false" outlineLevel="0" collapsed="false">
      <c r="A376" s="15" t="s">
        <v>785</v>
      </c>
      <c r="B376" s="16" t="n">
        <v>45332</v>
      </c>
      <c r="C376" s="15" t="s">
        <v>370</v>
      </c>
      <c r="D376" s="15" t="s">
        <v>397</v>
      </c>
      <c r="E376" s="15" t="s">
        <v>284</v>
      </c>
      <c r="F376" s="17" t="n">
        <v>5</v>
      </c>
      <c r="G376" s="17" t="n">
        <v>2290</v>
      </c>
      <c r="H376" s="17" t="n">
        <v>17</v>
      </c>
      <c r="I376" s="17" t="n">
        <v>9503.5</v>
      </c>
      <c r="J376" s="15" t="s">
        <v>98</v>
      </c>
      <c r="K376" s="15" t="s">
        <v>110</v>
      </c>
    </row>
    <row r="377" customFormat="false" ht="14.25" hidden="false" customHeight="false" outlineLevel="0" collapsed="false">
      <c r="A377" s="15" t="s">
        <v>786</v>
      </c>
      <c r="B377" s="16" t="n">
        <v>45340</v>
      </c>
      <c r="C377" s="15" t="s">
        <v>339</v>
      </c>
      <c r="D377" s="15" t="s">
        <v>108</v>
      </c>
      <c r="E377" s="15" t="s">
        <v>114</v>
      </c>
      <c r="F377" s="17" t="n">
        <v>8</v>
      </c>
      <c r="G377" s="17" t="n">
        <v>470</v>
      </c>
      <c r="H377" s="17" t="n">
        <v>9.3</v>
      </c>
      <c r="I377" s="17" t="n">
        <v>3410.32</v>
      </c>
      <c r="J377" s="15" t="s">
        <v>98</v>
      </c>
      <c r="K377" s="15" t="s">
        <v>105</v>
      </c>
    </row>
    <row r="378" customFormat="false" ht="14.25" hidden="false" customHeight="false" outlineLevel="0" collapsed="false">
      <c r="A378" s="15" t="s">
        <v>787</v>
      </c>
      <c r="B378" s="16" t="n">
        <v>45564</v>
      </c>
      <c r="C378" s="15" t="s">
        <v>331</v>
      </c>
      <c r="D378" s="15" t="s">
        <v>202</v>
      </c>
      <c r="E378" s="15" t="s">
        <v>215</v>
      </c>
      <c r="F378" s="17" t="n">
        <v>8</v>
      </c>
      <c r="G378" s="17" t="n">
        <v>5100</v>
      </c>
      <c r="H378" s="17" t="n">
        <v>4.6</v>
      </c>
      <c r="I378" s="17" t="n">
        <v>38923.2</v>
      </c>
      <c r="J378" s="15" t="s">
        <v>98</v>
      </c>
      <c r="K378" s="15" t="s">
        <v>144</v>
      </c>
    </row>
    <row r="379" customFormat="false" ht="14.25" hidden="false" customHeight="false" outlineLevel="0" collapsed="false">
      <c r="A379" s="15" t="s">
        <v>788</v>
      </c>
      <c r="B379" s="16" t="n">
        <v>45296</v>
      </c>
      <c r="C379" s="15" t="s">
        <v>593</v>
      </c>
      <c r="D379" s="15" t="s">
        <v>375</v>
      </c>
      <c r="E379" s="15" t="s">
        <v>143</v>
      </c>
      <c r="F379" s="17" t="n">
        <v>7</v>
      </c>
      <c r="G379" s="17" t="n">
        <v>5330</v>
      </c>
      <c r="H379" s="17" t="n">
        <v>2.5</v>
      </c>
      <c r="I379" s="17" t="n">
        <v>36377.25</v>
      </c>
      <c r="J379" s="15" t="s">
        <v>98</v>
      </c>
      <c r="K379" s="15" t="s">
        <v>105</v>
      </c>
    </row>
    <row r="380" customFormat="false" ht="14.25" hidden="false" customHeight="false" outlineLevel="0" collapsed="false">
      <c r="A380" s="15" t="s">
        <v>789</v>
      </c>
      <c r="B380" s="16" t="n">
        <v>45364</v>
      </c>
      <c r="C380" s="15" t="s">
        <v>790</v>
      </c>
      <c r="D380" s="15" t="s">
        <v>306</v>
      </c>
      <c r="E380" s="15" t="s">
        <v>139</v>
      </c>
      <c r="F380" s="17" t="n">
        <v>10</v>
      </c>
      <c r="G380" s="17" t="n">
        <v>2030</v>
      </c>
      <c r="H380" s="17" t="n">
        <v>8.5</v>
      </c>
      <c r="I380" s="17" t="n">
        <v>18574.5</v>
      </c>
      <c r="J380" s="15" t="s">
        <v>98</v>
      </c>
      <c r="K380" s="15" t="s">
        <v>128</v>
      </c>
    </row>
    <row r="381" customFormat="false" ht="14.25" hidden="false" customHeight="false" outlineLevel="0" collapsed="false">
      <c r="A381" s="15" t="s">
        <v>791</v>
      </c>
      <c r="B381" s="16" t="n">
        <v>45560</v>
      </c>
      <c r="C381" s="15" t="s">
        <v>792</v>
      </c>
      <c r="D381" s="15" t="s">
        <v>454</v>
      </c>
      <c r="E381" s="15" t="s">
        <v>159</v>
      </c>
      <c r="F381" s="17" t="n">
        <v>8</v>
      </c>
      <c r="G381" s="17" t="n">
        <v>5080</v>
      </c>
      <c r="H381" s="17" t="n">
        <v>9.6</v>
      </c>
      <c r="I381" s="17" t="n">
        <v>36738.56</v>
      </c>
      <c r="J381" s="15" t="s">
        <v>151</v>
      </c>
      <c r="K381" s="15" t="s">
        <v>110</v>
      </c>
    </row>
    <row r="382" customFormat="false" ht="14.25" hidden="false" customHeight="false" outlineLevel="0" collapsed="false">
      <c r="A382" s="15" t="s">
        <v>793</v>
      </c>
      <c r="B382" s="16" t="n">
        <v>45378</v>
      </c>
      <c r="C382" s="15" t="s">
        <v>186</v>
      </c>
      <c r="D382" s="15" t="s">
        <v>378</v>
      </c>
      <c r="E382" s="15" t="s">
        <v>109</v>
      </c>
      <c r="F382" s="17" t="n">
        <v>1</v>
      </c>
      <c r="G382" s="17" t="n">
        <v>2380</v>
      </c>
      <c r="H382" s="17" t="n">
        <v>11.6</v>
      </c>
      <c r="I382" s="17" t="n">
        <v>2103.92</v>
      </c>
      <c r="J382" s="15" t="s">
        <v>104</v>
      </c>
      <c r="K382" s="15" t="s">
        <v>144</v>
      </c>
    </row>
    <row r="383" customFormat="false" ht="14.25" hidden="false" customHeight="false" outlineLevel="0" collapsed="false">
      <c r="A383" s="15" t="s">
        <v>794</v>
      </c>
      <c r="B383" s="16" t="n">
        <v>45590</v>
      </c>
      <c r="C383" s="15" t="s">
        <v>283</v>
      </c>
      <c r="D383" s="15" t="s">
        <v>270</v>
      </c>
      <c r="E383" s="15" t="s">
        <v>354</v>
      </c>
      <c r="F383" s="17" t="n">
        <v>8</v>
      </c>
      <c r="G383" s="17" t="n">
        <v>1540</v>
      </c>
      <c r="H383" s="17" t="n">
        <v>27.8</v>
      </c>
      <c r="I383" s="17" t="n">
        <v>8895.04</v>
      </c>
      <c r="J383" s="15" t="s">
        <v>98</v>
      </c>
      <c r="K383" s="15" t="s">
        <v>105</v>
      </c>
    </row>
    <row r="384" customFormat="false" ht="14.25" hidden="false" customHeight="false" outlineLevel="0" collapsed="false">
      <c r="A384" s="15" t="s">
        <v>795</v>
      </c>
      <c r="B384" s="16" t="n">
        <v>45591</v>
      </c>
      <c r="C384" s="15" t="s">
        <v>796</v>
      </c>
      <c r="D384" s="15" t="s">
        <v>142</v>
      </c>
      <c r="E384" s="15" t="s">
        <v>127</v>
      </c>
      <c r="F384" s="17" t="n">
        <v>1</v>
      </c>
      <c r="G384" s="17" t="n">
        <v>2270</v>
      </c>
      <c r="H384" s="17" t="n">
        <v>6.5</v>
      </c>
      <c r="I384" s="17" t="n">
        <v>2122.45</v>
      </c>
      <c r="J384" s="15" t="s">
        <v>104</v>
      </c>
      <c r="K384" s="15" t="s">
        <v>797</v>
      </c>
    </row>
    <row r="385" customFormat="false" ht="14.25" hidden="false" customHeight="false" outlineLevel="0" collapsed="false">
      <c r="A385" s="15" t="s">
        <v>798</v>
      </c>
      <c r="B385" s="16" t="n">
        <v>45503</v>
      </c>
      <c r="C385" s="15" t="s">
        <v>327</v>
      </c>
      <c r="D385" s="15" t="s">
        <v>178</v>
      </c>
      <c r="E385" s="15" t="s">
        <v>139</v>
      </c>
      <c r="F385" s="17" t="n">
        <v>6</v>
      </c>
      <c r="G385" s="17" t="n">
        <v>2480</v>
      </c>
      <c r="H385" s="17" t="n">
        <v>25.9</v>
      </c>
      <c r="I385" s="17" t="n">
        <v>11026.08</v>
      </c>
      <c r="J385" s="15" t="s">
        <v>98</v>
      </c>
      <c r="K385" s="15" t="s">
        <v>99</v>
      </c>
    </row>
    <row r="386" customFormat="false" ht="14.25" hidden="false" customHeight="false" outlineLevel="0" collapsed="false">
      <c r="A386" s="15" t="s">
        <v>799</v>
      </c>
      <c r="B386" s="16" t="n">
        <v>45608</v>
      </c>
      <c r="C386" s="15" t="s">
        <v>329</v>
      </c>
      <c r="D386" s="15" t="s">
        <v>670</v>
      </c>
      <c r="E386" s="15" t="s">
        <v>132</v>
      </c>
      <c r="F386" s="17" t="n">
        <v>3</v>
      </c>
      <c r="G386" s="17" t="n">
        <v>3560</v>
      </c>
      <c r="H386" s="17" t="n">
        <v>0.4</v>
      </c>
      <c r="I386" s="17" t="n">
        <v>10637.28</v>
      </c>
      <c r="J386" s="15" t="s">
        <v>155</v>
      </c>
      <c r="K386" s="15" t="s">
        <v>105</v>
      </c>
    </row>
    <row r="387" customFormat="false" ht="14.25" hidden="false" customHeight="false" outlineLevel="0" collapsed="false">
      <c r="A387" s="15" t="s">
        <v>800</v>
      </c>
      <c r="B387" s="16" t="n">
        <v>45422</v>
      </c>
      <c r="C387" s="15" t="s">
        <v>662</v>
      </c>
      <c r="D387" s="15" t="s">
        <v>290</v>
      </c>
      <c r="E387" s="15" t="s">
        <v>114</v>
      </c>
      <c r="F387" s="17" t="n">
        <v>4</v>
      </c>
      <c r="G387" s="17" t="n">
        <v>2660</v>
      </c>
      <c r="H387" s="17" t="n">
        <v>19.7</v>
      </c>
      <c r="I387" s="17" t="n">
        <v>8543.92</v>
      </c>
      <c r="J387" s="15" t="s">
        <v>151</v>
      </c>
      <c r="K387" s="15" t="s">
        <v>144</v>
      </c>
    </row>
    <row r="388" customFormat="false" ht="14.25" hidden="false" customHeight="false" outlineLevel="0" collapsed="false">
      <c r="A388" s="15" t="s">
        <v>801</v>
      </c>
      <c r="B388" s="16" t="n">
        <v>45386</v>
      </c>
      <c r="C388" s="15" t="s">
        <v>183</v>
      </c>
      <c r="D388" s="15" t="s">
        <v>278</v>
      </c>
      <c r="E388" s="15" t="s">
        <v>263</v>
      </c>
      <c r="F388" s="17" t="n">
        <v>10</v>
      </c>
      <c r="G388" s="17" t="n">
        <v>1220</v>
      </c>
      <c r="H388" s="17" t="n">
        <v>10.1</v>
      </c>
      <c r="I388" s="17" t="n">
        <v>10967.8</v>
      </c>
      <c r="J388" s="15" t="s">
        <v>151</v>
      </c>
      <c r="K388" s="15" t="s">
        <v>99</v>
      </c>
    </row>
    <row r="389" customFormat="false" ht="14.25" hidden="false" customHeight="false" outlineLevel="0" collapsed="false">
      <c r="A389" s="15" t="s">
        <v>802</v>
      </c>
      <c r="B389" s="16" t="n">
        <v>45584</v>
      </c>
      <c r="C389" s="15" t="s">
        <v>687</v>
      </c>
      <c r="D389" s="15" t="s">
        <v>149</v>
      </c>
      <c r="E389" s="15" t="s">
        <v>109</v>
      </c>
      <c r="F389" s="17" t="n">
        <v>8</v>
      </c>
      <c r="G389" s="17" t="n">
        <v>2600</v>
      </c>
      <c r="H389" s="17" t="n">
        <v>26.7</v>
      </c>
      <c r="I389" s="17" t="n">
        <v>15246.4</v>
      </c>
      <c r="J389" s="15" t="s">
        <v>98</v>
      </c>
      <c r="K389" s="15" t="s">
        <v>99</v>
      </c>
    </row>
    <row r="390" customFormat="false" ht="14.25" hidden="false" customHeight="false" outlineLevel="0" collapsed="false">
      <c r="A390" s="15" t="s">
        <v>803</v>
      </c>
      <c r="B390" s="16" t="n">
        <v>45440</v>
      </c>
      <c r="C390" s="15" t="s">
        <v>529</v>
      </c>
      <c r="D390" s="15" t="s">
        <v>463</v>
      </c>
      <c r="E390" s="15" t="s">
        <v>203</v>
      </c>
      <c r="F390" s="17" t="n">
        <v>10</v>
      </c>
      <c r="G390" s="17" t="n">
        <v>3450</v>
      </c>
      <c r="H390" s="17" t="n">
        <v>20.4</v>
      </c>
      <c r="I390" s="17" t="n">
        <v>27462</v>
      </c>
      <c r="J390" s="15" t="s">
        <v>98</v>
      </c>
      <c r="K390" s="15" t="s">
        <v>99</v>
      </c>
    </row>
    <row r="391" customFormat="false" ht="14.25" hidden="false" customHeight="false" outlineLevel="0" collapsed="false">
      <c r="A391" s="15" t="s">
        <v>804</v>
      </c>
      <c r="B391" s="16" t="n">
        <v>45440</v>
      </c>
      <c r="C391" s="15" t="s">
        <v>219</v>
      </c>
      <c r="D391" s="15" t="s">
        <v>526</v>
      </c>
      <c r="E391" s="15" t="s">
        <v>132</v>
      </c>
      <c r="F391" s="17" t="n">
        <v>1</v>
      </c>
      <c r="G391" s="17" t="n">
        <v>6940</v>
      </c>
      <c r="H391" s="17" t="n">
        <v>9.7</v>
      </c>
      <c r="I391" s="17" t="n">
        <v>6266.82</v>
      </c>
      <c r="J391" s="15" t="s">
        <v>98</v>
      </c>
      <c r="K391" s="15" t="s">
        <v>144</v>
      </c>
    </row>
    <row r="392" customFormat="false" ht="14.25" hidden="false" customHeight="false" outlineLevel="0" collapsed="false">
      <c r="A392" s="15" t="s">
        <v>805</v>
      </c>
      <c r="B392" s="16" t="n">
        <v>45358</v>
      </c>
      <c r="C392" s="15" t="s">
        <v>806</v>
      </c>
      <c r="D392" s="15" t="s">
        <v>190</v>
      </c>
      <c r="E392" s="15" t="s">
        <v>114</v>
      </c>
      <c r="F392" s="17" t="n">
        <v>10</v>
      </c>
      <c r="G392" s="17" t="n">
        <v>3350</v>
      </c>
      <c r="H392" s="17" t="n">
        <v>3.2</v>
      </c>
      <c r="I392" s="17" t="n">
        <v>32428</v>
      </c>
      <c r="J392" s="15" t="s">
        <v>98</v>
      </c>
      <c r="K392" s="15" t="s">
        <v>105</v>
      </c>
    </row>
    <row r="393" customFormat="false" ht="14.25" hidden="false" customHeight="false" outlineLevel="0" collapsed="false">
      <c r="A393" s="15" t="s">
        <v>807</v>
      </c>
      <c r="B393" s="16" t="n">
        <v>45387</v>
      </c>
      <c r="C393" s="15" t="s">
        <v>808</v>
      </c>
      <c r="D393" s="15" t="s">
        <v>270</v>
      </c>
      <c r="E393" s="15" t="s">
        <v>212</v>
      </c>
      <c r="F393" s="17" t="n">
        <v>7</v>
      </c>
      <c r="G393" s="17" t="n">
        <v>1540</v>
      </c>
      <c r="H393" s="17" t="n">
        <v>0.5</v>
      </c>
      <c r="I393" s="17" t="n">
        <v>10726.1</v>
      </c>
      <c r="J393" s="15" t="s">
        <v>98</v>
      </c>
      <c r="K393" s="15" t="s">
        <v>110</v>
      </c>
    </row>
    <row r="394" customFormat="false" ht="14.25" hidden="false" customHeight="false" outlineLevel="0" collapsed="false">
      <c r="A394" s="15" t="s">
        <v>809</v>
      </c>
      <c r="B394" s="16" t="n">
        <v>45655</v>
      </c>
      <c r="C394" s="15" t="s">
        <v>810</v>
      </c>
      <c r="D394" s="15" t="s">
        <v>96</v>
      </c>
      <c r="E394" s="15" t="s">
        <v>212</v>
      </c>
      <c r="F394" s="17" t="n">
        <v>10</v>
      </c>
      <c r="G394" s="17" t="n">
        <v>3620</v>
      </c>
      <c r="H394" s="17" t="n">
        <v>22</v>
      </c>
      <c r="I394" s="17" t="n">
        <v>28236</v>
      </c>
      <c r="J394" s="15" t="s">
        <v>98</v>
      </c>
      <c r="K394" s="15" t="s">
        <v>99</v>
      </c>
    </row>
    <row r="395" customFormat="false" ht="14.25" hidden="false" customHeight="false" outlineLevel="0" collapsed="false">
      <c r="A395" s="15" t="s">
        <v>811</v>
      </c>
      <c r="B395" s="16" t="n">
        <v>45629</v>
      </c>
      <c r="C395" s="15" t="s">
        <v>244</v>
      </c>
      <c r="D395" s="15" t="s">
        <v>108</v>
      </c>
      <c r="E395" s="15" t="s">
        <v>212</v>
      </c>
      <c r="F395" s="17" t="n">
        <v>2</v>
      </c>
      <c r="G395" s="17" t="n">
        <v>470</v>
      </c>
      <c r="H395" s="17" t="n">
        <v>26.5</v>
      </c>
      <c r="I395" s="17" t="n">
        <v>690.9</v>
      </c>
      <c r="J395" s="15" t="s">
        <v>104</v>
      </c>
      <c r="K395" s="15" t="s">
        <v>99</v>
      </c>
    </row>
    <row r="396" customFormat="false" ht="14.25" hidden="false" customHeight="false" outlineLevel="0" collapsed="false">
      <c r="A396" s="15" t="s">
        <v>812</v>
      </c>
      <c r="B396" s="16" t="n">
        <v>45323</v>
      </c>
      <c r="C396" s="15" t="s">
        <v>813</v>
      </c>
      <c r="D396" s="15" t="s">
        <v>113</v>
      </c>
      <c r="E396" s="15" t="s">
        <v>143</v>
      </c>
      <c r="F396" s="17" t="n">
        <v>6</v>
      </c>
      <c r="G396" s="17" t="n">
        <v>3660</v>
      </c>
      <c r="H396" s="17" t="n">
        <v>1.5</v>
      </c>
      <c r="I396" s="17" t="n">
        <v>21630.6</v>
      </c>
      <c r="J396" s="15" t="s">
        <v>98</v>
      </c>
      <c r="K396" s="15" t="s">
        <v>105</v>
      </c>
    </row>
    <row r="397" customFormat="false" ht="14.25" hidden="false" customHeight="false" outlineLevel="0" collapsed="false">
      <c r="A397" s="15" t="s">
        <v>814</v>
      </c>
      <c r="B397" s="16" t="n">
        <v>45432</v>
      </c>
      <c r="C397" s="15" t="s">
        <v>130</v>
      </c>
      <c r="D397" s="15" t="s">
        <v>526</v>
      </c>
      <c r="E397" s="15" t="s">
        <v>249</v>
      </c>
      <c r="F397" s="17" t="n">
        <v>10</v>
      </c>
      <c r="G397" s="17" t="n">
        <v>6940</v>
      </c>
      <c r="H397" s="17" t="n">
        <v>1.9</v>
      </c>
      <c r="I397" s="17" t="n">
        <v>68081.4</v>
      </c>
      <c r="J397" s="15" t="s">
        <v>98</v>
      </c>
      <c r="K397" s="15" t="s">
        <v>128</v>
      </c>
    </row>
    <row r="398" customFormat="false" ht="14.25" hidden="false" customHeight="false" outlineLevel="0" collapsed="false">
      <c r="A398" s="15" t="s">
        <v>815</v>
      </c>
      <c r="B398" s="16" t="n">
        <v>45397</v>
      </c>
      <c r="C398" s="15" t="s">
        <v>591</v>
      </c>
      <c r="D398" s="15" t="s">
        <v>397</v>
      </c>
      <c r="E398" s="15" t="s">
        <v>103</v>
      </c>
      <c r="F398" s="17" t="n">
        <v>8</v>
      </c>
      <c r="G398" s="17" t="n">
        <v>2290</v>
      </c>
      <c r="H398" s="17" t="n">
        <v>27.9</v>
      </c>
      <c r="I398" s="17" t="n">
        <v>13208.72</v>
      </c>
      <c r="J398" s="15" t="s">
        <v>98</v>
      </c>
      <c r="K398" s="15" t="s">
        <v>99</v>
      </c>
    </row>
    <row r="399" customFormat="false" ht="14.25" hidden="false" customHeight="false" outlineLevel="0" collapsed="false">
      <c r="A399" s="15" t="s">
        <v>816</v>
      </c>
      <c r="B399" s="16" t="n">
        <v>45573</v>
      </c>
      <c r="C399" s="15" t="s">
        <v>523</v>
      </c>
      <c r="D399" s="15" t="s">
        <v>117</v>
      </c>
      <c r="E399" s="15" t="s">
        <v>127</v>
      </c>
      <c r="F399" s="17" t="n">
        <v>9</v>
      </c>
      <c r="G399" s="17" t="n">
        <v>3160</v>
      </c>
      <c r="H399" s="17" t="n">
        <v>10.2</v>
      </c>
      <c r="I399" s="17" t="n">
        <v>25539.12</v>
      </c>
      <c r="J399" s="15" t="s">
        <v>98</v>
      </c>
      <c r="K399" s="15" t="s">
        <v>144</v>
      </c>
    </row>
    <row r="400" customFormat="false" ht="14.25" hidden="false" customHeight="false" outlineLevel="0" collapsed="false">
      <c r="A400" s="15" t="s">
        <v>817</v>
      </c>
      <c r="B400" s="16" t="n">
        <v>45307</v>
      </c>
      <c r="C400" s="15" t="s">
        <v>818</v>
      </c>
      <c r="D400" s="15" t="s">
        <v>454</v>
      </c>
      <c r="E400" s="15" t="s">
        <v>139</v>
      </c>
      <c r="F400" s="17" t="n">
        <v>6</v>
      </c>
      <c r="G400" s="17" t="n">
        <v>5080</v>
      </c>
      <c r="H400" s="17" t="n">
        <v>25.4</v>
      </c>
      <c r="I400" s="17" t="n">
        <v>22738.08</v>
      </c>
      <c r="J400" s="15" t="s">
        <v>98</v>
      </c>
      <c r="K400" s="15" t="s">
        <v>99</v>
      </c>
    </row>
    <row r="401" customFormat="false" ht="14.25" hidden="false" customHeight="false" outlineLevel="0" collapsed="false">
      <c r="A401" s="15" t="s">
        <v>819</v>
      </c>
      <c r="B401" s="16" t="n">
        <v>45620</v>
      </c>
      <c r="C401" s="15" t="s">
        <v>755</v>
      </c>
      <c r="D401" s="15" t="s">
        <v>211</v>
      </c>
      <c r="E401" s="15" t="s">
        <v>336</v>
      </c>
      <c r="F401" s="17" t="n">
        <v>6</v>
      </c>
      <c r="G401" s="17" t="n">
        <v>2760</v>
      </c>
      <c r="H401" s="17" t="n">
        <v>21.3</v>
      </c>
      <c r="I401" s="17" t="n">
        <v>13032.72</v>
      </c>
      <c r="J401" s="15" t="s">
        <v>98</v>
      </c>
      <c r="K401" s="15" t="s">
        <v>144</v>
      </c>
    </row>
    <row r="402" customFormat="false" ht="14.25" hidden="false" customHeight="false" outlineLevel="0" collapsed="false">
      <c r="A402" s="15" t="s">
        <v>820</v>
      </c>
      <c r="B402" s="16" t="n">
        <v>45462</v>
      </c>
      <c r="C402" s="15" t="s">
        <v>821</v>
      </c>
      <c r="D402" s="15" t="s">
        <v>278</v>
      </c>
      <c r="E402" s="15" t="s">
        <v>336</v>
      </c>
      <c r="F402" s="17" t="n">
        <v>5</v>
      </c>
      <c r="G402" s="17" t="n">
        <v>1220</v>
      </c>
      <c r="H402" s="17" t="n">
        <v>7.6</v>
      </c>
      <c r="I402" s="17" t="n">
        <v>5636.4</v>
      </c>
      <c r="J402" s="15" t="s">
        <v>98</v>
      </c>
      <c r="K402" s="15" t="s">
        <v>123</v>
      </c>
    </row>
    <row r="403" customFormat="false" ht="14.25" hidden="false" customHeight="false" outlineLevel="0" collapsed="false">
      <c r="A403" s="15" t="s">
        <v>822</v>
      </c>
      <c r="B403" s="16" t="n">
        <v>45622</v>
      </c>
      <c r="C403" s="15" t="s">
        <v>312</v>
      </c>
      <c r="D403" s="15" t="s">
        <v>195</v>
      </c>
      <c r="E403" s="15" t="s">
        <v>139</v>
      </c>
      <c r="F403" s="17" t="n">
        <v>5</v>
      </c>
      <c r="G403" s="17" t="n">
        <v>4880</v>
      </c>
      <c r="H403" s="17" t="n">
        <v>8.5</v>
      </c>
      <c r="I403" s="17" t="n">
        <v>22326</v>
      </c>
      <c r="J403" s="15" t="s">
        <v>98</v>
      </c>
      <c r="K403" s="15" t="s">
        <v>105</v>
      </c>
    </row>
    <row r="404" customFormat="false" ht="14.25" hidden="false" customHeight="false" outlineLevel="0" collapsed="false">
      <c r="A404" s="15" t="s">
        <v>823</v>
      </c>
      <c r="B404" s="16" t="n">
        <v>45596</v>
      </c>
      <c r="C404" s="15" t="s">
        <v>242</v>
      </c>
      <c r="D404" s="15" t="s">
        <v>275</v>
      </c>
      <c r="E404" s="15" t="s">
        <v>296</v>
      </c>
      <c r="F404" s="17" t="n">
        <v>7</v>
      </c>
      <c r="G404" s="17" t="n">
        <v>4070</v>
      </c>
      <c r="H404" s="17" t="n">
        <v>28</v>
      </c>
      <c r="I404" s="17" t="n">
        <v>20512.8</v>
      </c>
      <c r="J404" s="15" t="s">
        <v>98</v>
      </c>
      <c r="K404" s="15" t="s">
        <v>128</v>
      </c>
    </row>
    <row r="405" customFormat="false" ht="14.25" hidden="false" customHeight="false" outlineLevel="0" collapsed="false">
      <c r="A405" s="15" t="s">
        <v>824</v>
      </c>
      <c r="B405" s="16" t="n">
        <v>45506</v>
      </c>
      <c r="C405" s="15" t="s">
        <v>512</v>
      </c>
      <c r="D405" s="15" t="s">
        <v>419</v>
      </c>
      <c r="E405" s="15" t="s">
        <v>139</v>
      </c>
      <c r="F405" s="17" t="n">
        <v>2</v>
      </c>
      <c r="G405" s="17" t="n">
        <v>3970</v>
      </c>
      <c r="H405" s="17" t="n">
        <v>14</v>
      </c>
      <c r="I405" s="17" t="n">
        <v>6828.4</v>
      </c>
      <c r="J405" s="15" t="s">
        <v>98</v>
      </c>
      <c r="K405" s="15" t="s">
        <v>144</v>
      </c>
    </row>
    <row r="406" customFormat="false" ht="14.25" hidden="false" customHeight="false" outlineLevel="0" collapsed="false">
      <c r="A406" s="15" t="s">
        <v>825</v>
      </c>
      <c r="B406" s="16" t="n">
        <v>45349</v>
      </c>
      <c r="C406" s="15" t="s">
        <v>277</v>
      </c>
      <c r="D406" s="15" t="s">
        <v>290</v>
      </c>
      <c r="E406" s="15" t="s">
        <v>314</v>
      </c>
      <c r="F406" s="17" t="n">
        <v>9</v>
      </c>
      <c r="G406" s="17" t="n">
        <v>2660</v>
      </c>
      <c r="H406" s="17" t="n">
        <v>10.1</v>
      </c>
      <c r="I406" s="17" t="n">
        <v>21522.06</v>
      </c>
      <c r="J406" s="15" t="s">
        <v>98</v>
      </c>
      <c r="K406" s="15" t="s">
        <v>110</v>
      </c>
    </row>
    <row r="407" customFormat="false" ht="14.25" hidden="false" customHeight="false" outlineLevel="0" collapsed="false">
      <c r="A407" s="15" t="s">
        <v>826</v>
      </c>
      <c r="B407" s="16" t="n">
        <v>45407</v>
      </c>
      <c r="C407" s="15" t="s">
        <v>827</v>
      </c>
      <c r="D407" s="15" t="s">
        <v>206</v>
      </c>
      <c r="E407" s="15" t="s">
        <v>296</v>
      </c>
      <c r="F407" s="17" t="n">
        <v>9</v>
      </c>
      <c r="G407" s="17" t="n">
        <v>2860</v>
      </c>
      <c r="H407" s="17" t="n">
        <v>10.1</v>
      </c>
      <c r="I407" s="17" t="n">
        <v>23140.26</v>
      </c>
      <c r="J407" s="15" t="s">
        <v>155</v>
      </c>
      <c r="K407" s="15" t="s">
        <v>99</v>
      </c>
    </row>
    <row r="408" customFormat="false" ht="14.25" hidden="false" customHeight="false" outlineLevel="0" collapsed="false">
      <c r="A408" s="15" t="s">
        <v>828</v>
      </c>
      <c r="B408" s="16" t="n">
        <v>45591</v>
      </c>
      <c r="C408" s="15" t="s">
        <v>302</v>
      </c>
      <c r="D408" s="15" t="s">
        <v>278</v>
      </c>
      <c r="E408" s="15" t="s">
        <v>97</v>
      </c>
      <c r="F408" s="17" t="n">
        <v>7</v>
      </c>
      <c r="G408" s="17" t="n">
        <v>1220</v>
      </c>
      <c r="H408" s="17" t="n">
        <v>23.5</v>
      </c>
      <c r="I408" s="17" t="n">
        <v>6533.1</v>
      </c>
      <c r="J408" s="15" t="s">
        <v>155</v>
      </c>
      <c r="K408" s="15" t="s">
        <v>110</v>
      </c>
    </row>
    <row r="409" customFormat="false" ht="14.25" hidden="false" customHeight="false" outlineLevel="0" collapsed="false">
      <c r="A409" s="15" t="s">
        <v>829</v>
      </c>
      <c r="B409" s="16" t="n">
        <v>45584</v>
      </c>
      <c r="C409" s="15" t="s">
        <v>445</v>
      </c>
      <c r="D409" s="15" t="s">
        <v>256</v>
      </c>
      <c r="E409" s="15" t="s">
        <v>212</v>
      </c>
      <c r="F409" s="17" t="n">
        <v>1</v>
      </c>
      <c r="G409" s="17" t="n">
        <v>2270</v>
      </c>
      <c r="H409" s="17" t="n">
        <v>5.8</v>
      </c>
      <c r="I409" s="17" t="n">
        <v>2138.34</v>
      </c>
      <c r="J409" s="15" t="s">
        <v>151</v>
      </c>
      <c r="K409" s="15" t="s">
        <v>110</v>
      </c>
    </row>
    <row r="410" customFormat="false" ht="14.25" hidden="false" customHeight="false" outlineLevel="0" collapsed="false">
      <c r="A410" s="15" t="s">
        <v>830</v>
      </c>
      <c r="B410" s="16" t="n">
        <v>45581</v>
      </c>
      <c r="C410" s="15" t="s">
        <v>628</v>
      </c>
      <c r="D410" s="15" t="s">
        <v>214</v>
      </c>
      <c r="E410" s="15" t="s">
        <v>308</v>
      </c>
      <c r="F410" s="17" t="n">
        <v>2</v>
      </c>
      <c r="G410" s="17" t="n">
        <v>660</v>
      </c>
      <c r="H410" s="17" t="n">
        <v>2.3</v>
      </c>
      <c r="I410" s="17" t="n">
        <v>1289.64</v>
      </c>
      <c r="J410" s="15" t="s">
        <v>98</v>
      </c>
      <c r="K410" s="15" t="s">
        <v>123</v>
      </c>
    </row>
    <row r="411" customFormat="false" ht="14.25" hidden="false" customHeight="false" outlineLevel="0" collapsed="false">
      <c r="A411" s="15" t="s">
        <v>831</v>
      </c>
      <c r="B411" s="16" t="n">
        <v>45441</v>
      </c>
      <c r="C411" s="15" t="s">
        <v>356</v>
      </c>
      <c r="D411" s="15" t="s">
        <v>117</v>
      </c>
      <c r="E411" s="15" t="s">
        <v>109</v>
      </c>
      <c r="F411" s="17" t="n">
        <v>1</v>
      </c>
      <c r="G411" s="17" t="n">
        <v>3160</v>
      </c>
      <c r="H411" s="17" t="n">
        <v>5.6</v>
      </c>
      <c r="I411" s="17" t="n">
        <v>2983.04</v>
      </c>
      <c r="J411" s="15" t="s">
        <v>98</v>
      </c>
      <c r="K411" s="15" t="s">
        <v>105</v>
      </c>
    </row>
    <row r="412" customFormat="false" ht="14.25" hidden="false" customHeight="false" outlineLevel="0" collapsed="false">
      <c r="A412" s="15" t="s">
        <v>832</v>
      </c>
      <c r="B412" s="16" t="n">
        <v>45408</v>
      </c>
      <c r="C412" s="15" t="s">
        <v>116</v>
      </c>
      <c r="D412" s="15" t="s">
        <v>149</v>
      </c>
      <c r="E412" s="15" t="s">
        <v>263</v>
      </c>
      <c r="F412" s="17" t="n">
        <v>1</v>
      </c>
      <c r="G412" s="17" t="n">
        <v>2600</v>
      </c>
      <c r="H412" s="17" t="n">
        <v>1</v>
      </c>
      <c r="I412" s="17" t="n">
        <v>2574</v>
      </c>
      <c r="J412" s="15" t="s">
        <v>98</v>
      </c>
      <c r="K412" s="15" t="s">
        <v>105</v>
      </c>
    </row>
    <row r="413" customFormat="false" ht="14.25" hidden="false" customHeight="false" outlineLevel="0" collapsed="false">
      <c r="A413" s="15" t="s">
        <v>833</v>
      </c>
      <c r="B413" s="16" t="n">
        <v>45515</v>
      </c>
      <c r="C413" s="15" t="s">
        <v>834</v>
      </c>
      <c r="D413" s="15" t="s">
        <v>281</v>
      </c>
      <c r="E413" s="15" t="s">
        <v>109</v>
      </c>
      <c r="F413" s="17" t="n">
        <v>4</v>
      </c>
      <c r="G413" s="17" t="n">
        <v>4610</v>
      </c>
      <c r="H413" s="17" t="n">
        <v>18.7</v>
      </c>
      <c r="I413" s="17" t="n">
        <v>14991.72</v>
      </c>
      <c r="J413" s="15" t="s">
        <v>98</v>
      </c>
      <c r="K413" s="15" t="s">
        <v>105</v>
      </c>
    </row>
    <row r="414" customFormat="false" ht="14.25" hidden="false" customHeight="false" outlineLevel="0" collapsed="false">
      <c r="A414" s="15" t="s">
        <v>835</v>
      </c>
      <c r="B414" s="16" t="n">
        <v>45412</v>
      </c>
      <c r="C414" s="15" t="s">
        <v>570</v>
      </c>
      <c r="D414" s="15" t="s">
        <v>248</v>
      </c>
      <c r="E414" s="15" t="s">
        <v>314</v>
      </c>
      <c r="F414" s="17" t="n">
        <v>3</v>
      </c>
      <c r="G414" s="17" t="n">
        <v>3640</v>
      </c>
      <c r="H414" s="17" t="n">
        <v>9.7</v>
      </c>
      <c r="I414" s="17" t="n">
        <v>9860.76</v>
      </c>
      <c r="J414" s="15" t="s">
        <v>151</v>
      </c>
      <c r="K414" s="15" t="s">
        <v>99</v>
      </c>
    </row>
    <row r="415" customFormat="false" ht="14.25" hidden="false" customHeight="false" outlineLevel="0" collapsed="false">
      <c r="A415" s="15" t="s">
        <v>836</v>
      </c>
      <c r="B415" s="16" t="n">
        <v>45448</v>
      </c>
      <c r="C415" s="15" t="s">
        <v>557</v>
      </c>
      <c r="D415" s="15" t="s">
        <v>184</v>
      </c>
      <c r="E415" s="15" t="s">
        <v>150</v>
      </c>
      <c r="F415" s="17" t="n">
        <v>6</v>
      </c>
      <c r="G415" s="17" t="n">
        <v>2720</v>
      </c>
      <c r="H415" s="17" t="n">
        <v>13</v>
      </c>
      <c r="I415" s="17" t="n">
        <v>14198.4</v>
      </c>
      <c r="J415" s="15" t="s">
        <v>104</v>
      </c>
      <c r="K415" s="15" t="s">
        <v>110</v>
      </c>
    </row>
    <row r="416" customFormat="false" ht="14.25" hidden="false" customHeight="false" outlineLevel="0" collapsed="false">
      <c r="A416" s="15" t="s">
        <v>837</v>
      </c>
      <c r="B416" s="16" t="n">
        <v>45644</v>
      </c>
      <c r="C416" s="15" t="s">
        <v>541</v>
      </c>
      <c r="D416" s="15" t="s">
        <v>472</v>
      </c>
      <c r="E416" s="15" t="s">
        <v>118</v>
      </c>
      <c r="F416" s="17" t="n">
        <v>5</v>
      </c>
      <c r="G416" s="17" t="n">
        <v>3780</v>
      </c>
      <c r="H416" s="17" t="n">
        <v>15.2</v>
      </c>
      <c r="I416" s="17" t="n">
        <v>16027.2</v>
      </c>
      <c r="J416" s="15" t="s">
        <v>98</v>
      </c>
      <c r="K416" s="15" t="s">
        <v>110</v>
      </c>
    </row>
    <row r="417" customFormat="false" ht="14.25" hidden="false" customHeight="false" outlineLevel="0" collapsed="false">
      <c r="A417" s="15" t="s">
        <v>838</v>
      </c>
      <c r="B417" s="16" t="n">
        <v>45407</v>
      </c>
      <c r="C417" s="15" t="s">
        <v>839</v>
      </c>
      <c r="D417" s="15" t="s">
        <v>513</v>
      </c>
      <c r="E417" s="15" t="s">
        <v>181</v>
      </c>
      <c r="F417" s="17" t="n">
        <v>9</v>
      </c>
      <c r="G417" s="17" t="n">
        <v>1090</v>
      </c>
      <c r="H417" s="17" t="n">
        <v>28.5</v>
      </c>
      <c r="I417" s="17" t="n">
        <v>7014.15</v>
      </c>
      <c r="J417" s="15" t="s">
        <v>98</v>
      </c>
      <c r="K417" s="15" t="s">
        <v>144</v>
      </c>
    </row>
    <row r="418" customFormat="false" ht="14.25" hidden="false" customHeight="false" outlineLevel="0" collapsed="false">
      <c r="A418" s="15" t="s">
        <v>840</v>
      </c>
      <c r="B418" s="16" t="n">
        <v>45581</v>
      </c>
      <c r="C418" s="15" t="s">
        <v>596</v>
      </c>
      <c r="D418" s="15" t="s">
        <v>513</v>
      </c>
      <c r="E418" s="15" t="s">
        <v>139</v>
      </c>
      <c r="F418" s="17" t="n">
        <v>6</v>
      </c>
      <c r="G418" s="17" t="n">
        <v>1090</v>
      </c>
      <c r="H418" s="17" t="n">
        <v>28.7</v>
      </c>
      <c r="I418" s="17" t="n">
        <v>4663.02</v>
      </c>
      <c r="J418" s="15" t="s">
        <v>98</v>
      </c>
      <c r="K418" s="15" t="s">
        <v>105</v>
      </c>
    </row>
    <row r="419" customFormat="false" ht="14.25" hidden="false" customHeight="false" outlineLevel="0" collapsed="false">
      <c r="A419" s="15" t="s">
        <v>841</v>
      </c>
      <c r="B419" s="16" t="n">
        <v>45366</v>
      </c>
      <c r="C419" s="15" t="s">
        <v>624</v>
      </c>
      <c r="D419" s="15" t="s">
        <v>366</v>
      </c>
      <c r="E419" s="15" t="s">
        <v>181</v>
      </c>
      <c r="F419" s="17" t="n">
        <v>5</v>
      </c>
      <c r="G419" s="17" t="n">
        <v>2510</v>
      </c>
      <c r="H419" s="17" t="n">
        <v>25</v>
      </c>
      <c r="I419" s="17" t="n">
        <v>9412.5</v>
      </c>
      <c r="J419" s="15" t="s">
        <v>98</v>
      </c>
      <c r="K419" s="15" t="s">
        <v>123</v>
      </c>
    </row>
    <row r="420" customFormat="false" ht="14.25" hidden="false" customHeight="false" outlineLevel="0" collapsed="false">
      <c r="A420" s="15" t="s">
        <v>842</v>
      </c>
      <c r="B420" s="16" t="n">
        <v>45577</v>
      </c>
      <c r="C420" s="15" t="s">
        <v>384</v>
      </c>
      <c r="D420" s="15" t="s">
        <v>419</v>
      </c>
      <c r="E420" s="15" t="s">
        <v>143</v>
      </c>
      <c r="F420" s="17" t="n">
        <v>5</v>
      </c>
      <c r="G420" s="17" t="n">
        <v>3970</v>
      </c>
      <c r="H420" s="17" t="n">
        <v>26</v>
      </c>
      <c r="I420" s="17" t="n">
        <v>14689</v>
      </c>
      <c r="J420" s="15" t="s">
        <v>98</v>
      </c>
      <c r="K420" s="15" t="s">
        <v>99</v>
      </c>
    </row>
    <row r="421" customFormat="false" ht="14.25" hidden="false" customHeight="false" outlineLevel="0" collapsed="false">
      <c r="A421" s="15" t="s">
        <v>843</v>
      </c>
      <c r="B421" s="16" t="n">
        <v>45333</v>
      </c>
      <c r="C421" s="15" t="s">
        <v>539</v>
      </c>
      <c r="D421" s="15" t="s">
        <v>275</v>
      </c>
      <c r="E421" s="15" t="s">
        <v>226</v>
      </c>
      <c r="F421" s="17" t="n">
        <v>9</v>
      </c>
      <c r="G421" s="17" t="n">
        <v>4070</v>
      </c>
      <c r="H421" s="17" t="n">
        <v>15.7</v>
      </c>
      <c r="I421" s="17" t="n">
        <v>30879.09</v>
      </c>
      <c r="J421" s="15" t="s">
        <v>98</v>
      </c>
      <c r="K421" s="15" t="s">
        <v>123</v>
      </c>
    </row>
    <row r="422" customFormat="false" ht="14.25" hidden="false" customHeight="false" outlineLevel="0" collapsed="false">
      <c r="A422" s="15" t="s">
        <v>844</v>
      </c>
      <c r="B422" s="16" t="n">
        <v>45418</v>
      </c>
      <c r="C422" s="15" t="s">
        <v>265</v>
      </c>
      <c r="D422" s="15" t="s">
        <v>135</v>
      </c>
      <c r="E422" s="15" t="s">
        <v>150</v>
      </c>
      <c r="F422" s="17" t="n">
        <v>6</v>
      </c>
      <c r="G422" s="17" t="n">
        <v>5490</v>
      </c>
      <c r="H422" s="17" t="n">
        <v>8.5</v>
      </c>
      <c r="I422" s="17" t="n">
        <v>30140.1</v>
      </c>
      <c r="J422" s="15" t="s">
        <v>155</v>
      </c>
      <c r="K422" s="15" t="s">
        <v>105</v>
      </c>
    </row>
    <row r="423" customFormat="false" ht="14.25" hidden="false" customHeight="false" outlineLevel="0" collapsed="false">
      <c r="A423" s="15" t="s">
        <v>845</v>
      </c>
      <c r="B423" s="16" t="n">
        <v>45615</v>
      </c>
      <c r="C423" s="15" t="s">
        <v>846</v>
      </c>
      <c r="D423" s="15" t="s">
        <v>193</v>
      </c>
      <c r="E423" s="15" t="s">
        <v>296</v>
      </c>
      <c r="F423" s="17" t="n">
        <v>9</v>
      </c>
      <c r="G423" s="17" t="n">
        <v>1010</v>
      </c>
      <c r="H423" s="17" t="n">
        <v>3.6</v>
      </c>
      <c r="I423" s="17" t="n">
        <v>8762.76</v>
      </c>
      <c r="J423" s="15" t="s">
        <v>98</v>
      </c>
      <c r="K423" s="15" t="s">
        <v>128</v>
      </c>
    </row>
    <row r="424" customFormat="false" ht="14.25" hidden="false" customHeight="false" outlineLevel="0" collapsed="false">
      <c r="A424" s="15" t="s">
        <v>847</v>
      </c>
      <c r="B424" s="16" t="n">
        <v>45631</v>
      </c>
      <c r="C424" s="15" t="s">
        <v>848</v>
      </c>
      <c r="D424" s="15" t="s">
        <v>113</v>
      </c>
      <c r="E424" s="15" t="s">
        <v>118</v>
      </c>
      <c r="F424" s="17" t="n">
        <v>6</v>
      </c>
      <c r="G424" s="17" t="n">
        <v>3660</v>
      </c>
      <c r="H424" s="17" t="n">
        <v>10.8</v>
      </c>
      <c r="I424" s="17" t="n">
        <v>19588.32</v>
      </c>
      <c r="J424" s="15" t="s">
        <v>98</v>
      </c>
      <c r="K424" s="15" t="s">
        <v>128</v>
      </c>
    </row>
    <row r="425" customFormat="false" ht="14.25" hidden="false" customHeight="false" outlineLevel="0" collapsed="false">
      <c r="A425" s="15" t="s">
        <v>849</v>
      </c>
      <c r="B425" s="16" t="n">
        <v>45524</v>
      </c>
      <c r="C425" s="15" t="s">
        <v>424</v>
      </c>
      <c r="D425" s="15" t="s">
        <v>168</v>
      </c>
      <c r="E425" s="15" t="s">
        <v>357</v>
      </c>
      <c r="F425" s="17" t="n">
        <v>6</v>
      </c>
      <c r="G425" s="17" t="n">
        <v>3450</v>
      </c>
      <c r="H425" s="17" t="n">
        <v>10.7</v>
      </c>
      <c r="I425" s="17" t="n">
        <v>18485.1</v>
      </c>
      <c r="J425" s="15" t="s">
        <v>98</v>
      </c>
      <c r="K425" s="15" t="s">
        <v>99</v>
      </c>
    </row>
    <row r="426" customFormat="false" ht="14.25" hidden="false" customHeight="false" outlineLevel="0" collapsed="false">
      <c r="A426" s="15" t="s">
        <v>850</v>
      </c>
      <c r="B426" s="16" t="n">
        <v>45379</v>
      </c>
      <c r="C426" s="15" t="s">
        <v>236</v>
      </c>
      <c r="D426" s="15" t="s">
        <v>275</v>
      </c>
      <c r="E426" s="15" t="s">
        <v>284</v>
      </c>
      <c r="F426" s="17" t="n">
        <v>10</v>
      </c>
      <c r="G426" s="17" t="n">
        <v>4070</v>
      </c>
      <c r="H426" s="17" t="n">
        <v>23.4</v>
      </c>
      <c r="I426" s="17" t="n">
        <v>31176.2</v>
      </c>
      <c r="J426" s="15" t="s">
        <v>155</v>
      </c>
      <c r="K426" s="15" t="s">
        <v>105</v>
      </c>
    </row>
    <row r="427" customFormat="false" ht="14.25" hidden="false" customHeight="false" outlineLevel="0" collapsed="false">
      <c r="A427" s="15" t="s">
        <v>851</v>
      </c>
      <c r="B427" s="16" t="n">
        <v>45454</v>
      </c>
      <c r="C427" s="15" t="s">
        <v>852</v>
      </c>
      <c r="D427" s="15" t="s">
        <v>198</v>
      </c>
      <c r="E427" s="15" t="s">
        <v>122</v>
      </c>
      <c r="F427" s="17" t="n">
        <v>9</v>
      </c>
      <c r="G427" s="17" t="n">
        <v>3570</v>
      </c>
      <c r="H427" s="17" t="n">
        <v>15.2</v>
      </c>
      <c r="I427" s="17" t="n">
        <v>27246.24</v>
      </c>
      <c r="J427" s="15" t="s">
        <v>98</v>
      </c>
      <c r="K427" s="15" t="s">
        <v>128</v>
      </c>
    </row>
    <row r="428" customFormat="false" ht="14.25" hidden="false" customHeight="false" outlineLevel="0" collapsed="false">
      <c r="A428" s="15" t="s">
        <v>853</v>
      </c>
      <c r="B428" s="16" t="n">
        <v>45562</v>
      </c>
      <c r="C428" s="15" t="s">
        <v>130</v>
      </c>
      <c r="D428" s="15" t="s">
        <v>526</v>
      </c>
      <c r="E428" s="15" t="s">
        <v>103</v>
      </c>
      <c r="F428" s="17" t="n">
        <v>10</v>
      </c>
      <c r="G428" s="17" t="n">
        <v>6940</v>
      </c>
      <c r="H428" s="17" t="n">
        <v>21.8</v>
      </c>
      <c r="I428" s="17" t="n">
        <v>54270.8</v>
      </c>
      <c r="J428" s="15" t="s">
        <v>104</v>
      </c>
      <c r="K428" s="15" t="s">
        <v>128</v>
      </c>
    </row>
    <row r="429" customFormat="false" ht="14.25" hidden="false" customHeight="false" outlineLevel="0" collapsed="false">
      <c r="A429" s="15" t="s">
        <v>854</v>
      </c>
      <c r="B429" s="16" t="n">
        <v>45489</v>
      </c>
      <c r="C429" s="15" t="s">
        <v>327</v>
      </c>
      <c r="D429" s="15" t="s">
        <v>187</v>
      </c>
      <c r="E429" s="15" t="s">
        <v>109</v>
      </c>
      <c r="F429" s="17" t="n">
        <v>9</v>
      </c>
      <c r="G429" s="17" t="n">
        <v>1650</v>
      </c>
      <c r="H429" s="17" t="n">
        <v>24.3</v>
      </c>
      <c r="I429" s="17" t="n">
        <v>11241.45</v>
      </c>
      <c r="J429" s="15" t="s">
        <v>98</v>
      </c>
      <c r="K429" s="15" t="s">
        <v>99</v>
      </c>
    </row>
    <row r="430" customFormat="false" ht="14.25" hidden="false" customHeight="false" outlineLevel="0" collapsed="false">
      <c r="A430" s="15" t="s">
        <v>855</v>
      </c>
      <c r="B430" s="16" t="n">
        <v>45624</v>
      </c>
      <c r="C430" s="15" t="s">
        <v>578</v>
      </c>
      <c r="D430" s="15" t="s">
        <v>131</v>
      </c>
      <c r="E430" s="15" t="s">
        <v>109</v>
      </c>
      <c r="F430" s="17" t="n">
        <v>10</v>
      </c>
      <c r="G430" s="17" t="n">
        <v>1430</v>
      </c>
      <c r="H430" s="17" t="n">
        <v>25.2</v>
      </c>
      <c r="I430" s="17" t="n">
        <v>10696.4</v>
      </c>
      <c r="J430" s="15" t="s">
        <v>98</v>
      </c>
      <c r="K430" s="15" t="s">
        <v>128</v>
      </c>
    </row>
    <row r="431" customFormat="false" ht="14.25" hidden="false" customHeight="false" outlineLevel="0" collapsed="false">
      <c r="A431" s="15" t="s">
        <v>856</v>
      </c>
      <c r="B431" s="16" t="n">
        <v>45480</v>
      </c>
      <c r="C431" s="15" t="s">
        <v>635</v>
      </c>
      <c r="D431" s="15" t="s">
        <v>362</v>
      </c>
      <c r="E431" s="15" t="s">
        <v>143</v>
      </c>
      <c r="F431" s="17" t="n">
        <v>4</v>
      </c>
      <c r="G431" s="17" t="n">
        <v>4060</v>
      </c>
      <c r="H431" s="17" t="n">
        <v>1.6</v>
      </c>
      <c r="I431" s="17" t="n">
        <v>15980.16</v>
      </c>
      <c r="J431" s="15" t="s">
        <v>98</v>
      </c>
      <c r="K431" s="15" t="s">
        <v>99</v>
      </c>
    </row>
    <row r="432" customFormat="false" ht="14.25" hidden="false" customHeight="false" outlineLevel="0" collapsed="false">
      <c r="A432" s="15" t="s">
        <v>857</v>
      </c>
      <c r="B432" s="16" t="n">
        <v>45420</v>
      </c>
      <c r="C432" s="15" t="s">
        <v>617</v>
      </c>
      <c r="D432" s="15" t="s">
        <v>121</v>
      </c>
      <c r="E432" s="15" t="s">
        <v>103</v>
      </c>
      <c r="F432" s="17" t="n">
        <v>9</v>
      </c>
      <c r="G432" s="17" t="n">
        <v>370</v>
      </c>
      <c r="H432" s="17" t="n">
        <v>17</v>
      </c>
      <c r="I432" s="17" t="n">
        <v>2763.9</v>
      </c>
      <c r="J432" s="15" t="s">
        <v>98</v>
      </c>
      <c r="K432" s="15" t="s">
        <v>123</v>
      </c>
    </row>
    <row r="433" customFormat="false" ht="14.25" hidden="false" customHeight="false" outlineLevel="0" collapsed="false">
      <c r="A433" s="15" t="s">
        <v>858</v>
      </c>
      <c r="B433" s="16" t="n">
        <v>45322</v>
      </c>
      <c r="C433" s="15" t="s">
        <v>714</v>
      </c>
      <c r="D433" s="15" t="s">
        <v>270</v>
      </c>
      <c r="E433" s="15" t="s">
        <v>143</v>
      </c>
      <c r="F433" s="17" t="n">
        <v>1</v>
      </c>
      <c r="G433" s="17" t="n">
        <v>1540</v>
      </c>
      <c r="H433" s="17" t="n">
        <v>24</v>
      </c>
      <c r="I433" s="17" t="n">
        <v>1170.4</v>
      </c>
      <c r="J433" s="15" t="s">
        <v>151</v>
      </c>
      <c r="K433" s="15" t="s">
        <v>99</v>
      </c>
    </row>
    <row r="434" customFormat="false" ht="14.25" hidden="false" customHeight="false" outlineLevel="0" collapsed="false">
      <c r="A434" s="15" t="s">
        <v>859</v>
      </c>
      <c r="B434" s="16" t="n">
        <v>45382</v>
      </c>
      <c r="C434" s="15" t="s">
        <v>574</v>
      </c>
      <c r="D434" s="15" t="s">
        <v>149</v>
      </c>
      <c r="E434" s="15" t="s">
        <v>122</v>
      </c>
      <c r="F434" s="17" t="n">
        <v>9</v>
      </c>
      <c r="G434" s="17" t="n">
        <v>2600</v>
      </c>
      <c r="H434" s="17" t="n">
        <v>7.7</v>
      </c>
      <c r="I434" s="17" t="n">
        <v>21598.2</v>
      </c>
      <c r="J434" s="15" t="s">
        <v>98</v>
      </c>
      <c r="K434" s="15" t="s">
        <v>99</v>
      </c>
    </row>
    <row r="435" customFormat="false" ht="14.25" hidden="false" customHeight="false" outlineLevel="0" collapsed="false">
      <c r="A435" s="15" t="s">
        <v>860</v>
      </c>
      <c r="B435" s="16" t="n">
        <v>45497</v>
      </c>
      <c r="C435" s="15" t="s">
        <v>861</v>
      </c>
      <c r="D435" s="15" t="s">
        <v>366</v>
      </c>
      <c r="E435" s="15" t="s">
        <v>199</v>
      </c>
      <c r="F435" s="17" t="n">
        <v>8</v>
      </c>
      <c r="G435" s="17" t="n">
        <v>2510</v>
      </c>
      <c r="H435" s="17" t="n">
        <v>3.7</v>
      </c>
      <c r="I435" s="17" t="n">
        <v>19337.04</v>
      </c>
      <c r="J435" s="15" t="s">
        <v>98</v>
      </c>
      <c r="K435" s="15" t="s">
        <v>105</v>
      </c>
    </row>
    <row r="436" customFormat="false" ht="14.25" hidden="false" customHeight="false" outlineLevel="0" collapsed="false">
      <c r="A436" s="15" t="s">
        <v>862</v>
      </c>
      <c r="B436" s="16" t="n">
        <v>45510</v>
      </c>
      <c r="C436" s="15" t="s">
        <v>635</v>
      </c>
      <c r="D436" s="15" t="s">
        <v>375</v>
      </c>
      <c r="E436" s="15" t="s">
        <v>159</v>
      </c>
      <c r="F436" s="17" t="n">
        <v>6</v>
      </c>
      <c r="G436" s="17" t="n">
        <v>5330</v>
      </c>
      <c r="H436" s="17" t="n">
        <v>8.4</v>
      </c>
      <c r="I436" s="17" t="n">
        <v>29293.68</v>
      </c>
      <c r="J436" s="15" t="s">
        <v>98</v>
      </c>
      <c r="K436" s="15" t="s">
        <v>99</v>
      </c>
    </row>
    <row r="437" customFormat="false" ht="14.25" hidden="false" customHeight="false" outlineLevel="0" collapsed="false">
      <c r="A437" s="15" t="s">
        <v>863</v>
      </c>
      <c r="B437" s="16" t="n">
        <v>45522</v>
      </c>
      <c r="C437" s="15" t="s">
        <v>440</v>
      </c>
      <c r="D437" s="15" t="s">
        <v>454</v>
      </c>
      <c r="E437" s="15" t="s">
        <v>109</v>
      </c>
      <c r="F437" s="17" t="n">
        <v>5</v>
      </c>
      <c r="G437" s="17" t="n">
        <v>5080</v>
      </c>
      <c r="H437" s="17" t="n">
        <v>10.3</v>
      </c>
      <c r="I437" s="17" t="n">
        <v>22783.8</v>
      </c>
      <c r="J437" s="15" t="s">
        <v>98</v>
      </c>
      <c r="K437" s="15" t="s">
        <v>128</v>
      </c>
    </row>
    <row r="438" customFormat="false" ht="14.25" hidden="false" customHeight="false" outlineLevel="0" collapsed="false">
      <c r="A438" s="15" t="s">
        <v>864</v>
      </c>
      <c r="B438" s="16" t="n">
        <v>45381</v>
      </c>
      <c r="C438" s="15" t="s">
        <v>621</v>
      </c>
      <c r="D438" s="15" t="s">
        <v>275</v>
      </c>
      <c r="E438" s="15" t="s">
        <v>122</v>
      </c>
      <c r="F438" s="17" t="n">
        <v>3</v>
      </c>
      <c r="G438" s="17" t="n">
        <v>4070</v>
      </c>
      <c r="H438" s="17" t="n">
        <v>23.7</v>
      </c>
      <c r="I438" s="17" t="n">
        <v>9316.23</v>
      </c>
      <c r="J438" s="15" t="s">
        <v>98</v>
      </c>
      <c r="K438" s="15" t="s">
        <v>128</v>
      </c>
    </row>
    <row r="439" customFormat="false" ht="14.25" hidden="false" customHeight="false" outlineLevel="0" collapsed="false">
      <c r="A439" s="15" t="s">
        <v>865</v>
      </c>
      <c r="B439" s="16" t="n">
        <v>45511</v>
      </c>
      <c r="C439" s="15" t="s">
        <v>201</v>
      </c>
      <c r="D439" s="15" t="s">
        <v>303</v>
      </c>
      <c r="E439" s="15" t="s">
        <v>263</v>
      </c>
      <c r="F439" s="17" t="n">
        <v>4</v>
      </c>
      <c r="G439" s="17" t="n">
        <v>620</v>
      </c>
      <c r="H439" s="17" t="n">
        <v>18.8</v>
      </c>
      <c r="I439" s="17" t="n">
        <v>2013.76</v>
      </c>
      <c r="J439" s="15" t="s">
        <v>98</v>
      </c>
      <c r="K439" s="15" t="s">
        <v>144</v>
      </c>
    </row>
    <row r="440" customFormat="false" ht="14.25" hidden="false" customHeight="false" outlineLevel="0" collapsed="false">
      <c r="A440" s="15" t="s">
        <v>866</v>
      </c>
      <c r="B440" s="16" t="n">
        <v>45628</v>
      </c>
      <c r="C440" s="15" t="s">
        <v>867</v>
      </c>
      <c r="D440" s="15" t="s">
        <v>146</v>
      </c>
      <c r="E440" s="15" t="s">
        <v>249</v>
      </c>
      <c r="F440" s="17" t="n">
        <v>10</v>
      </c>
      <c r="G440" s="17" t="n">
        <v>2640</v>
      </c>
      <c r="H440" s="17" t="n">
        <v>12.7</v>
      </c>
      <c r="I440" s="17" t="n">
        <v>23047.2</v>
      </c>
      <c r="J440" s="15" t="s">
        <v>98</v>
      </c>
      <c r="K440" s="15" t="s">
        <v>99</v>
      </c>
    </row>
    <row r="441" customFormat="false" ht="14.25" hidden="false" customHeight="false" outlineLevel="0" collapsed="false">
      <c r="A441" s="15" t="s">
        <v>868</v>
      </c>
      <c r="B441" s="16" t="n">
        <v>45326</v>
      </c>
      <c r="C441" s="15" t="s">
        <v>480</v>
      </c>
      <c r="D441" s="15" t="s">
        <v>275</v>
      </c>
      <c r="E441" s="15" t="s">
        <v>181</v>
      </c>
      <c r="F441" s="17" t="n">
        <v>2</v>
      </c>
      <c r="G441" s="17" t="n">
        <v>4070</v>
      </c>
      <c r="H441" s="17" t="n">
        <v>29</v>
      </c>
      <c r="I441" s="17" t="n">
        <v>5779.4</v>
      </c>
      <c r="J441" s="15" t="s">
        <v>98</v>
      </c>
      <c r="K441" s="15" t="s">
        <v>128</v>
      </c>
    </row>
    <row r="442" customFormat="false" ht="14.25" hidden="false" customHeight="false" outlineLevel="0" collapsed="false">
      <c r="A442" s="15" t="s">
        <v>869</v>
      </c>
      <c r="B442" s="16" t="n">
        <v>45561</v>
      </c>
      <c r="C442" s="15" t="s">
        <v>673</v>
      </c>
      <c r="D442" s="15" t="s">
        <v>193</v>
      </c>
      <c r="E442" s="15" t="s">
        <v>97</v>
      </c>
      <c r="F442" s="17" t="n">
        <v>8</v>
      </c>
      <c r="G442" s="17" t="n">
        <v>1010</v>
      </c>
      <c r="H442" s="17" t="n">
        <v>25.4</v>
      </c>
      <c r="I442" s="17" t="n">
        <v>6027.68</v>
      </c>
      <c r="J442" s="15" t="s">
        <v>98</v>
      </c>
      <c r="K442" s="15" t="s">
        <v>105</v>
      </c>
    </row>
    <row r="443" customFormat="false" ht="14.25" hidden="false" customHeight="false" outlineLevel="0" collapsed="false">
      <c r="A443" s="15" t="s">
        <v>870</v>
      </c>
      <c r="B443" s="16" t="n">
        <v>45629</v>
      </c>
      <c r="C443" s="15" t="s">
        <v>498</v>
      </c>
      <c r="D443" s="15" t="s">
        <v>154</v>
      </c>
      <c r="E443" s="15" t="s">
        <v>103</v>
      </c>
      <c r="F443" s="17" t="n">
        <v>8</v>
      </c>
      <c r="G443" s="17" t="n">
        <v>3250</v>
      </c>
      <c r="H443" s="17" t="n">
        <v>5.4</v>
      </c>
      <c r="I443" s="17" t="n">
        <v>24596</v>
      </c>
      <c r="J443" s="15" t="s">
        <v>98</v>
      </c>
      <c r="K443" s="15" t="s">
        <v>99</v>
      </c>
    </row>
    <row r="444" customFormat="false" ht="14.25" hidden="false" customHeight="false" outlineLevel="0" collapsed="false">
      <c r="A444" s="15" t="s">
        <v>871</v>
      </c>
      <c r="B444" s="16" t="n">
        <v>45460</v>
      </c>
      <c r="C444" s="15" t="s">
        <v>438</v>
      </c>
      <c r="D444" s="15" t="s">
        <v>131</v>
      </c>
      <c r="E444" s="15" t="s">
        <v>215</v>
      </c>
      <c r="F444" s="17" t="n">
        <v>7</v>
      </c>
      <c r="G444" s="17" t="n">
        <v>1430</v>
      </c>
      <c r="H444" s="17" t="n">
        <v>19.3</v>
      </c>
      <c r="I444" s="17" t="n">
        <v>8078.07</v>
      </c>
      <c r="J444" s="15" t="s">
        <v>98</v>
      </c>
      <c r="K444" s="15" t="s">
        <v>99</v>
      </c>
    </row>
    <row r="445" customFormat="false" ht="14.25" hidden="false" customHeight="false" outlineLevel="0" collapsed="false">
      <c r="A445" s="15" t="s">
        <v>872</v>
      </c>
      <c r="B445" s="16" t="n">
        <v>45597</v>
      </c>
      <c r="C445" s="15" t="s">
        <v>387</v>
      </c>
      <c r="D445" s="15" t="s">
        <v>287</v>
      </c>
      <c r="E445" s="15" t="s">
        <v>314</v>
      </c>
      <c r="F445" s="17" t="n">
        <v>9</v>
      </c>
      <c r="G445" s="17" t="n">
        <v>3020</v>
      </c>
      <c r="H445" s="17" t="n">
        <v>15</v>
      </c>
      <c r="I445" s="17" t="n">
        <v>23103</v>
      </c>
      <c r="J445" s="15" t="s">
        <v>98</v>
      </c>
      <c r="K445" s="15" t="s">
        <v>128</v>
      </c>
    </row>
    <row r="446" customFormat="false" ht="14.25" hidden="false" customHeight="false" outlineLevel="0" collapsed="false">
      <c r="A446" s="15" t="s">
        <v>873</v>
      </c>
      <c r="B446" s="16" t="n">
        <v>45324</v>
      </c>
      <c r="C446" s="15" t="s">
        <v>874</v>
      </c>
      <c r="D446" s="15" t="s">
        <v>290</v>
      </c>
      <c r="E446" s="15" t="s">
        <v>308</v>
      </c>
      <c r="F446" s="17" t="n">
        <v>2</v>
      </c>
      <c r="G446" s="17" t="n">
        <v>2660</v>
      </c>
      <c r="H446" s="17" t="n">
        <v>21.4</v>
      </c>
      <c r="I446" s="17" t="n">
        <v>4181.52</v>
      </c>
      <c r="J446" s="15" t="s">
        <v>98</v>
      </c>
      <c r="K446" s="15" t="s">
        <v>105</v>
      </c>
    </row>
    <row r="447" customFormat="false" ht="14.25" hidden="false" customHeight="false" outlineLevel="0" collapsed="false">
      <c r="A447" s="15" t="s">
        <v>875</v>
      </c>
      <c r="B447" s="16" t="n">
        <v>45490</v>
      </c>
      <c r="C447" s="15" t="s">
        <v>192</v>
      </c>
      <c r="D447" s="15" t="s">
        <v>198</v>
      </c>
      <c r="E447" s="15" t="s">
        <v>132</v>
      </c>
      <c r="F447" s="17" t="n">
        <v>10</v>
      </c>
      <c r="G447" s="17" t="n">
        <v>3570</v>
      </c>
      <c r="H447" s="17" t="n">
        <v>20.3</v>
      </c>
      <c r="I447" s="17" t="n">
        <v>28452.9</v>
      </c>
      <c r="J447" s="15" t="s">
        <v>98</v>
      </c>
      <c r="K447" s="15" t="s">
        <v>110</v>
      </c>
    </row>
    <row r="448" customFormat="false" ht="14.25" hidden="false" customHeight="false" outlineLevel="0" collapsed="false">
      <c r="A448" s="15" t="s">
        <v>876</v>
      </c>
      <c r="B448" s="16" t="n">
        <v>45330</v>
      </c>
      <c r="C448" s="15" t="s">
        <v>208</v>
      </c>
      <c r="D448" s="15" t="s">
        <v>190</v>
      </c>
      <c r="E448" s="15" t="s">
        <v>143</v>
      </c>
      <c r="F448" s="17" t="n">
        <v>4</v>
      </c>
      <c r="G448" s="17" t="n">
        <v>3350</v>
      </c>
      <c r="H448" s="17" t="n">
        <v>28.1</v>
      </c>
      <c r="I448" s="17" t="n">
        <v>9634.6</v>
      </c>
      <c r="J448" s="15" t="s">
        <v>98</v>
      </c>
      <c r="K448" s="15" t="s">
        <v>99</v>
      </c>
    </row>
    <row r="449" customFormat="false" ht="14.25" hidden="false" customHeight="false" outlineLevel="0" collapsed="false">
      <c r="A449" s="15" t="s">
        <v>877</v>
      </c>
      <c r="B449" s="16" t="n">
        <v>45336</v>
      </c>
      <c r="C449" s="15" t="s">
        <v>112</v>
      </c>
      <c r="D449" s="15" t="s">
        <v>178</v>
      </c>
      <c r="E449" s="15" t="s">
        <v>169</v>
      </c>
      <c r="F449" s="17" t="n">
        <v>1</v>
      </c>
      <c r="G449" s="17" t="n">
        <v>2480</v>
      </c>
      <c r="H449" s="17" t="n">
        <v>13.5</v>
      </c>
      <c r="I449" s="17" t="n">
        <v>2145.2</v>
      </c>
      <c r="J449" s="15" t="s">
        <v>98</v>
      </c>
      <c r="K449" s="15" t="s">
        <v>110</v>
      </c>
    </row>
    <row r="450" customFormat="false" ht="14.25" hidden="false" customHeight="false" outlineLevel="0" collapsed="false">
      <c r="A450" s="15" t="s">
        <v>878</v>
      </c>
      <c r="B450" s="16" t="n">
        <v>45649</v>
      </c>
      <c r="C450" s="15" t="s">
        <v>879</v>
      </c>
      <c r="D450" s="15" t="s">
        <v>371</v>
      </c>
      <c r="E450" s="15" t="s">
        <v>199</v>
      </c>
      <c r="F450" s="17" t="n">
        <v>10</v>
      </c>
      <c r="G450" s="17" t="n">
        <v>5410</v>
      </c>
      <c r="H450" s="17" t="n">
        <v>26.1</v>
      </c>
      <c r="I450" s="17" t="n">
        <v>39979.9</v>
      </c>
      <c r="J450" s="15" t="s">
        <v>98</v>
      </c>
      <c r="K450" s="15" t="s">
        <v>110</v>
      </c>
    </row>
    <row r="451" customFormat="false" ht="14.25" hidden="false" customHeight="false" outlineLevel="0" collapsed="false">
      <c r="A451" s="15" t="s">
        <v>880</v>
      </c>
      <c r="B451" s="16" t="n">
        <v>45586</v>
      </c>
      <c r="C451" s="15" t="s">
        <v>881</v>
      </c>
      <c r="D451" s="15" t="s">
        <v>214</v>
      </c>
      <c r="E451" s="15" t="s">
        <v>165</v>
      </c>
      <c r="F451" s="17" t="n">
        <v>2</v>
      </c>
      <c r="G451" s="17" t="n">
        <v>660</v>
      </c>
      <c r="H451" s="17" t="n">
        <v>5</v>
      </c>
      <c r="I451" s="17" t="n">
        <v>1254</v>
      </c>
      <c r="J451" s="15" t="s">
        <v>98</v>
      </c>
      <c r="K451" s="15" t="s">
        <v>128</v>
      </c>
    </row>
    <row r="452" customFormat="false" ht="14.25" hidden="false" customHeight="false" outlineLevel="0" collapsed="false">
      <c r="A452" s="15" t="s">
        <v>882</v>
      </c>
      <c r="B452" s="16" t="n">
        <v>45647</v>
      </c>
      <c r="C452" s="15" t="s">
        <v>883</v>
      </c>
      <c r="D452" s="15" t="s">
        <v>193</v>
      </c>
      <c r="E452" s="15" t="s">
        <v>97</v>
      </c>
      <c r="F452" s="17" t="n">
        <v>10</v>
      </c>
      <c r="G452" s="17" t="n">
        <v>1010</v>
      </c>
      <c r="H452" s="17" t="n">
        <v>10</v>
      </c>
      <c r="I452" s="17" t="n">
        <v>9090</v>
      </c>
      <c r="J452" s="15" t="s">
        <v>98</v>
      </c>
      <c r="K452" s="15" t="s">
        <v>123</v>
      </c>
    </row>
    <row r="453" customFormat="false" ht="14.25" hidden="false" customHeight="false" outlineLevel="0" collapsed="false">
      <c r="A453" s="15" t="s">
        <v>884</v>
      </c>
      <c r="B453" s="16" t="n">
        <v>45496</v>
      </c>
      <c r="C453" s="15" t="s">
        <v>885</v>
      </c>
      <c r="D453" s="15" t="s">
        <v>397</v>
      </c>
      <c r="E453" s="15" t="s">
        <v>226</v>
      </c>
      <c r="F453" s="17" t="n">
        <v>3</v>
      </c>
      <c r="G453" s="17" t="n">
        <v>2290</v>
      </c>
      <c r="H453" s="17" t="n">
        <v>8.9</v>
      </c>
      <c r="I453" s="17" t="n">
        <v>6258.57</v>
      </c>
      <c r="J453" s="15" t="s">
        <v>98</v>
      </c>
      <c r="K453" s="15" t="s">
        <v>123</v>
      </c>
    </row>
    <row r="454" customFormat="false" ht="14.25" hidden="false" customHeight="false" outlineLevel="0" collapsed="false">
      <c r="A454" s="15" t="s">
        <v>886</v>
      </c>
      <c r="B454" s="16" t="n">
        <v>45369</v>
      </c>
      <c r="C454" s="15" t="s">
        <v>725</v>
      </c>
      <c r="D454" s="15" t="s">
        <v>168</v>
      </c>
      <c r="E454" s="15" t="s">
        <v>226</v>
      </c>
      <c r="F454" s="17" t="n">
        <v>9</v>
      </c>
      <c r="G454" s="17" t="n">
        <v>3450</v>
      </c>
      <c r="H454" s="17" t="n">
        <v>24.3</v>
      </c>
      <c r="I454" s="17" t="n">
        <v>23504.85</v>
      </c>
      <c r="J454" s="15" t="s">
        <v>98</v>
      </c>
      <c r="K454" s="15" t="s">
        <v>110</v>
      </c>
    </row>
    <row r="455" customFormat="false" ht="14.25" hidden="false" customHeight="false" outlineLevel="0" collapsed="false">
      <c r="A455" s="15" t="s">
        <v>887</v>
      </c>
      <c r="B455" s="16" t="n">
        <v>45389</v>
      </c>
      <c r="C455" s="15" t="s">
        <v>300</v>
      </c>
      <c r="D455" s="15" t="s">
        <v>248</v>
      </c>
      <c r="E455" s="15" t="s">
        <v>159</v>
      </c>
      <c r="F455" s="17" t="n">
        <v>10</v>
      </c>
      <c r="G455" s="17" t="n">
        <v>3640</v>
      </c>
      <c r="H455" s="17" t="n">
        <v>21.4</v>
      </c>
      <c r="I455" s="17" t="n">
        <v>28610.4</v>
      </c>
      <c r="J455" s="15" t="s">
        <v>151</v>
      </c>
      <c r="K455" s="15" t="s">
        <v>105</v>
      </c>
    </row>
    <row r="456" customFormat="false" ht="14.25" hidden="false" customHeight="false" outlineLevel="0" collapsed="false">
      <c r="A456" s="15" t="s">
        <v>888</v>
      </c>
      <c r="B456" s="16" t="n">
        <v>45336</v>
      </c>
      <c r="C456" s="15" t="s">
        <v>889</v>
      </c>
      <c r="D456" s="15" t="s">
        <v>378</v>
      </c>
      <c r="E456" s="15" t="s">
        <v>199</v>
      </c>
      <c r="F456" s="17" t="n">
        <v>5</v>
      </c>
      <c r="G456" s="17" t="n">
        <v>2380</v>
      </c>
      <c r="H456" s="17" t="n">
        <v>12.2</v>
      </c>
      <c r="I456" s="17" t="n">
        <v>10448.2</v>
      </c>
      <c r="J456" s="15" t="s">
        <v>98</v>
      </c>
      <c r="K456" s="15" t="s">
        <v>123</v>
      </c>
    </row>
    <row r="457" customFormat="false" ht="14.25" hidden="false" customHeight="false" outlineLevel="0" collapsed="false">
      <c r="A457" s="15" t="s">
        <v>890</v>
      </c>
      <c r="B457" s="16" t="n">
        <v>45505</v>
      </c>
      <c r="C457" s="15" t="s">
        <v>550</v>
      </c>
      <c r="D457" s="15" t="s">
        <v>371</v>
      </c>
      <c r="E457" s="15" t="s">
        <v>249</v>
      </c>
      <c r="F457" s="17" t="n">
        <v>10</v>
      </c>
      <c r="G457" s="17" t="n">
        <v>5410</v>
      </c>
      <c r="H457" s="17" t="n">
        <v>29.8</v>
      </c>
      <c r="I457" s="17" t="n">
        <v>37978.2</v>
      </c>
      <c r="J457" s="15" t="s">
        <v>98</v>
      </c>
      <c r="K457" s="15" t="s">
        <v>144</v>
      </c>
    </row>
    <row r="458" customFormat="false" ht="14.25" hidden="false" customHeight="false" outlineLevel="0" collapsed="false">
      <c r="A458" s="15" t="s">
        <v>891</v>
      </c>
      <c r="B458" s="16" t="n">
        <v>45375</v>
      </c>
      <c r="C458" s="15" t="s">
        <v>883</v>
      </c>
      <c r="D458" s="15" t="s">
        <v>187</v>
      </c>
      <c r="E458" s="15" t="s">
        <v>169</v>
      </c>
      <c r="F458" s="17" t="n">
        <v>3</v>
      </c>
      <c r="G458" s="17" t="n">
        <v>1650</v>
      </c>
      <c r="H458" s="17" t="n">
        <v>9.4</v>
      </c>
      <c r="I458" s="17" t="n">
        <v>4484.7</v>
      </c>
      <c r="J458" s="15" t="s">
        <v>151</v>
      </c>
      <c r="K458" s="15" t="s">
        <v>123</v>
      </c>
    </row>
    <row r="459" customFormat="false" ht="14.25" hidden="false" customHeight="false" outlineLevel="0" collapsed="false">
      <c r="A459" s="15" t="s">
        <v>892</v>
      </c>
      <c r="B459" s="16" t="n">
        <v>45383</v>
      </c>
      <c r="C459" s="15" t="s">
        <v>893</v>
      </c>
      <c r="D459" s="15" t="s">
        <v>149</v>
      </c>
      <c r="E459" s="15" t="s">
        <v>296</v>
      </c>
      <c r="F459" s="17" t="n">
        <v>7</v>
      </c>
      <c r="G459" s="17" t="n">
        <v>2600</v>
      </c>
      <c r="H459" s="17" t="n">
        <v>19.9</v>
      </c>
      <c r="I459" s="17" t="n">
        <v>14578.2</v>
      </c>
      <c r="J459" s="15" t="s">
        <v>104</v>
      </c>
      <c r="K459" s="15" t="s">
        <v>123</v>
      </c>
    </row>
    <row r="460" customFormat="false" ht="14.25" hidden="false" customHeight="false" outlineLevel="0" collapsed="false">
      <c r="A460" s="15" t="s">
        <v>432</v>
      </c>
      <c r="B460" s="16" t="n">
        <v>45474</v>
      </c>
      <c r="C460" s="15" t="s">
        <v>894</v>
      </c>
      <c r="D460" s="15" t="s">
        <v>281</v>
      </c>
      <c r="E460" s="15" t="s">
        <v>308</v>
      </c>
      <c r="F460" s="17" t="n">
        <v>4</v>
      </c>
      <c r="G460" s="17" t="n">
        <v>4610</v>
      </c>
      <c r="H460" s="17" t="n">
        <v>13.2</v>
      </c>
      <c r="I460" s="17" t="n">
        <v>16005.92</v>
      </c>
      <c r="J460" s="15" t="s">
        <v>98</v>
      </c>
      <c r="K460" s="15" t="s">
        <v>144</v>
      </c>
    </row>
    <row r="461" customFormat="false" ht="14.25" hidden="false" customHeight="false" outlineLevel="0" collapsed="false">
      <c r="A461" s="15" t="s">
        <v>895</v>
      </c>
      <c r="B461" s="16" t="n">
        <v>45361</v>
      </c>
      <c r="C461" s="15" t="s">
        <v>274</v>
      </c>
      <c r="D461" s="15" t="s">
        <v>281</v>
      </c>
      <c r="E461" s="15" t="s">
        <v>169</v>
      </c>
      <c r="F461" s="17" t="n">
        <v>9</v>
      </c>
      <c r="G461" s="17" t="n">
        <v>4610</v>
      </c>
      <c r="H461" s="17" t="n">
        <v>25.8</v>
      </c>
      <c r="I461" s="17" t="n">
        <v>30785.58</v>
      </c>
      <c r="J461" s="15" t="s">
        <v>98</v>
      </c>
      <c r="K461" s="15" t="s">
        <v>144</v>
      </c>
    </row>
    <row r="462" customFormat="false" ht="14.25" hidden="false" customHeight="false" outlineLevel="0" collapsed="false">
      <c r="A462" s="15" t="s">
        <v>896</v>
      </c>
      <c r="B462" s="16" t="n">
        <v>45550</v>
      </c>
      <c r="C462" s="15" t="s">
        <v>897</v>
      </c>
      <c r="D462" s="15" t="s">
        <v>293</v>
      </c>
      <c r="E462" s="15" t="s">
        <v>109</v>
      </c>
      <c r="F462" s="17" t="n">
        <v>5</v>
      </c>
      <c r="G462" s="17" t="n">
        <v>300</v>
      </c>
      <c r="H462" s="17" t="n">
        <v>11.8</v>
      </c>
      <c r="I462" s="17" t="n">
        <v>1323</v>
      </c>
      <c r="J462" s="15" t="s">
        <v>98</v>
      </c>
      <c r="K462" s="15" t="s">
        <v>105</v>
      </c>
    </row>
    <row r="463" customFormat="false" ht="14.25" hidden="false" customHeight="false" outlineLevel="0" collapsed="false">
      <c r="A463" s="15" t="s">
        <v>898</v>
      </c>
      <c r="B463" s="16" t="n">
        <v>45485</v>
      </c>
      <c r="C463" s="15" t="s">
        <v>806</v>
      </c>
      <c r="D463" s="15" t="s">
        <v>463</v>
      </c>
      <c r="E463" s="15" t="s">
        <v>203</v>
      </c>
      <c r="F463" s="17" t="n">
        <v>3</v>
      </c>
      <c r="G463" s="17" t="n">
        <v>3450</v>
      </c>
      <c r="H463" s="17" t="n">
        <v>14.2</v>
      </c>
      <c r="I463" s="17" t="n">
        <v>8880.3</v>
      </c>
      <c r="J463" s="15" t="s">
        <v>98</v>
      </c>
      <c r="K463" s="15" t="s">
        <v>105</v>
      </c>
    </row>
    <row r="464" customFormat="false" ht="14.25" hidden="false" customHeight="false" outlineLevel="0" collapsed="false">
      <c r="A464" s="15" t="s">
        <v>899</v>
      </c>
      <c r="B464" s="16" t="n">
        <v>45523</v>
      </c>
      <c r="C464" s="15" t="s">
        <v>600</v>
      </c>
      <c r="D464" s="15" t="s">
        <v>184</v>
      </c>
      <c r="E464" s="15" t="s">
        <v>139</v>
      </c>
      <c r="F464" s="17" t="n">
        <v>2</v>
      </c>
      <c r="G464" s="17" t="n">
        <v>2720</v>
      </c>
      <c r="H464" s="17" t="n">
        <v>14.6</v>
      </c>
      <c r="I464" s="17" t="n">
        <v>4645.76</v>
      </c>
      <c r="J464" s="15" t="s">
        <v>151</v>
      </c>
      <c r="K464" s="15" t="s">
        <v>105</v>
      </c>
    </row>
    <row r="465" customFormat="false" ht="14.25" hidden="false" customHeight="false" outlineLevel="0" collapsed="false">
      <c r="A465" s="15" t="s">
        <v>900</v>
      </c>
      <c r="B465" s="16" t="n">
        <v>45626</v>
      </c>
      <c r="C465" s="15" t="s">
        <v>680</v>
      </c>
      <c r="D465" s="15" t="s">
        <v>290</v>
      </c>
      <c r="E465" s="15" t="s">
        <v>249</v>
      </c>
      <c r="F465" s="17" t="n">
        <v>7</v>
      </c>
      <c r="G465" s="17" t="n">
        <v>2660</v>
      </c>
      <c r="H465" s="17" t="n">
        <v>27.4</v>
      </c>
      <c r="I465" s="17" t="n">
        <v>13518.12</v>
      </c>
      <c r="J465" s="15" t="s">
        <v>151</v>
      </c>
      <c r="K465" s="15" t="s">
        <v>144</v>
      </c>
    </row>
    <row r="466" customFormat="false" ht="14.25" hidden="false" customHeight="false" outlineLevel="0" collapsed="false">
      <c r="A466" s="15" t="s">
        <v>901</v>
      </c>
      <c r="B466" s="16" t="n">
        <v>45302</v>
      </c>
      <c r="C466" s="15" t="s">
        <v>626</v>
      </c>
      <c r="D466" s="15" t="s">
        <v>172</v>
      </c>
      <c r="E466" s="15" t="s">
        <v>103</v>
      </c>
      <c r="F466" s="17" t="n">
        <v>8</v>
      </c>
      <c r="G466" s="17" t="n">
        <v>3450</v>
      </c>
      <c r="H466" s="17" t="n">
        <v>20.4</v>
      </c>
      <c r="I466" s="17" t="n">
        <v>21969.6</v>
      </c>
      <c r="J466" s="15" t="s">
        <v>98</v>
      </c>
      <c r="K466" s="15" t="s">
        <v>123</v>
      </c>
    </row>
    <row r="467" customFormat="false" ht="14.25" hidden="false" customHeight="false" outlineLevel="0" collapsed="false">
      <c r="A467" s="15" t="s">
        <v>902</v>
      </c>
      <c r="B467" s="16" t="n">
        <v>45427</v>
      </c>
      <c r="C467" s="15" t="s">
        <v>493</v>
      </c>
      <c r="D467" s="15" t="s">
        <v>371</v>
      </c>
      <c r="E467" s="15" t="s">
        <v>357</v>
      </c>
      <c r="F467" s="17" t="n">
        <v>2</v>
      </c>
      <c r="G467" s="17" t="n">
        <v>5410</v>
      </c>
      <c r="H467" s="17" t="n">
        <v>7.2</v>
      </c>
      <c r="I467" s="17" t="n">
        <v>10040.96</v>
      </c>
      <c r="J467" s="15" t="s">
        <v>98</v>
      </c>
      <c r="K467" s="15" t="s">
        <v>144</v>
      </c>
    </row>
    <row r="468" customFormat="false" ht="14.25" hidden="false" customHeight="false" outlineLevel="0" collapsed="false">
      <c r="A468" s="15" t="s">
        <v>903</v>
      </c>
      <c r="B468" s="16" t="n">
        <v>45315</v>
      </c>
      <c r="C468" s="15" t="s">
        <v>600</v>
      </c>
      <c r="D468" s="15" t="s">
        <v>259</v>
      </c>
      <c r="E468" s="15" t="s">
        <v>263</v>
      </c>
      <c r="F468" s="17" t="n">
        <v>3</v>
      </c>
      <c r="G468" s="17" t="n">
        <v>3870</v>
      </c>
      <c r="H468" s="17" t="n">
        <v>4.2</v>
      </c>
      <c r="I468" s="17" t="n">
        <v>11122.38</v>
      </c>
      <c r="J468" s="15" t="s">
        <v>98</v>
      </c>
      <c r="K468" s="15" t="s">
        <v>105</v>
      </c>
    </row>
    <row r="469" customFormat="false" ht="14.25" hidden="false" customHeight="false" outlineLevel="0" collapsed="false">
      <c r="A469" s="15" t="s">
        <v>904</v>
      </c>
      <c r="B469" s="16" t="n">
        <v>45328</v>
      </c>
      <c r="C469" s="15" t="s">
        <v>327</v>
      </c>
      <c r="D469" s="15" t="s">
        <v>142</v>
      </c>
      <c r="E469" s="15" t="s">
        <v>103</v>
      </c>
      <c r="F469" s="17" t="n">
        <v>10</v>
      </c>
      <c r="G469" s="17" t="n">
        <v>2270</v>
      </c>
      <c r="H469" s="17" t="n">
        <v>17.3</v>
      </c>
      <c r="I469" s="17" t="n">
        <v>18772.9</v>
      </c>
      <c r="J469" s="15" t="s">
        <v>98</v>
      </c>
      <c r="K469" s="15" t="s">
        <v>99</v>
      </c>
    </row>
    <row r="470" customFormat="false" ht="14.25" hidden="false" customHeight="false" outlineLevel="0" collapsed="false">
      <c r="A470" s="15" t="s">
        <v>905</v>
      </c>
      <c r="B470" s="16" t="n">
        <v>45394</v>
      </c>
      <c r="C470" s="15" t="s">
        <v>906</v>
      </c>
      <c r="D470" s="15" t="s">
        <v>375</v>
      </c>
      <c r="E470" s="15" t="s">
        <v>122</v>
      </c>
      <c r="F470" s="17" t="n">
        <v>1</v>
      </c>
      <c r="G470" s="17" t="n">
        <v>5330</v>
      </c>
      <c r="H470" s="17" t="n">
        <v>24.2</v>
      </c>
      <c r="I470" s="17" t="n">
        <v>4040.14</v>
      </c>
      <c r="J470" s="15" t="s">
        <v>98</v>
      </c>
      <c r="K470" s="15" t="s">
        <v>128</v>
      </c>
    </row>
    <row r="471" customFormat="false" ht="14.25" hidden="false" customHeight="false" outlineLevel="0" collapsed="false">
      <c r="A471" s="15" t="s">
        <v>907</v>
      </c>
      <c r="B471" s="16" t="n">
        <v>45414</v>
      </c>
      <c r="C471" s="15" t="s">
        <v>130</v>
      </c>
      <c r="D471" s="15" t="s">
        <v>190</v>
      </c>
      <c r="E471" s="15" t="s">
        <v>199</v>
      </c>
      <c r="F471" s="17" t="n">
        <v>2</v>
      </c>
      <c r="G471" s="17" t="n">
        <v>3350</v>
      </c>
      <c r="H471" s="17" t="n">
        <v>23.4</v>
      </c>
      <c r="I471" s="17" t="n">
        <v>5132.2</v>
      </c>
      <c r="J471" s="15" t="s">
        <v>98</v>
      </c>
      <c r="K471" s="15" t="s">
        <v>128</v>
      </c>
    </row>
    <row r="472" customFormat="false" ht="14.25" hidden="false" customHeight="false" outlineLevel="0" collapsed="false">
      <c r="A472" s="15" t="s">
        <v>908</v>
      </c>
      <c r="B472" s="16" t="n">
        <v>45393</v>
      </c>
      <c r="C472" s="15" t="s">
        <v>834</v>
      </c>
      <c r="D472" s="15" t="s">
        <v>287</v>
      </c>
      <c r="E472" s="15" t="s">
        <v>114</v>
      </c>
      <c r="F472" s="17" t="n">
        <v>7</v>
      </c>
      <c r="G472" s="17" t="n">
        <v>3020</v>
      </c>
      <c r="H472" s="17" t="n">
        <v>23.7</v>
      </c>
      <c r="I472" s="17" t="n">
        <v>16129.82</v>
      </c>
      <c r="J472" s="15" t="s">
        <v>98</v>
      </c>
      <c r="K472" s="15" t="s">
        <v>105</v>
      </c>
    </row>
    <row r="473" customFormat="false" ht="14.25" hidden="false" customHeight="false" outlineLevel="0" collapsed="false">
      <c r="A473" s="15" t="s">
        <v>909</v>
      </c>
      <c r="B473" s="16" t="n">
        <v>45535</v>
      </c>
      <c r="C473" s="15" t="s">
        <v>576</v>
      </c>
      <c r="D473" s="15" t="s">
        <v>117</v>
      </c>
      <c r="E473" s="15" t="s">
        <v>203</v>
      </c>
      <c r="F473" s="17" t="n">
        <v>7</v>
      </c>
      <c r="G473" s="17" t="n">
        <v>3160</v>
      </c>
      <c r="H473" s="17" t="n">
        <v>22.8</v>
      </c>
      <c r="I473" s="17" t="n">
        <v>17076.64</v>
      </c>
      <c r="J473" s="15" t="s">
        <v>98</v>
      </c>
      <c r="K473" s="15" t="s">
        <v>123</v>
      </c>
    </row>
    <row r="474" customFormat="false" ht="14.25" hidden="false" customHeight="false" outlineLevel="0" collapsed="false">
      <c r="A474" s="15" t="s">
        <v>910</v>
      </c>
      <c r="B474" s="16" t="n">
        <v>45541</v>
      </c>
      <c r="C474" s="15" t="s">
        <v>911</v>
      </c>
      <c r="D474" s="15" t="s">
        <v>108</v>
      </c>
      <c r="E474" s="15" t="s">
        <v>203</v>
      </c>
      <c r="F474" s="17" t="n">
        <v>2</v>
      </c>
      <c r="G474" s="17" t="n">
        <v>470</v>
      </c>
      <c r="H474" s="17" t="n">
        <v>28.8</v>
      </c>
      <c r="I474" s="17" t="n">
        <v>669.28</v>
      </c>
      <c r="J474" s="15" t="s">
        <v>151</v>
      </c>
      <c r="K474" s="15" t="s">
        <v>128</v>
      </c>
    </row>
    <row r="475" customFormat="false" ht="14.25" hidden="false" customHeight="false" outlineLevel="0" collapsed="false">
      <c r="A475" s="15" t="s">
        <v>912</v>
      </c>
      <c r="B475" s="16" t="n">
        <v>45454</v>
      </c>
      <c r="C475" s="15" t="s">
        <v>913</v>
      </c>
      <c r="D475" s="15" t="s">
        <v>154</v>
      </c>
      <c r="E475" s="15" t="s">
        <v>169</v>
      </c>
      <c r="F475" s="17" t="n">
        <v>2</v>
      </c>
      <c r="G475" s="17" t="n">
        <v>3250</v>
      </c>
      <c r="H475" s="17" t="n">
        <v>24.7</v>
      </c>
      <c r="I475" s="17" t="n">
        <v>4894.5</v>
      </c>
      <c r="J475" s="15" t="s">
        <v>98</v>
      </c>
      <c r="K475" s="15" t="s">
        <v>123</v>
      </c>
    </row>
    <row r="476" customFormat="false" ht="14.25" hidden="false" customHeight="false" outlineLevel="0" collapsed="false">
      <c r="A476" s="15" t="s">
        <v>914</v>
      </c>
      <c r="B476" s="16" t="n">
        <v>45631</v>
      </c>
      <c r="C476" s="15" t="s">
        <v>401</v>
      </c>
      <c r="D476" s="15" t="s">
        <v>193</v>
      </c>
      <c r="E476" s="15" t="s">
        <v>165</v>
      </c>
      <c r="F476" s="17" t="n">
        <v>2</v>
      </c>
      <c r="G476" s="17" t="n">
        <v>1010</v>
      </c>
      <c r="H476" s="17" t="n">
        <v>5.2</v>
      </c>
      <c r="I476" s="17" t="n">
        <v>1914.96</v>
      </c>
      <c r="J476" s="15" t="s">
        <v>151</v>
      </c>
      <c r="K476" s="15" t="s">
        <v>99</v>
      </c>
    </row>
    <row r="477" customFormat="false" ht="14.25" hidden="false" customHeight="false" outlineLevel="0" collapsed="false">
      <c r="A477" s="15" t="s">
        <v>915</v>
      </c>
      <c r="B477" s="16" t="n">
        <v>45588</v>
      </c>
      <c r="C477" s="15" t="s">
        <v>916</v>
      </c>
      <c r="D477" s="15" t="s">
        <v>293</v>
      </c>
      <c r="E477" s="15" t="s">
        <v>226</v>
      </c>
      <c r="F477" s="17" t="n">
        <v>9</v>
      </c>
      <c r="G477" s="17" t="n">
        <v>300</v>
      </c>
      <c r="H477" s="17" t="n">
        <v>7.9</v>
      </c>
      <c r="I477" s="17" t="n">
        <v>2486.7</v>
      </c>
      <c r="J477" s="15" t="s">
        <v>98</v>
      </c>
      <c r="K477" s="15" t="s">
        <v>123</v>
      </c>
    </row>
    <row r="478" customFormat="false" ht="14.25" hidden="false" customHeight="false" outlineLevel="0" collapsed="false">
      <c r="A478" s="15" t="s">
        <v>917</v>
      </c>
      <c r="B478" s="16" t="n">
        <v>45469</v>
      </c>
      <c r="C478" s="15" t="s">
        <v>714</v>
      </c>
      <c r="D478" s="15" t="s">
        <v>202</v>
      </c>
      <c r="E478" s="15" t="s">
        <v>114</v>
      </c>
      <c r="F478" s="17" t="n">
        <v>10</v>
      </c>
      <c r="G478" s="17" t="n">
        <v>5100</v>
      </c>
      <c r="H478" s="17" t="n">
        <v>26.3</v>
      </c>
      <c r="I478" s="17" t="n">
        <v>37587</v>
      </c>
      <c r="J478" s="15" t="s">
        <v>104</v>
      </c>
      <c r="K478" s="15" t="s">
        <v>99</v>
      </c>
    </row>
    <row r="479" customFormat="false" ht="14.25" hidden="false" customHeight="false" outlineLevel="0" collapsed="false">
      <c r="A479" s="15" t="s">
        <v>918</v>
      </c>
      <c r="B479" s="16" t="n">
        <v>45552</v>
      </c>
      <c r="C479" s="15" t="s">
        <v>919</v>
      </c>
      <c r="D479" s="15" t="s">
        <v>190</v>
      </c>
      <c r="E479" s="15" t="s">
        <v>139</v>
      </c>
      <c r="F479" s="17" t="n">
        <v>1</v>
      </c>
      <c r="G479" s="17" t="n">
        <v>3350</v>
      </c>
      <c r="H479" s="17" t="n">
        <v>8.5</v>
      </c>
      <c r="I479" s="17" t="n">
        <v>3065.25</v>
      </c>
      <c r="J479" s="15" t="s">
        <v>151</v>
      </c>
      <c r="K479" s="15" t="s">
        <v>144</v>
      </c>
    </row>
    <row r="480" customFormat="false" ht="14.25" hidden="false" customHeight="false" outlineLevel="0" collapsed="false">
      <c r="A480" s="15" t="s">
        <v>920</v>
      </c>
      <c r="B480" s="16" t="n">
        <v>45554</v>
      </c>
      <c r="C480" s="15" t="s">
        <v>921</v>
      </c>
      <c r="D480" s="15" t="s">
        <v>154</v>
      </c>
      <c r="E480" s="15" t="s">
        <v>296</v>
      </c>
      <c r="F480" s="17" t="n">
        <v>2</v>
      </c>
      <c r="G480" s="17" t="n">
        <v>3250</v>
      </c>
      <c r="H480" s="17" t="n">
        <v>25.7</v>
      </c>
      <c r="I480" s="17" t="n">
        <v>4829.5</v>
      </c>
      <c r="J480" s="15" t="s">
        <v>155</v>
      </c>
      <c r="K480" s="15" t="s">
        <v>110</v>
      </c>
    </row>
    <row r="481" customFormat="false" ht="14.25" hidden="false" customHeight="false" outlineLevel="0" collapsed="false">
      <c r="A481" s="15" t="s">
        <v>922</v>
      </c>
      <c r="B481" s="16" t="n">
        <v>45352</v>
      </c>
      <c r="C481" s="15" t="s">
        <v>157</v>
      </c>
      <c r="D481" s="15" t="s">
        <v>113</v>
      </c>
      <c r="E481" s="15" t="s">
        <v>118</v>
      </c>
      <c r="F481" s="17" t="n">
        <v>10</v>
      </c>
      <c r="G481" s="17" t="n">
        <v>3660</v>
      </c>
      <c r="H481" s="17" t="n">
        <v>12</v>
      </c>
      <c r="I481" s="17" t="n">
        <v>32208</v>
      </c>
      <c r="J481" s="15" t="s">
        <v>98</v>
      </c>
      <c r="K481" s="15" t="s">
        <v>99</v>
      </c>
    </row>
    <row r="482" customFormat="false" ht="14.25" hidden="false" customHeight="false" outlineLevel="0" collapsed="false">
      <c r="A482" s="15" t="s">
        <v>923</v>
      </c>
      <c r="B482" s="16" t="n">
        <v>45521</v>
      </c>
      <c r="C482" s="15" t="s">
        <v>228</v>
      </c>
      <c r="D482" s="15" t="s">
        <v>162</v>
      </c>
      <c r="E482" s="15" t="s">
        <v>215</v>
      </c>
      <c r="F482" s="17" t="n">
        <v>1</v>
      </c>
      <c r="G482" s="17" t="n">
        <v>2400</v>
      </c>
      <c r="H482" s="17" t="n">
        <v>24.5</v>
      </c>
      <c r="I482" s="17" t="n">
        <v>1812</v>
      </c>
      <c r="J482" s="15" t="s">
        <v>98</v>
      </c>
      <c r="K482" s="15" t="s">
        <v>105</v>
      </c>
    </row>
    <row r="483" customFormat="false" ht="14.25" hidden="false" customHeight="false" outlineLevel="0" collapsed="false">
      <c r="A483" s="15" t="s">
        <v>924</v>
      </c>
      <c r="B483" s="16" t="n">
        <v>45496</v>
      </c>
      <c r="C483" s="15" t="s">
        <v>445</v>
      </c>
      <c r="D483" s="15" t="s">
        <v>513</v>
      </c>
      <c r="E483" s="15" t="s">
        <v>143</v>
      </c>
      <c r="F483" s="17" t="n">
        <v>1</v>
      </c>
      <c r="G483" s="17" t="n">
        <v>1090</v>
      </c>
      <c r="H483" s="17" t="n">
        <v>18.4</v>
      </c>
      <c r="I483" s="17" t="n">
        <v>889.44</v>
      </c>
      <c r="J483" s="15" t="s">
        <v>98</v>
      </c>
      <c r="K483" s="15" t="s">
        <v>110</v>
      </c>
    </row>
    <row r="484" customFormat="false" ht="14.25" hidden="false" customHeight="false" outlineLevel="0" collapsed="false">
      <c r="A484" s="15" t="s">
        <v>925</v>
      </c>
      <c r="B484" s="16" t="n">
        <v>45404</v>
      </c>
      <c r="C484" s="15" t="s">
        <v>806</v>
      </c>
      <c r="D484" s="15" t="s">
        <v>472</v>
      </c>
      <c r="E484" s="15" t="s">
        <v>199</v>
      </c>
      <c r="F484" s="17" t="n">
        <v>6</v>
      </c>
      <c r="G484" s="17" t="n">
        <v>3780</v>
      </c>
      <c r="H484" s="17" t="n">
        <v>15.9</v>
      </c>
      <c r="I484" s="17" t="n">
        <v>19073.88</v>
      </c>
      <c r="J484" s="15" t="s">
        <v>98</v>
      </c>
      <c r="K484" s="15" t="s">
        <v>105</v>
      </c>
    </row>
    <row r="485" customFormat="false" ht="14.25" hidden="false" customHeight="false" outlineLevel="0" collapsed="false">
      <c r="A485" s="15" t="s">
        <v>926</v>
      </c>
      <c r="B485" s="16" t="n">
        <v>45330</v>
      </c>
      <c r="C485" s="15" t="s">
        <v>490</v>
      </c>
      <c r="D485" s="15" t="s">
        <v>190</v>
      </c>
      <c r="E485" s="15" t="s">
        <v>132</v>
      </c>
      <c r="F485" s="17" t="n">
        <v>3</v>
      </c>
      <c r="G485" s="17" t="n">
        <v>3350</v>
      </c>
      <c r="H485" s="17" t="n">
        <v>18.8</v>
      </c>
      <c r="I485" s="17" t="n">
        <v>8160.6</v>
      </c>
      <c r="J485" s="15" t="s">
        <v>155</v>
      </c>
      <c r="K485" s="15" t="s">
        <v>99</v>
      </c>
    </row>
    <row r="486" customFormat="false" ht="14.25" hidden="false" customHeight="false" outlineLevel="0" collapsed="false">
      <c r="A486" s="15" t="s">
        <v>927</v>
      </c>
      <c r="B486" s="16" t="n">
        <v>45323</v>
      </c>
      <c r="C486" s="15" t="s">
        <v>130</v>
      </c>
      <c r="D486" s="15" t="s">
        <v>175</v>
      </c>
      <c r="E486" s="15" t="s">
        <v>181</v>
      </c>
      <c r="F486" s="17" t="n">
        <v>3</v>
      </c>
      <c r="G486" s="17" t="n">
        <v>1080</v>
      </c>
      <c r="H486" s="17" t="n">
        <v>3.4</v>
      </c>
      <c r="I486" s="17" t="n">
        <v>3129.84</v>
      </c>
      <c r="J486" s="15" t="s">
        <v>98</v>
      </c>
      <c r="K486" s="15" t="s">
        <v>128</v>
      </c>
    </row>
    <row r="487" customFormat="false" ht="14.25" hidden="false" customHeight="false" outlineLevel="0" collapsed="false">
      <c r="A487" s="15" t="s">
        <v>928</v>
      </c>
      <c r="B487" s="16" t="n">
        <v>45519</v>
      </c>
      <c r="C487" s="15" t="s">
        <v>329</v>
      </c>
      <c r="D487" s="15" t="s">
        <v>275</v>
      </c>
      <c r="E487" s="15" t="s">
        <v>296</v>
      </c>
      <c r="F487" s="17" t="n">
        <v>6</v>
      </c>
      <c r="G487" s="17" t="n">
        <v>4070</v>
      </c>
      <c r="H487" s="17" t="n">
        <v>27.7</v>
      </c>
      <c r="I487" s="17" t="n">
        <v>17655.66</v>
      </c>
      <c r="J487" s="15" t="s">
        <v>104</v>
      </c>
      <c r="K487" s="15" t="s">
        <v>105</v>
      </c>
    </row>
    <row r="488" customFormat="false" ht="14.25" hidden="false" customHeight="false" outlineLevel="0" collapsed="false">
      <c r="A488" s="15" t="s">
        <v>929</v>
      </c>
      <c r="B488" s="16" t="n">
        <v>45514</v>
      </c>
      <c r="C488" s="15" t="s">
        <v>806</v>
      </c>
      <c r="D488" s="15" t="s">
        <v>270</v>
      </c>
      <c r="E488" s="15" t="s">
        <v>212</v>
      </c>
      <c r="F488" s="17" t="n">
        <v>5</v>
      </c>
      <c r="G488" s="17" t="n">
        <v>1540</v>
      </c>
      <c r="H488" s="17" t="n">
        <v>24.9</v>
      </c>
      <c r="I488" s="17" t="n">
        <v>5782.7</v>
      </c>
      <c r="J488" s="15" t="s">
        <v>98</v>
      </c>
      <c r="K488" s="15" t="s">
        <v>105</v>
      </c>
    </row>
    <row r="489" customFormat="false" ht="14.25" hidden="false" customHeight="false" outlineLevel="0" collapsed="false">
      <c r="A489" s="15" t="s">
        <v>930</v>
      </c>
      <c r="B489" s="16" t="n">
        <v>45497</v>
      </c>
      <c r="C489" s="15" t="s">
        <v>405</v>
      </c>
      <c r="D489" s="15" t="s">
        <v>211</v>
      </c>
      <c r="E489" s="15" t="s">
        <v>139</v>
      </c>
      <c r="F489" s="17" t="n">
        <v>6</v>
      </c>
      <c r="G489" s="17" t="n">
        <v>2760</v>
      </c>
      <c r="H489" s="17" t="n">
        <v>29.9</v>
      </c>
      <c r="I489" s="17" t="n">
        <v>11608.56</v>
      </c>
      <c r="J489" s="15" t="s">
        <v>98</v>
      </c>
      <c r="K489" s="15" t="s">
        <v>128</v>
      </c>
    </row>
    <row r="490" customFormat="false" ht="14.25" hidden="false" customHeight="false" outlineLevel="0" collapsed="false">
      <c r="A490" s="15" t="s">
        <v>931</v>
      </c>
      <c r="B490" s="16" t="n">
        <v>45639</v>
      </c>
      <c r="C490" s="15" t="s">
        <v>932</v>
      </c>
      <c r="D490" s="15" t="s">
        <v>419</v>
      </c>
      <c r="E490" s="15" t="s">
        <v>296</v>
      </c>
      <c r="F490" s="17" t="n">
        <v>8</v>
      </c>
      <c r="G490" s="17" t="n">
        <v>3970</v>
      </c>
      <c r="H490" s="17" t="n">
        <v>23.7</v>
      </c>
      <c r="I490" s="17" t="n">
        <v>24232.88</v>
      </c>
      <c r="J490" s="15" t="s">
        <v>98</v>
      </c>
      <c r="K490" s="15" t="s">
        <v>128</v>
      </c>
    </row>
    <row r="491" customFormat="false" ht="14.25" hidden="false" customHeight="false" outlineLevel="0" collapsed="false">
      <c r="A491" s="15" t="s">
        <v>933</v>
      </c>
      <c r="B491" s="16" t="n">
        <v>45562</v>
      </c>
      <c r="C491" s="15" t="s">
        <v>913</v>
      </c>
      <c r="D491" s="15" t="s">
        <v>463</v>
      </c>
      <c r="E491" s="15" t="s">
        <v>169</v>
      </c>
      <c r="F491" s="17" t="n">
        <v>1</v>
      </c>
      <c r="G491" s="17" t="n">
        <v>3450</v>
      </c>
      <c r="H491" s="17" t="n">
        <v>7.4</v>
      </c>
      <c r="I491" s="17" t="n">
        <v>3194.7</v>
      </c>
      <c r="J491" s="15" t="s">
        <v>98</v>
      </c>
      <c r="K491" s="15" t="s">
        <v>123</v>
      </c>
    </row>
    <row r="492" customFormat="false" ht="14.25" hidden="false" customHeight="false" outlineLevel="0" collapsed="false">
      <c r="A492" s="15" t="s">
        <v>934</v>
      </c>
      <c r="B492" s="16" t="n">
        <v>45308</v>
      </c>
      <c r="C492" s="15" t="s">
        <v>515</v>
      </c>
      <c r="D492" s="15" t="s">
        <v>670</v>
      </c>
      <c r="E492" s="15" t="s">
        <v>103</v>
      </c>
      <c r="F492" s="17" t="n">
        <v>3</v>
      </c>
      <c r="G492" s="17" t="n">
        <v>3560</v>
      </c>
      <c r="H492" s="17" t="n">
        <v>15.2</v>
      </c>
      <c r="I492" s="17" t="n">
        <v>9056.64</v>
      </c>
      <c r="J492" s="15" t="s">
        <v>98</v>
      </c>
      <c r="K492" s="15" t="s">
        <v>128</v>
      </c>
    </row>
    <row r="493" customFormat="false" ht="14.25" hidden="false" customHeight="false" outlineLevel="0" collapsed="false">
      <c r="A493" s="15" t="s">
        <v>935</v>
      </c>
      <c r="B493" s="16" t="n">
        <v>45428</v>
      </c>
      <c r="C493" s="15" t="s">
        <v>498</v>
      </c>
      <c r="D493" s="15" t="s">
        <v>198</v>
      </c>
      <c r="E493" s="15" t="s">
        <v>181</v>
      </c>
      <c r="F493" s="17" t="n">
        <v>4</v>
      </c>
      <c r="G493" s="17" t="n">
        <v>3570</v>
      </c>
      <c r="H493" s="17" t="n">
        <v>18.9</v>
      </c>
      <c r="I493" s="17" t="n">
        <v>11581.08</v>
      </c>
      <c r="J493" s="15" t="s">
        <v>98</v>
      </c>
      <c r="K493" s="15" t="s">
        <v>99</v>
      </c>
    </row>
    <row r="494" customFormat="false" ht="14.25" hidden="false" customHeight="false" outlineLevel="0" collapsed="false">
      <c r="A494" s="15" t="s">
        <v>936</v>
      </c>
      <c r="B494" s="16" t="n">
        <v>45472</v>
      </c>
      <c r="C494" s="15" t="s">
        <v>518</v>
      </c>
      <c r="D494" s="15" t="s">
        <v>126</v>
      </c>
      <c r="E494" s="15" t="s">
        <v>122</v>
      </c>
      <c r="F494" s="17" t="n">
        <v>9</v>
      </c>
      <c r="G494" s="17" t="n">
        <v>960</v>
      </c>
      <c r="H494" s="17" t="n">
        <v>14</v>
      </c>
      <c r="I494" s="17" t="n">
        <v>7430.4</v>
      </c>
      <c r="J494" s="15" t="s">
        <v>155</v>
      </c>
      <c r="K494" s="15" t="s">
        <v>99</v>
      </c>
    </row>
    <row r="495" customFormat="false" ht="14.25" hidden="false" customHeight="false" outlineLevel="0" collapsed="false">
      <c r="A495" s="15" t="s">
        <v>937</v>
      </c>
      <c r="B495" s="16" t="n">
        <v>45406</v>
      </c>
      <c r="C495" s="15" t="s">
        <v>714</v>
      </c>
      <c r="D495" s="15" t="s">
        <v>168</v>
      </c>
      <c r="E495" s="15" t="s">
        <v>357</v>
      </c>
      <c r="F495" s="17" t="n">
        <v>9</v>
      </c>
      <c r="G495" s="17" t="n">
        <v>3450</v>
      </c>
      <c r="H495" s="17" t="n">
        <v>6</v>
      </c>
      <c r="I495" s="17" t="n">
        <v>29187</v>
      </c>
      <c r="J495" s="15" t="s">
        <v>151</v>
      </c>
      <c r="K495" s="15" t="s">
        <v>99</v>
      </c>
    </row>
    <row r="496" customFormat="false" ht="14.25" hidden="false" customHeight="false" outlineLevel="0" collapsed="false">
      <c r="A496" s="15" t="s">
        <v>938</v>
      </c>
      <c r="B496" s="16" t="n">
        <v>45457</v>
      </c>
      <c r="C496" s="15" t="s">
        <v>414</v>
      </c>
      <c r="D496" s="15" t="s">
        <v>190</v>
      </c>
      <c r="E496" s="15" t="s">
        <v>336</v>
      </c>
      <c r="F496" s="17" t="n">
        <v>7</v>
      </c>
      <c r="G496" s="17" t="n">
        <v>3350</v>
      </c>
      <c r="H496" s="17" t="n">
        <v>14</v>
      </c>
      <c r="I496" s="17" t="n">
        <v>20167</v>
      </c>
      <c r="J496" s="15" t="s">
        <v>151</v>
      </c>
      <c r="K496" s="15" t="s">
        <v>128</v>
      </c>
    </row>
    <row r="497" customFormat="false" ht="14.25" hidden="false" customHeight="false" outlineLevel="0" collapsed="false">
      <c r="A497" s="15" t="s">
        <v>939</v>
      </c>
      <c r="B497" s="16" t="n">
        <v>45298</v>
      </c>
      <c r="C497" s="15" t="s">
        <v>302</v>
      </c>
      <c r="D497" s="15" t="s">
        <v>391</v>
      </c>
      <c r="E497" s="15" t="s">
        <v>150</v>
      </c>
      <c r="F497" s="17" t="n">
        <v>6</v>
      </c>
      <c r="G497" s="17" t="n">
        <v>960</v>
      </c>
      <c r="H497" s="17" t="n">
        <v>10.1</v>
      </c>
      <c r="I497" s="17" t="n">
        <v>5178.24</v>
      </c>
      <c r="J497" s="15" t="s">
        <v>98</v>
      </c>
      <c r="K497" s="15" t="s">
        <v>110</v>
      </c>
    </row>
    <row r="498" customFormat="false" ht="14.25" hidden="false" customHeight="false" outlineLevel="0" collapsed="false">
      <c r="A498" s="15" t="s">
        <v>940</v>
      </c>
      <c r="B498" s="16" t="n">
        <v>45337</v>
      </c>
      <c r="C498" s="15" t="s">
        <v>148</v>
      </c>
      <c r="D498" s="15" t="s">
        <v>293</v>
      </c>
      <c r="E498" s="15" t="s">
        <v>357</v>
      </c>
      <c r="F498" s="17" t="n">
        <v>7</v>
      </c>
      <c r="G498" s="17" t="n">
        <v>300</v>
      </c>
      <c r="H498" s="17" t="n">
        <v>21.9</v>
      </c>
      <c r="I498" s="17" t="n">
        <v>1640.1</v>
      </c>
      <c r="J498" s="15" t="s">
        <v>98</v>
      </c>
      <c r="K498" s="15" t="s">
        <v>110</v>
      </c>
    </row>
    <row r="499" customFormat="false" ht="14.25" hidden="false" customHeight="false" outlineLevel="0" collapsed="false">
      <c r="A499" s="15" t="s">
        <v>941</v>
      </c>
      <c r="B499" s="16" t="n">
        <v>45389</v>
      </c>
      <c r="C499" s="15" t="s">
        <v>550</v>
      </c>
      <c r="D499" s="15" t="s">
        <v>378</v>
      </c>
      <c r="E499" s="15" t="s">
        <v>132</v>
      </c>
      <c r="F499" s="17" t="n">
        <v>2</v>
      </c>
      <c r="G499" s="17" t="n">
        <v>2380</v>
      </c>
      <c r="H499" s="17" t="n">
        <v>6.8</v>
      </c>
      <c r="I499" s="17" t="n">
        <v>4436.32</v>
      </c>
      <c r="J499" s="15" t="s">
        <v>98</v>
      </c>
      <c r="K499" s="15" t="s">
        <v>144</v>
      </c>
    </row>
    <row r="500" customFormat="false" ht="14.25" hidden="false" customHeight="false" outlineLevel="0" collapsed="false">
      <c r="A500" s="15" t="s">
        <v>942</v>
      </c>
      <c r="B500" s="16" t="n">
        <v>45298</v>
      </c>
      <c r="C500" s="15" t="s">
        <v>770</v>
      </c>
      <c r="D500" s="15" t="s">
        <v>126</v>
      </c>
      <c r="E500" s="15" t="s">
        <v>127</v>
      </c>
      <c r="F500" s="17" t="n">
        <v>5</v>
      </c>
      <c r="G500" s="17" t="n">
        <v>960</v>
      </c>
      <c r="H500" s="17" t="n">
        <v>15</v>
      </c>
      <c r="I500" s="17" t="n">
        <v>4080</v>
      </c>
      <c r="J500" s="15" t="s">
        <v>151</v>
      </c>
      <c r="K500" s="15" t="s">
        <v>128</v>
      </c>
    </row>
    <row r="501" customFormat="false" ht="14.25" hidden="false" customHeight="false" outlineLevel="0" collapsed="false">
      <c r="A501" s="15" t="s">
        <v>943</v>
      </c>
      <c r="B501" s="16" t="n">
        <v>45577</v>
      </c>
      <c r="C501" s="15" t="s">
        <v>283</v>
      </c>
      <c r="D501" s="15" t="s">
        <v>472</v>
      </c>
      <c r="E501" s="15" t="s">
        <v>336</v>
      </c>
      <c r="F501" s="17" t="n">
        <v>10</v>
      </c>
      <c r="G501" s="17" t="n">
        <v>3780</v>
      </c>
      <c r="H501" s="17" t="n">
        <v>24.1</v>
      </c>
      <c r="I501" s="17" t="n">
        <v>28690.2</v>
      </c>
      <c r="J501" s="15" t="s">
        <v>155</v>
      </c>
      <c r="K501" s="15" t="s">
        <v>105</v>
      </c>
    </row>
    <row r="502" customFormat="false" ht="14.25" hidden="false" customHeight="false" outlineLevel="0" collapsed="false">
      <c r="A502" s="15" t="s">
        <v>944</v>
      </c>
      <c r="B502" s="16" t="n">
        <v>45355</v>
      </c>
      <c r="C502" s="15" t="s">
        <v>228</v>
      </c>
      <c r="D502" s="15" t="s">
        <v>270</v>
      </c>
      <c r="E502" s="15" t="s">
        <v>203</v>
      </c>
      <c r="F502" s="17" t="n">
        <v>4</v>
      </c>
      <c r="G502" s="17" t="n">
        <v>1540</v>
      </c>
      <c r="H502" s="17" t="n">
        <v>14.2</v>
      </c>
      <c r="I502" s="17" t="n">
        <v>5285.28</v>
      </c>
      <c r="J502" s="15" t="s">
        <v>151</v>
      </c>
      <c r="K502" s="15" t="s">
        <v>105</v>
      </c>
    </row>
    <row r="503" customFormat="false" ht="14.25" hidden="false" customHeight="false" outlineLevel="0" collapsed="false">
      <c r="A503" s="15" t="s">
        <v>945</v>
      </c>
      <c r="B503" s="16" t="n">
        <v>45463</v>
      </c>
      <c r="C503" s="15" t="s">
        <v>846</v>
      </c>
      <c r="D503" s="15" t="s">
        <v>366</v>
      </c>
      <c r="E503" s="15" t="s">
        <v>103</v>
      </c>
      <c r="F503" s="17" t="n">
        <v>10</v>
      </c>
      <c r="G503" s="17" t="n">
        <v>2510</v>
      </c>
      <c r="H503" s="17" t="n">
        <v>20.8</v>
      </c>
      <c r="I503" s="17" t="n">
        <v>19879.2</v>
      </c>
      <c r="J503" s="15" t="s">
        <v>98</v>
      </c>
      <c r="K503" s="15" t="s">
        <v>128</v>
      </c>
    </row>
    <row r="504" customFormat="false" ht="14.25" hidden="false" customHeight="false" outlineLevel="0" collapsed="false">
      <c r="A504" s="15" t="s">
        <v>946</v>
      </c>
      <c r="B504" s="16" t="n">
        <v>45374</v>
      </c>
      <c r="C504" s="15" t="s">
        <v>399</v>
      </c>
      <c r="D504" s="15" t="s">
        <v>362</v>
      </c>
      <c r="E504" s="15" t="s">
        <v>109</v>
      </c>
      <c r="F504" s="17" t="n">
        <v>9</v>
      </c>
      <c r="G504" s="17" t="n">
        <v>4060</v>
      </c>
      <c r="H504" s="17" t="n">
        <v>27.1</v>
      </c>
      <c r="I504" s="17" t="n">
        <v>26637.66</v>
      </c>
      <c r="J504" s="15" t="s">
        <v>98</v>
      </c>
      <c r="K504" s="15" t="s">
        <v>144</v>
      </c>
    </row>
    <row r="505" customFormat="false" ht="14.25" hidden="false" customHeight="false" outlineLevel="0" collapsed="false">
      <c r="A505" s="15" t="s">
        <v>947</v>
      </c>
      <c r="B505" s="16" t="n">
        <v>45638</v>
      </c>
      <c r="C505" s="15" t="s">
        <v>370</v>
      </c>
      <c r="D505" s="15" t="s">
        <v>162</v>
      </c>
      <c r="E505" s="15" t="s">
        <v>122</v>
      </c>
      <c r="F505" s="17" t="n">
        <v>4</v>
      </c>
      <c r="G505" s="17" t="n">
        <v>2400</v>
      </c>
      <c r="H505" s="17" t="n">
        <v>19.1</v>
      </c>
      <c r="I505" s="17" t="n">
        <v>7766.4</v>
      </c>
      <c r="J505" s="15" t="s">
        <v>98</v>
      </c>
      <c r="K505" s="15" t="s">
        <v>110</v>
      </c>
    </row>
    <row r="506" customFormat="false" ht="14.25" hidden="false" customHeight="false" outlineLevel="0" collapsed="false">
      <c r="A506" s="15" t="s">
        <v>948</v>
      </c>
      <c r="B506" s="16" t="n">
        <v>45525</v>
      </c>
      <c r="C506" s="15" t="s">
        <v>112</v>
      </c>
      <c r="D506" s="15" t="s">
        <v>195</v>
      </c>
      <c r="E506" s="15" t="s">
        <v>296</v>
      </c>
      <c r="F506" s="17" t="n">
        <v>8</v>
      </c>
      <c r="G506" s="17" t="n">
        <v>4880</v>
      </c>
      <c r="H506" s="17" t="n">
        <v>9.2</v>
      </c>
      <c r="I506" s="17" t="n">
        <v>35448.32</v>
      </c>
      <c r="J506" s="15" t="s">
        <v>151</v>
      </c>
      <c r="K506" s="15" t="s">
        <v>110</v>
      </c>
    </row>
    <row r="507" customFormat="false" ht="14.25" hidden="false" customHeight="false" outlineLevel="0" collapsed="false">
      <c r="A507" s="15" t="s">
        <v>949</v>
      </c>
      <c r="B507" s="16" t="n">
        <v>45586</v>
      </c>
      <c r="C507" s="15" t="s">
        <v>624</v>
      </c>
      <c r="D507" s="15" t="s">
        <v>202</v>
      </c>
      <c r="E507" s="15" t="s">
        <v>132</v>
      </c>
      <c r="F507" s="17" t="n">
        <v>9</v>
      </c>
      <c r="G507" s="17" t="n">
        <v>5100</v>
      </c>
      <c r="H507" s="17" t="n">
        <v>11.1</v>
      </c>
      <c r="I507" s="17" t="n">
        <v>40805.1</v>
      </c>
      <c r="J507" s="15" t="s">
        <v>151</v>
      </c>
      <c r="K507" s="15" t="s">
        <v>123</v>
      </c>
    </row>
    <row r="508" customFormat="false" ht="14.25" hidden="false" customHeight="false" outlineLevel="0" collapsed="false">
      <c r="A508" s="15" t="s">
        <v>950</v>
      </c>
      <c r="B508" s="16" t="n">
        <v>45637</v>
      </c>
      <c r="C508" s="15" t="s">
        <v>368</v>
      </c>
      <c r="D508" s="15" t="s">
        <v>293</v>
      </c>
      <c r="E508" s="15" t="s">
        <v>139</v>
      </c>
      <c r="F508" s="17" t="n">
        <v>4</v>
      </c>
      <c r="G508" s="17" t="n">
        <v>300</v>
      </c>
      <c r="H508" s="17" t="n">
        <v>16.7</v>
      </c>
      <c r="I508" s="17" t="n">
        <v>999.6</v>
      </c>
      <c r="J508" s="15" t="s">
        <v>98</v>
      </c>
      <c r="K508" s="15" t="s">
        <v>110</v>
      </c>
    </row>
    <row r="509" customFormat="false" ht="14.25" hidden="false" customHeight="false" outlineLevel="0" collapsed="false">
      <c r="A509" s="15" t="s">
        <v>951</v>
      </c>
      <c r="B509" s="16" t="n">
        <v>45443</v>
      </c>
      <c r="C509" s="15" t="s">
        <v>596</v>
      </c>
      <c r="D509" s="15" t="s">
        <v>178</v>
      </c>
      <c r="E509" s="15" t="s">
        <v>109</v>
      </c>
      <c r="F509" s="17" t="n">
        <v>6</v>
      </c>
      <c r="G509" s="17" t="n">
        <v>2480</v>
      </c>
      <c r="H509" s="17" t="n">
        <v>3.3</v>
      </c>
      <c r="I509" s="17" t="n">
        <v>14388.96</v>
      </c>
      <c r="J509" s="15" t="s">
        <v>98</v>
      </c>
      <c r="K509" s="15" t="s">
        <v>105</v>
      </c>
    </row>
    <row r="510" customFormat="false" ht="14.25" hidden="false" customHeight="false" outlineLevel="0" collapsed="false">
      <c r="A510" s="15" t="s">
        <v>952</v>
      </c>
      <c r="B510" s="16" t="n">
        <v>45569</v>
      </c>
      <c r="C510" s="15" t="s">
        <v>116</v>
      </c>
      <c r="D510" s="15" t="s">
        <v>187</v>
      </c>
      <c r="E510" s="15" t="s">
        <v>165</v>
      </c>
      <c r="F510" s="17" t="n">
        <v>10</v>
      </c>
      <c r="G510" s="17" t="n">
        <v>1650</v>
      </c>
      <c r="H510" s="17" t="n">
        <v>22.9</v>
      </c>
      <c r="I510" s="17" t="n">
        <v>12721.5</v>
      </c>
      <c r="J510" s="15" t="s">
        <v>155</v>
      </c>
      <c r="K510" s="15" t="s">
        <v>105</v>
      </c>
    </row>
    <row r="511" customFormat="false" ht="14.25" hidden="false" customHeight="false" outlineLevel="0" collapsed="false">
      <c r="A511" s="15" t="s">
        <v>953</v>
      </c>
      <c r="B511" s="16" t="n">
        <v>45319</v>
      </c>
      <c r="C511" s="15" t="s">
        <v>954</v>
      </c>
      <c r="D511" s="15" t="s">
        <v>349</v>
      </c>
      <c r="E511" s="15" t="s">
        <v>336</v>
      </c>
      <c r="F511" s="17" t="n">
        <v>3</v>
      </c>
      <c r="G511" s="17" t="n">
        <v>2210</v>
      </c>
      <c r="H511" s="17" t="n">
        <v>11.1</v>
      </c>
      <c r="I511" s="17" t="n">
        <v>5894.07</v>
      </c>
      <c r="J511" s="15" t="s">
        <v>98</v>
      </c>
      <c r="K511" s="15" t="s">
        <v>144</v>
      </c>
    </row>
    <row r="512" customFormat="false" ht="14.25" hidden="false" customHeight="false" outlineLevel="0" collapsed="false">
      <c r="A512" s="15" t="s">
        <v>955</v>
      </c>
      <c r="B512" s="16" t="n">
        <v>45406</v>
      </c>
      <c r="C512" s="15" t="s">
        <v>956</v>
      </c>
      <c r="D512" s="15" t="s">
        <v>178</v>
      </c>
      <c r="E512" s="15" t="s">
        <v>103</v>
      </c>
      <c r="F512" s="17" t="n">
        <v>10</v>
      </c>
      <c r="G512" s="17" t="n">
        <v>2480</v>
      </c>
      <c r="H512" s="17" t="n">
        <v>13</v>
      </c>
      <c r="I512" s="17" t="n">
        <v>21576</v>
      </c>
      <c r="J512" s="15" t="s">
        <v>104</v>
      </c>
      <c r="K512" s="15" t="s">
        <v>99</v>
      </c>
    </row>
    <row r="513" customFormat="false" ht="14.25" hidden="false" customHeight="false" outlineLevel="0" collapsed="false">
      <c r="A513" s="15" t="s">
        <v>957</v>
      </c>
      <c r="B513" s="16" t="n">
        <v>45629</v>
      </c>
      <c r="C513" s="15" t="s">
        <v>112</v>
      </c>
      <c r="D513" s="15" t="s">
        <v>375</v>
      </c>
      <c r="E513" s="15" t="s">
        <v>165</v>
      </c>
      <c r="F513" s="17" t="n">
        <v>10</v>
      </c>
      <c r="G513" s="17" t="n">
        <v>5330</v>
      </c>
      <c r="H513" s="17" t="n">
        <v>0.7</v>
      </c>
      <c r="I513" s="17" t="n">
        <v>52926.9</v>
      </c>
      <c r="J513" s="15" t="s">
        <v>98</v>
      </c>
      <c r="K513" s="15" t="s">
        <v>110</v>
      </c>
    </row>
    <row r="514" customFormat="false" ht="14.25" hidden="false" customHeight="false" outlineLevel="0" collapsed="false">
      <c r="A514" s="15" t="s">
        <v>958</v>
      </c>
      <c r="B514" s="16" t="n">
        <v>45612</v>
      </c>
      <c r="C514" s="15" t="s">
        <v>959</v>
      </c>
      <c r="D514" s="15" t="s">
        <v>275</v>
      </c>
      <c r="E514" s="15" t="s">
        <v>336</v>
      </c>
      <c r="F514" s="17" t="n">
        <v>9</v>
      </c>
      <c r="G514" s="17" t="n">
        <v>4070</v>
      </c>
      <c r="H514" s="17" t="n">
        <v>15.6</v>
      </c>
      <c r="I514" s="17" t="n">
        <v>30915.72</v>
      </c>
      <c r="J514" s="15" t="s">
        <v>98</v>
      </c>
      <c r="K514" s="15" t="s">
        <v>99</v>
      </c>
    </row>
    <row r="515" customFormat="false" ht="14.25" hidden="false" customHeight="false" outlineLevel="0" collapsed="false">
      <c r="A515" s="15" t="s">
        <v>960</v>
      </c>
      <c r="B515" s="16" t="n">
        <v>45613</v>
      </c>
      <c r="C515" s="15" t="s">
        <v>834</v>
      </c>
      <c r="D515" s="15" t="s">
        <v>184</v>
      </c>
      <c r="E515" s="15" t="s">
        <v>226</v>
      </c>
      <c r="F515" s="17" t="n">
        <v>5</v>
      </c>
      <c r="G515" s="17" t="n">
        <v>2720</v>
      </c>
      <c r="H515" s="17" t="n">
        <v>10.3</v>
      </c>
      <c r="I515" s="17" t="n">
        <v>12199.2</v>
      </c>
      <c r="J515" s="15" t="s">
        <v>151</v>
      </c>
      <c r="K515" s="15" t="s">
        <v>105</v>
      </c>
    </row>
    <row r="516" customFormat="false" ht="14.25" hidden="false" customHeight="false" outlineLevel="0" collapsed="false">
      <c r="A516" s="15" t="s">
        <v>961</v>
      </c>
      <c r="B516" s="16" t="n">
        <v>45484</v>
      </c>
      <c r="C516" s="15" t="s">
        <v>768</v>
      </c>
      <c r="D516" s="15" t="s">
        <v>206</v>
      </c>
      <c r="E516" s="15" t="s">
        <v>240</v>
      </c>
      <c r="F516" s="17" t="n">
        <v>6</v>
      </c>
      <c r="G516" s="17" t="n">
        <v>2860</v>
      </c>
      <c r="H516" s="17" t="n">
        <v>28.9</v>
      </c>
      <c r="I516" s="17" t="n">
        <v>12200.76</v>
      </c>
      <c r="J516" s="15" t="s">
        <v>98</v>
      </c>
      <c r="K516" s="15" t="s">
        <v>128</v>
      </c>
    </row>
    <row r="517" customFormat="false" ht="14.25" hidden="false" customHeight="false" outlineLevel="0" collapsed="false">
      <c r="A517" s="15" t="s">
        <v>962</v>
      </c>
      <c r="B517" s="16" t="n">
        <v>45656</v>
      </c>
      <c r="C517" s="15" t="s">
        <v>963</v>
      </c>
      <c r="D517" s="15" t="s">
        <v>96</v>
      </c>
      <c r="E517" s="15" t="s">
        <v>336</v>
      </c>
      <c r="F517" s="17" t="n">
        <v>5</v>
      </c>
      <c r="G517" s="17" t="n">
        <v>3620</v>
      </c>
      <c r="H517" s="17" t="n">
        <v>18.2</v>
      </c>
      <c r="I517" s="17" t="n">
        <v>14805.8</v>
      </c>
      <c r="J517" s="15" t="s">
        <v>98</v>
      </c>
      <c r="K517" s="15" t="s">
        <v>144</v>
      </c>
    </row>
    <row r="518" customFormat="false" ht="14.25" hidden="false" customHeight="false" outlineLevel="0" collapsed="false">
      <c r="A518" s="15" t="s">
        <v>964</v>
      </c>
      <c r="B518" s="16" t="n">
        <v>45432</v>
      </c>
      <c r="C518" s="15" t="s">
        <v>164</v>
      </c>
      <c r="D518" s="15" t="s">
        <v>187</v>
      </c>
      <c r="E518" s="15" t="s">
        <v>314</v>
      </c>
      <c r="F518" s="17" t="n">
        <v>3</v>
      </c>
      <c r="G518" s="17" t="n">
        <v>1650</v>
      </c>
      <c r="H518" s="17" t="n">
        <v>10.7</v>
      </c>
      <c r="I518" s="17" t="n">
        <v>4420.35</v>
      </c>
      <c r="J518" s="15" t="s">
        <v>98</v>
      </c>
      <c r="K518" s="15" t="s">
        <v>128</v>
      </c>
    </row>
    <row r="519" customFormat="false" ht="14.25" hidden="false" customHeight="false" outlineLevel="0" collapsed="false">
      <c r="A519" s="15" t="s">
        <v>965</v>
      </c>
      <c r="B519" s="16" t="n">
        <v>45495</v>
      </c>
      <c r="C519" s="15" t="s">
        <v>555</v>
      </c>
      <c r="D519" s="15" t="s">
        <v>158</v>
      </c>
      <c r="E519" s="15" t="s">
        <v>240</v>
      </c>
      <c r="F519" s="17" t="n">
        <v>8</v>
      </c>
      <c r="G519" s="17" t="n">
        <v>190</v>
      </c>
      <c r="H519" s="17" t="n">
        <v>18</v>
      </c>
      <c r="I519" s="17" t="n">
        <v>1246.4</v>
      </c>
      <c r="J519" s="15" t="s">
        <v>104</v>
      </c>
      <c r="K519" s="15" t="s">
        <v>144</v>
      </c>
    </row>
    <row r="520" customFormat="false" ht="14.25" hidden="false" customHeight="false" outlineLevel="0" collapsed="false">
      <c r="A520" s="15" t="s">
        <v>966</v>
      </c>
      <c r="B520" s="16" t="n">
        <v>45443</v>
      </c>
      <c r="C520" s="15" t="s">
        <v>967</v>
      </c>
      <c r="D520" s="15" t="s">
        <v>397</v>
      </c>
      <c r="E520" s="15" t="s">
        <v>240</v>
      </c>
      <c r="F520" s="17" t="n">
        <v>7</v>
      </c>
      <c r="G520" s="17" t="n">
        <v>2290</v>
      </c>
      <c r="H520" s="17" t="n">
        <v>12.5</v>
      </c>
      <c r="I520" s="17" t="n">
        <v>14026.25</v>
      </c>
      <c r="J520" s="15" t="s">
        <v>98</v>
      </c>
      <c r="K520" s="15" t="s">
        <v>123</v>
      </c>
    </row>
    <row r="521" customFormat="false" ht="14.25" hidden="false" customHeight="false" outlineLevel="0" collapsed="false">
      <c r="A521" s="15" t="s">
        <v>968</v>
      </c>
      <c r="B521" s="16" t="n">
        <v>45638</v>
      </c>
      <c r="C521" s="15" t="s">
        <v>197</v>
      </c>
      <c r="D521" s="15" t="s">
        <v>375</v>
      </c>
      <c r="E521" s="15" t="s">
        <v>249</v>
      </c>
      <c r="F521" s="17" t="n">
        <v>2</v>
      </c>
      <c r="G521" s="17" t="n">
        <v>5330</v>
      </c>
      <c r="H521" s="17" t="n">
        <v>26.5</v>
      </c>
      <c r="I521" s="17" t="n">
        <v>7835.1</v>
      </c>
      <c r="J521" s="15" t="s">
        <v>98</v>
      </c>
      <c r="K521" s="15" t="s">
        <v>105</v>
      </c>
    </row>
    <row r="522" customFormat="false" ht="14.25" hidden="false" customHeight="false" outlineLevel="0" collapsed="false">
      <c r="A522" s="15" t="s">
        <v>969</v>
      </c>
      <c r="B522" s="16" t="n">
        <v>45476</v>
      </c>
      <c r="C522" s="15" t="s">
        <v>970</v>
      </c>
      <c r="D522" s="15" t="s">
        <v>375</v>
      </c>
      <c r="E522" s="15" t="s">
        <v>199</v>
      </c>
      <c r="F522" s="17" t="n">
        <v>4</v>
      </c>
      <c r="G522" s="17" t="n">
        <v>5330</v>
      </c>
      <c r="H522" s="17" t="n">
        <v>25.6</v>
      </c>
      <c r="I522" s="17" t="n">
        <v>15862.08</v>
      </c>
      <c r="J522" s="15" t="s">
        <v>98</v>
      </c>
      <c r="K522" s="15" t="s">
        <v>123</v>
      </c>
    </row>
    <row r="523" customFormat="false" ht="14.25" hidden="false" customHeight="false" outlineLevel="0" collapsed="false">
      <c r="A523" s="15" t="s">
        <v>971</v>
      </c>
      <c r="B523" s="16" t="n">
        <v>45566</v>
      </c>
      <c r="C523" s="15" t="s">
        <v>300</v>
      </c>
      <c r="D523" s="15" t="s">
        <v>454</v>
      </c>
      <c r="E523" s="15" t="s">
        <v>114</v>
      </c>
      <c r="F523" s="17" t="n">
        <v>4</v>
      </c>
      <c r="G523" s="17" t="n">
        <v>5080</v>
      </c>
      <c r="H523" s="17" t="n">
        <v>28.6</v>
      </c>
      <c r="I523" s="17" t="n">
        <v>14508.48</v>
      </c>
      <c r="J523" s="15" t="s">
        <v>98</v>
      </c>
      <c r="K523" s="15" t="s">
        <v>105</v>
      </c>
    </row>
    <row r="524" customFormat="false" ht="14.25" hidden="false" customHeight="false" outlineLevel="0" collapsed="false">
      <c r="A524" s="15" t="s">
        <v>972</v>
      </c>
      <c r="B524" s="16" t="n">
        <v>45392</v>
      </c>
      <c r="C524" s="15" t="s">
        <v>490</v>
      </c>
      <c r="D524" s="15" t="s">
        <v>121</v>
      </c>
      <c r="E524" s="15" t="s">
        <v>308</v>
      </c>
      <c r="F524" s="17" t="n">
        <v>4</v>
      </c>
      <c r="G524" s="17" t="n">
        <v>370</v>
      </c>
      <c r="H524" s="17" t="n">
        <v>12.6</v>
      </c>
      <c r="I524" s="17" t="n">
        <v>1293.52</v>
      </c>
      <c r="J524" s="15" t="s">
        <v>104</v>
      </c>
      <c r="K524" s="15" t="s">
        <v>99</v>
      </c>
    </row>
    <row r="525" customFormat="false" ht="14.25" hidden="false" customHeight="false" outlineLevel="0" collapsed="false">
      <c r="A525" s="15" t="s">
        <v>973</v>
      </c>
      <c r="B525" s="16" t="n">
        <v>45561</v>
      </c>
      <c r="C525" s="15" t="s">
        <v>974</v>
      </c>
      <c r="D525" s="15" t="s">
        <v>108</v>
      </c>
      <c r="E525" s="15" t="s">
        <v>263</v>
      </c>
      <c r="F525" s="17" t="n">
        <v>9</v>
      </c>
      <c r="G525" s="17" t="n">
        <v>470</v>
      </c>
      <c r="H525" s="17" t="n">
        <v>3.6</v>
      </c>
      <c r="I525" s="17" t="n">
        <v>4077.72</v>
      </c>
      <c r="J525" s="15" t="s">
        <v>98</v>
      </c>
      <c r="K525" s="15" t="s">
        <v>105</v>
      </c>
    </row>
    <row r="526" customFormat="false" ht="14.25" hidden="false" customHeight="false" outlineLevel="0" collapsed="false">
      <c r="A526" s="15" t="s">
        <v>975</v>
      </c>
      <c r="B526" s="16" t="n">
        <v>45634</v>
      </c>
      <c r="C526" s="15" t="s">
        <v>654</v>
      </c>
      <c r="D526" s="15" t="s">
        <v>371</v>
      </c>
      <c r="E526" s="15" t="s">
        <v>354</v>
      </c>
      <c r="F526" s="17" t="n">
        <v>4</v>
      </c>
      <c r="G526" s="17" t="n">
        <v>5410</v>
      </c>
      <c r="H526" s="17" t="n">
        <v>11.3</v>
      </c>
      <c r="I526" s="17" t="n">
        <v>19194.68</v>
      </c>
      <c r="J526" s="15" t="s">
        <v>155</v>
      </c>
      <c r="K526" s="15" t="s">
        <v>123</v>
      </c>
    </row>
    <row r="527" customFormat="false" ht="14.25" hidden="false" customHeight="false" outlineLevel="0" collapsed="false">
      <c r="A527" s="15" t="s">
        <v>976</v>
      </c>
      <c r="B527" s="16" t="n">
        <v>45311</v>
      </c>
      <c r="C527" s="15" t="s">
        <v>977</v>
      </c>
      <c r="D527" s="15" t="s">
        <v>96</v>
      </c>
      <c r="E527" s="15" t="s">
        <v>97</v>
      </c>
      <c r="F527" s="17" t="n">
        <v>10</v>
      </c>
      <c r="G527" s="17" t="n">
        <v>3620</v>
      </c>
      <c r="H527" s="17" t="n">
        <v>2.5</v>
      </c>
      <c r="I527" s="17" t="n">
        <v>35295</v>
      </c>
      <c r="J527" s="15" t="s">
        <v>98</v>
      </c>
      <c r="K527" s="15" t="s">
        <v>144</v>
      </c>
    </row>
    <row r="528" customFormat="false" ht="14.25" hidden="false" customHeight="false" outlineLevel="0" collapsed="false">
      <c r="A528" s="15" t="s">
        <v>978</v>
      </c>
      <c r="B528" s="16" t="n">
        <v>45380</v>
      </c>
      <c r="C528" s="15" t="s">
        <v>979</v>
      </c>
      <c r="D528" s="15" t="s">
        <v>211</v>
      </c>
      <c r="E528" s="15" t="s">
        <v>181</v>
      </c>
      <c r="F528" s="17" t="n">
        <v>1</v>
      </c>
      <c r="G528" s="17" t="n">
        <v>2760</v>
      </c>
      <c r="H528" s="17" t="n">
        <v>22.2</v>
      </c>
      <c r="I528" s="17" t="n">
        <v>2147.28</v>
      </c>
      <c r="J528" s="15" t="s">
        <v>98</v>
      </c>
      <c r="K528" s="15" t="s">
        <v>110</v>
      </c>
    </row>
    <row r="529" customFormat="false" ht="14.25" hidden="false" customHeight="false" outlineLevel="0" collapsed="false">
      <c r="A529" s="15" t="s">
        <v>980</v>
      </c>
      <c r="B529" s="16" t="n">
        <v>45549</v>
      </c>
      <c r="C529" s="15" t="s">
        <v>981</v>
      </c>
      <c r="D529" s="15" t="s">
        <v>168</v>
      </c>
      <c r="E529" s="15" t="s">
        <v>226</v>
      </c>
      <c r="F529" s="17" t="n">
        <v>7</v>
      </c>
      <c r="G529" s="17" t="n">
        <v>3450</v>
      </c>
      <c r="H529" s="17" t="n">
        <v>8.6</v>
      </c>
      <c r="I529" s="17" t="n">
        <v>22073.1</v>
      </c>
      <c r="J529" s="15" t="s">
        <v>98</v>
      </c>
      <c r="K529" s="15" t="s">
        <v>123</v>
      </c>
    </row>
    <row r="530" customFormat="false" ht="14.25" hidden="false" customHeight="false" outlineLevel="0" collapsed="false">
      <c r="A530" s="15" t="s">
        <v>982</v>
      </c>
      <c r="B530" s="16" t="n">
        <v>45418</v>
      </c>
      <c r="C530" s="15" t="s">
        <v>557</v>
      </c>
      <c r="D530" s="15" t="s">
        <v>113</v>
      </c>
      <c r="E530" s="15" t="s">
        <v>139</v>
      </c>
      <c r="F530" s="17" t="n">
        <v>6</v>
      </c>
      <c r="G530" s="17" t="n">
        <v>3660</v>
      </c>
      <c r="H530" s="17" t="n">
        <v>10.6</v>
      </c>
      <c r="I530" s="17" t="n">
        <v>19632.24</v>
      </c>
      <c r="J530" s="15" t="s">
        <v>98</v>
      </c>
      <c r="K530" s="15" t="s">
        <v>110</v>
      </c>
    </row>
    <row r="531" customFormat="false" ht="14.25" hidden="false" customHeight="false" outlineLevel="0" collapsed="false">
      <c r="A531" s="15" t="s">
        <v>983</v>
      </c>
      <c r="B531" s="16" t="n">
        <v>45532</v>
      </c>
      <c r="C531" s="15" t="s">
        <v>535</v>
      </c>
      <c r="D531" s="15" t="s">
        <v>198</v>
      </c>
      <c r="E531" s="15" t="s">
        <v>139</v>
      </c>
      <c r="F531" s="17" t="n">
        <v>10</v>
      </c>
      <c r="G531" s="17" t="n">
        <v>3570</v>
      </c>
      <c r="H531" s="17" t="n">
        <v>1.2</v>
      </c>
      <c r="I531" s="17" t="n">
        <v>35271.6</v>
      </c>
      <c r="J531" s="15" t="s">
        <v>98</v>
      </c>
      <c r="K531" s="15" t="s">
        <v>123</v>
      </c>
    </row>
    <row r="532" customFormat="false" ht="14.25" hidden="false" customHeight="false" outlineLevel="0" collapsed="false">
      <c r="A532" s="15" t="s">
        <v>984</v>
      </c>
      <c r="B532" s="16" t="n">
        <v>45542</v>
      </c>
      <c r="C532" s="15" t="s">
        <v>431</v>
      </c>
      <c r="D532" s="15" t="s">
        <v>513</v>
      </c>
      <c r="E532" s="15" t="s">
        <v>215</v>
      </c>
      <c r="F532" s="17" t="n">
        <v>8</v>
      </c>
      <c r="G532" s="17" t="n">
        <v>1090</v>
      </c>
      <c r="H532" s="17" t="n">
        <v>13.2</v>
      </c>
      <c r="I532" s="17" t="n">
        <v>7568.96</v>
      </c>
      <c r="J532" s="15" t="s">
        <v>155</v>
      </c>
      <c r="K532" s="15" t="s">
        <v>110</v>
      </c>
    </row>
    <row r="533" customFormat="false" ht="14.25" hidden="false" customHeight="false" outlineLevel="0" collapsed="false">
      <c r="A533" s="15" t="s">
        <v>985</v>
      </c>
      <c r="B533" s="16" t="n">
        <v>45320</v>
      </c>
      <c r="C533" s="15" t="s">
        <v>468</v>
      </c>
      <c r="D533" s="15" t="s">
        <v>96</v>
      </c>
      <c r="E533" s="15" t="s">
        <v>314</v>
      </c>
      <c r="F533" s="17" t="n">
        <v>8</v>
      </c>
      <c r="G533" s="17" t="n">
        <v>3620</v>
      </c>
      <c r="H533" s="17" t="n">
        <v>29</v>
      </c>
      <c r="I533" s="17" t="n">
        <v>20561.6</v>
      </c>
      <c r="J533" s="15" t="s">
        <v>98</v>
      </c>
      <c r="K533" s="15" t="s">
        <v>99</v>
      </c>
    </row>
    <row r="534" customFormat="false" ht="14.25" hidden="false" customHeight="false" outlineLevel="0" collapsed="false">
      <c r="A534" s="15" t="s">
        <v>986</v>
      </c>
      <c r="B534" s="16" t="n">
        <v>45548</v>
      </c>
      <c r="C534" s="15" t="s">
        <v>302</v>
      </c>
      <c r="D534" s="15" t="s">
        <v>195</v>
      </c>
      <c r="E534" s="15" t="s">
        <v>143</v>
      </c>
      <c r="F534" s="17" t="n">
        <v>7</v>
      </c>
      <c r="G534" s="17" t="n">
        <v>4880</v>
      </c>
      <c r="H534" s="17" t="n">
        <v>25.6</v>
      </c>
      <c r="I534" s="17" t="n">
        <v>25415.04</v>
      </c>
      <c r="J534" s="15" t="s">
        <v>155</v>
      </c>
      <c r="K534" s="15" t="s">
        <v>110</v>
      </c>
    </row>
    <row r="535" customFormat="false" ht="14.25" hidden="false" customHeight="false" outlineLevel="0" collapsed="false">
      <c r="A535" s="15" t="s">
        <v>987</v>
      </c>
      <c r="B535" s="16" t="n">
        <v>45434</v>
      </c>
      <c r="C535" s="15" t="s">
        <v>988</v>
      </c>
      <c r="D535" s="15" t="s">
        <v>108</v>
      </c>
      <c r="E535" s="15" t="s">
        <v>139</v>
      </c>
      <c r="F535" s="17" t="n">
        <v>2</v>
      </c>
      <c r="G535" s="17" t="n">
        <v>470</v>
      </c>
      <c r="H535" s="17" t="n">
        <v>9.7</v>
      </c>
      <c r="I535" s="17" t="n">
        <v>848.82</v>
      </c>
      <c r="J535" s="15" t="s">
        <v>98</v>
      </c>
      <c r="K535" s="15" t="s">
        <v>99</v>
      </c>
    </row>
    <row r="536" customFormat="false" ht="14.25" hidden="false" customHeight="false" outlineLevel="0" collapsed="false">
      <c r="A536" s="15" t="s">
        <v>989</v>
      </c>
      <c r="B536" s="16" t="n">
        <v>45539</v>
      </c>
      <c r="C536" s="15" t="s">
        <v>846</v>
      </c>
      <c r="D536" s="15" t="s">
        <v>397</v>
      </c>
      <c r="E536" s="15" t="s">
        <v>296</v>
      </c>
      <c r="F536" s="17" t="n">
        <v>6</v>
      </c>
      <c r="G536" s="17" t="n">
        <v>2290</v>
      </c>
      <c r="H536" s="17" t="n">
        <v>8.9</v>
      </c>
      <c r="I536" s="17" t="n">
        <v>12517.14</v>
      </c>
      <c r="J536" s="15" t="s">
        <v>98</v>
      </c>
      <c r="K536" s="15" t="s">
        <v>128</v>
      </c>
    </row>
    <row r="537" customFormat="false" ht="14.25" hidden="false" customHeight="false" outlineLevel="0" collapsed="false">
      <c r="A537" s="15" t="s">
        <v>990</v>
      </c>
      <c r="B537" s="16" t="n">
        <v>45468</v>
      </c>
      <c r="C537" s="15" t="s">
        <v>471</v>
      </c>
      <c r="D537" s="15" t="s">
        <v>378</v>
      </c>
      <c r="E537" s="15" t="s">
        <v>143</v>
      </c>
      <c r="F537" s="17" t="n">
        <v>3</v>
      </c>
      <c r="G537" s="17" t="n">
        <v>2380</v>
      </c>
      <c r="H537" s="17" t="n">
        <v>2.7</v>
      </c>
      <c r="I537" s="17" t="n">
        <v>6947.22</v>
      </c>
      <c r="J537" s="15" t="s">
        <v>104</v>
      </c>
      <c r="K537" s="15" t="s">
        <v>99</v>
      </c>
    </row>
    <row r="538" customFormat="false" ht="14.25" hidden="false" customHeight="false" outlineLevel="0" collapsed="false">
      <c r="A538" s="15" t="s">
        <v>991</v>
      </c>
      <c r="B538" s="16" t="n">
        <v>45485</v>
      </c>
      <c r="C538" s="15" t="s">
        <v>740</v>
      </c>
      <c r="D538" s="15" t="s">
        <v>378</v>
      </c>
      <c r="E538" s="15" t="s">
        <v>118</v>
      </c>
      <c r="F538" s="17" t="n">
        <v>9</v>
      </c>
      <c r="G538" s="17" t="n">
        <v>2380</v>
      </c>
      <c r="H538" s="17" t="n">
        <v>20.1</v>
      </c>
      <c r="I538" s="17" t="n">
        <v>17114.58</v>
      </c>
      <c r="J538" s="15" t="s">
        <v>98</v>
      </c>
      <c r="K538" s="15" t="s">
        <v>123</v>
      </c>
    </row>
    <row r="539" customFormat="false" ht="14.25" hidden="false" customHeight="false" outlineLevel="0" collapsed="false">
      <c r="A539" s="15" t="s">
        <v>992</v>
      </c>
      <c r="B539" s="16" t="n">
        <v>45303</v>
      </c>
      <c r="C539" s="15" t="s">
        <v>578</v>
      </c>
      <c r="D539" s="15" t="s">
        <v>371</v>
      </c>
      <c r="E539" s="15" t="s">
        <v>109</v>
      </c>
      <c r="F539" s="17" t="n">
        <v>8</v>
      </c>
      <c r="G539" s="17" t="n">
        <v>5410</v>
      </c>
      <c r="H539" s="17" t="n">
        <v>11.2</v>
      </c>
      <c r="I539" s="17" t="n">
        <v>38432.64</v>
      </c>
      <c r="J539" s="15" t="s">
        <v>98</v>
      </c>
      <c r="K539" s="15" t="s">
        <v>128</v>
      </c>
    </row>
    <row r="540" customFormat="false" ht="14.25" hidden="false" customHeight="false" outlineLevel="0" collapsed="false">
      <c r="A540" s="15" t="s">
        <v>993</v>
      </c>
      <c r="B540" s="16" t="n">
        <v>45605</v>
      </c>
      <c r="C540" s="15" t="s">
        <v>994</v>
      </c>
      <c r="D540" s="15" t="s">
        <v>131</v>
      </c>
      <c r="E540" s="15" t="s">
        <v>118</v>
      </c>
      <c r="F540" s="17" t="n">
        <v>1</v>
      </c>
      <c r="G540" s="17" t="n">
        <v>1430</v>
      </c>
      <c r="H540" s="17" t="n">
        <v>19.6</v>
      </c>
      <c r="I540" s="17" t="n">
        <v>1149.72</v>
      </c>
      <c r="J540" s="15" t="s">
        <v>98</v>
      </c>
      <c r="K540" s="15" t="s">
        <v>128</v>
      </c>
    </row>
    <row r="541" customFormat="false" ht="14.25" hidden="false" customHeight="false" outlineLevel="0" collapsed="false">
      <c r="A541" s="15" t="s">
        <v>995</v>
      </c>
      <c r="B541" s="16" t="n">
        <v>45421</v>
      </c>
      <c r="C541" s="15" t="s">
        <v>881</v>
      </c>
      <c r="D541" s="15" t="s">
        <v>162</v>
      </c>
      <c r="E541" s="15" t="s">
        <v>354</v>
      </c>
      <c r="F541" s="17" t="n">
        <v>9</v>
      </c>
      <c r="G541" s="17" t="n">
        <v>2400</v>
      </c>
      <c r="H541" s="17" t="n">
        <v>5</v>
      </c>
      <c r="I541" s="17" t="n">
        <v>20520</v>
      </c>
      <c r="J541" s="15" t="s">
        <v>98</v>
      </c>
      <c r="K541" s="15" t="s">
        <v>128</v>
      </c>
    </row>
    <row r="542" customFormat="false" ht="14.25" hidden="false" customHeight="false" outlineLevel="0" collapsed="false">
      <c r="A542" s="15" t="s">
        <v>996</v>
      </c>
      <c r="B542" s="16" t="n">
        <v>45493</v>
      </c>
      <c r="C542" s="15" t="s">
        <v>997</v>
      </c>
      <c r="D542" s="15" t="s">
        <v>245</v>
      </c>
      <c r="E542" s="15" t="s">
        <v>226</v>
      </c>
      <c r="F542" s="17" t="n">
        <v>1</v>
      </c>
      <c r="G542" s="17" t="n">
        <v>3780</v>
      </c>
      <c r="H542" s="17" t="n">
        <v>4.7</v>
      </c>
      <c r="I542" s="17" t="n">
        <v>3602.34</v>
      </c>
      <c r="J542" s="15" t="s">
        <v>98</v>
      </c>
      <c r="K542" s="15" t="s">
        <v>105</v>
      </c>
    </row>
    <row r="543" customFormat="false" ht="14.25" hidden="false" customHeight="false" outlineLevel="0" collapsed="false">
      <c r="A543" s="15" t="s">
        <v>998</v>
      </c>
      <c r="B543" s="16" t="n">
        <v>45592</v>
      </c>
      <c r="C543" s="15" t="s">
        <v>889</v>
      </c>
      <c r="D543" s="15" t="s">
        <v>303</v>
      </c>
      <c r="E543" s="15" t="s">
        <v>132</v>
      </c>
      <c r="F543" s="17" t="n">
        <v>2</v>
      </c>
      <c r="G543" s="17" t="n">
        <v>620</v>
      </c>
      <c r="H543" s="17" t="n">
        <v>8</v>
      </c>
      <c r="I543" s="17" t="n">
        <v>1140.8</v>
      </c>
      <c r="J543" s="15" t="s">
        <v>98</v>
      </c>
      <c r="K543" s="15" t="s">
        <v>123</v>
      </c>
    </row>
    <row r="544" customFormat="false" ht="14.25" hidden="false" customHeight="false" outlineLevel="0" collapsed="false">
      <c r="A544" s="15" t="s">
        <v>999</v>
      </c>
      <c r="B544" s="16" t="n">
        <v>45379</v>
      </c>
      <c r="C544" s="15" t="s">
        <v>649</v>
      </c>
      <c r="D544" s="15" t="s">
        <v>158</v>
      </c>
      <c r="E544" s="15" t="s">
        <v>97</v>
      </c>
      <c r="F544" s="17" t="n">
        <v>3</v>
      </c>
      <c r="G544" s="17" t="n">
        <v>190</v>
      </c>
      <c r="H544" s="17" t="n">
        <v>17.9</v>
      </c>
      <c r="I544" s="17" t="n">
        <v>467.97</v>
      </c>
      <c r="J544" s="15" t="s">
        <v>104</v>
      </c>
      <c r="K544" s="15" t="s">
        <v>110</v>
      </c>
    </row>
    <row r="545" customFormat="false" ht="14.25" hidden="false" customHeight="false" outlineLevel="0" collapsed="false">
      <c r="A545" s="15" t="s">
        <v>1000</v>
      </c>
      <c r="B545" s="16" t="n">
        <v>45332</v>
      </c>
      <c r="C545" s="15" t="s">
        <v>1001</v>
      </c>
      <c r="D545" s="15" t="s">
        <v>96</v>
      </c>
      <c r="E545" s="15" t="s">
        <v>132</v>
      </c>
      <c r="F545" s="17" t="n">
        <v>2</v>
      </c>
      <c r="G545" s="17" t="n">
        <v>3620</v>
      </c>
      <c r="H545" s="17" t="n">
        <v>15.5</v>
      </c>
      <c r="I545" s="17" t="n">
        <v>6117.8</v>
      </c>
      <c r="J545" s="15" t="s">
        <v>98</v>
      </c>
      <c r="K545" s="15" t="s">
        <v>128</v>
      </c>
    </row>
    <row r="546" customFormat="false" ht="14.25" hidden="false" customHeight="false" outlineLevel="0" collapsed="false">
      <c r="A546" s="15" t="s">
        <v>1002</v>
      </c>
      <c r="B546" s="16" t="n">
        <v>45610</v>
      </c>
      <c r="C546" s="15" t="s">
        <v>201</v>
      </c>
      <c r="D546" s="15" t="s">
        <v>206</v>
      </c>
      <c r="E546" s="15" t="s">
        <v>314</v>
      </c>
      <c r="F546" s="17" t="n">
        <v>5</v>
      </c>
      <c r="G546" s="17" t="n">
        <v>2860</v>
      </c>
      <c r="H546" s="17" t="n">
        <v>26.8</v>
      </c>
      <c r="I546" s="17" t="n">
        <v>10467.6</v>
      </c>
      <c r="J546" s="15" t="s">
        <v>98</v>
      </c>
      <c r="K546" s="15" t="s">
        <v>144</v>
      </c>
    </row>
    <row r="547" customFormat="false" ht="14.25" hidden="false" customHeight="false" outlineLevel="0" collapsed="false">
      <c r="A547" s="15" t="s">
        <v>1003</v>
      </c>
      <c r="B547" s="16" t="n">
        <v>45638</v>
      </c>
      <c r="C547" s="15" t="s">
        <v>921</v>
      </c>
      <c r="D547" s="15" t="s">
        <v>162</v>
      </c>
      <c r="E547" s="15" t="s">
        <v>165</v>
      </c>
      <c r="F547" s="17" t="n">
        <v>6</v>
      </c>
      <c r="G547" s="17" t="n">
        <v>2400</v>
      </c>
      <c r="H547" s="17" t="n">
        <v>19.2</v>
      </c>
      <c r="I547" s="17" t="n">
        <v>11635.2</v>
      </c>
      <c r="J547" s="15" t="s">
        <v>151</v>
      </c>
      <c r="K547" s="15" t="s">
        <v>110</v>
      </c>
    </row>
    <row r="548" customFormat="false" ht="14.25" hidden="false" customHeight="false" outlineLevel="0" collapsed="false">
      <c r="A548" s="15" t="s">
        <v>1004</v>
      </c>
      <c r="B548" s="16" t="n">
        <v>45546</v>
      </c>
      <c r="C548" s="15" t="s">
        <v>621</v>
      </c>
      <c r="D548" s="15" t="s">
        <v>454</v>
      </c>
      <c r="E548" s="15" t="s">
        <v>215</v>
      </c>
      <c r="F548" s="17" t="n">
        <v>7</v>
      </c>
      <c r="G548" s="17" t="n">
        <v>5080</v>
      </c>
      <c r="H548" s="17" t="n">
        <v>16.6</v>
      </c>
      <c r="I548" s="17" t="n">
        <v>29657.04</v>
      </c>
      <c r="J548" s="15" t="s">
        <v>104</v>
      </c>
      <c r="K548" s="15" t="s">
        <v>128</v>
      </c>
    </row>
    <row r="549" customFormat="false" ht="14.25" hidden="false" customHeight="false" outlineLevel="0" collapsed="false">
      <c r="A549" s="15" t="s">
        <v>1005</v>
      </c>
      <c r="B549" s="16" t="n">
        <v>45436</v>
      </c>
      <c r="C549" s="15" t="s">
        <v>167</v>
      </c>
      <c r="D549" s="15" t="s">
        <v>454</v>
      </c>
      <c r="E549" s="15" t="s">
        <v>199</v>
      </c>
      <c r="F549" s="17" t="n">
        <v>10</v>
      </c>
      <c r="G549" s="17" t="n">
        <v>5080</v>
      </c>
      <c r="H549" s="17" t="n">
        <v>24.6</v>
      </c>
      <c r="I549" s="17" t="n">
        <v>38303.2</v>
      </c>
      <c r="J549" s="15" t="s">
        <v>98</v>
      </c>
      <c r="K549" s="15" t="s">
        <v>144</v>
      </c>
    </row>
    <row r="550" customFormat="false" ht="14.25" hidden="false" customHeight="false" outlineLevel="0" collapsed="false">
      <c r="A550" s="15" t="s">
        <v>1006</v>
      </c>
      <c r="B550" s="16" t="n">
        <v>45532</v>
      </c>
      <c r="C550" s="15" t="s">
        <v>970</v>
      </c>
      <c r="D550" s="15" t="s">
        <v>126</v>
      </c>
      <c r="E550" s="15" t="s">
        <v>118</v>
      </c>
      <c r="F550" s="17" t="n">
        <v>7</v>
      </c>
      <c r="G550" s="17" t="n">
        <v>960</v>
      </c>
      <c r="H550" s="17" t="n">
        <v>16.6</v>
      </c>
      <c r="I550" s="17" t="n">
        <v>5604.48</v>
      </c>
      <c r="J550" s="15" t="s">
        <v>98</v>
      </c>
      <c r="K550" s="15" t="s">
        <v>123</v>
      </c>
    </row>
    <row r="551" customFormat="false" ht="14.25" hidden="false" customHeight="false" outlineLevel="0" collapsed="false">
      <c r="A551" s="15" t="s">
        <v>1007</v>
      </c>
      <c r="B551" s="16" t="n">
        <v>45568</v>
      </c>
      <c r="C551" s="15" t="s">
        <v>277</v>
      </c>
      <c r="D551" s="15" t="s">
        <v>113</v>
      </c>
      <c r="E551" s="15" t="s">
        <v>139</v>
      </c>
      <c r="F551" s="17" t="n">
        <v>3</v>
      </c>
      <c r="G551" s="17" t="n">
        <v>3660</v>
      </c>
      <c r="H551" s="17" t="n">
        <v>3.2</v>
      </c>
      <c r="I551" s="17" t="n">
        <v>10628.64</v>
      </c>
      <c r="J551" s="15" t="s">
        <v>104</v>
      </c>
      <c r="K551" s="15" t="s">
        <v>110</v>
      </c>
    </row>
    <row r="552" customFormat="false" ht="14.25" hidden="false" customHeight="false" outlineLevel="0" collapsed="false">
      <c r="A552" s="15" t="s">
        <v>1008</v>
      </c>
      <c r="B552" s="16" t="n">
        <v>45572</v>
      </c>
      <c r="C552" s="15" t="s">
        <v>208</v>
      </c>
      <c r="D552" s="15" t="s">
        <v>146</v>
      </c>
      <c r="E552" s="15" t="s">
        <v>215</v>
      </c>
      <c r="F552" s="17" t="n">
        <v>6</v>
      </c>
      <c r="G552" s="17" t="n">
        <v>2640</v>
      </c>
      <c r="H552" s="17" t="n">
        <v>26.3</v>
      </c>
      <c r="I552" s="17" t="n">
        <v>11674.08</v>
      </c>
      <c r="J552" s="15" t="s">
        <v>98</v>
      </c>
      <c r="K552" s="15" t="s">
        <v>99</v>
      </c>
    </row>
    <row r="553" customFormat="false" ht="14.25" hidden="false" customHeight="false" outlineLevel="0" collapsed="false">
      <c r="A553" s="15" t="s">
        <v>1009</v>
      </c>
      <c r="B553" s="16" t="n">
        <v>45562</v>
      </c>
      <c r="C553" s="15" t="s">
        <v>436</v>
      </c>
      <c r="D553" s="15" t="s">
        <v>278</v>
      </c>
      <c r="E553" s="15" t="s">
        <v>215</v>
      </c>
      <c r="F553" s="17" t="n">
        <v>6</v>
      </c>
      <c r="G553" s="17" t="n">
        <v>1220</v>
      </c>
      <c r="H553" s="17" t="n">
        <v>22.3</v>
      </c>
      <c r="I553" s="17" t="n">
        <v>5687.64</v>
      </c>
      <c r="J553" s="15" t="s">
        <v>151</v>
      </c>
      <c r="K553" s="15" t="s">
        <v>105</v>
      </c>
    </row>
    <row r="554" customFormat="false" ht="14.25" hidden="false" customHeight="false" outlineLevel="0" collapsed="false">
      <c r="A554" s="15" t="s">
        <v>1010</v>
      </c>
      <c r="B554" s="16" t="n">
        <v>45345</v>
      </c>
      <c r="C554" s="15" t="s">
        <v>1011</v>
      </c>
      <c r="D554" s="15" t="s">
        <v>293</v>
      </c>
      <c r="E554" s="15" t="s">
        <v>263</v>
      </c>
      <c r="F554" s="17" t="n">
        <v>1</v>
      </c>
      <c r="G554" s="17" t="n">
        <v>300</v>
      </c>
      <c r="H554" s="17" t="n">
        <v>0.7</v>
      </c>
      <c r="I554" s="17" t="n">
        <v>297.9</v>
      </c>
      <c r="J554" s="15" t="s">
        <v>98</v>
      </c>
      <c r="K554" s="15" t="s">
        <v>128</v>
      </c>
    </row>
    <row r="555" customFormat="false" ht="14.25" hidden="false" customHeight="false" outlineLevel="0" collapsed="false">
      <c r="A555" s="15" t="s">
        <v>1012</v>
      </c>
      <c r="B555" s="16" t="n">
        <v>45370</v>
      </c>
      <c r="C555" s="15" t="s">
        <v>708</v>
      </c>
      <c r="D555" s="15" t="s">
        <v>193</v>
      </c>
      <c r="E555" s="15" t="s">
        <v>203</v>
      </c>
      <c r="F555" s="17" t="n">
        <v>2</v>
      </c>
      <c r="G555" s="17" t="n">
        <v>1010</v>
      </c>
      <c r="H555" s="17" t="n">
        <v>28</v>
      </c>
      <c r="I555" s="17" t="n">
        <v>1454.4</v>
      </c>
      <c r="J555" s="15" t="s">
        <v>98</v>
      </c>
      <c r="K555" s="15" t="s">
        <v>144</v>
      </c>
    </row>
    <row r="556" customFormat="false" ht="14.25" hidden="false" customHeight="false" outlineLevel="0" collapsed="false">
      <c r="A556" s="15" t="s">
        <v>1013</v>
      </c>
      <c r="B556" s="16" t="n">
        <v>45407</v>
      </c>
      <c r="C556" s="15" t="s">
        <v>1014</v>
      </c>
      <c r="D556" s="15" t="s">
        <v>149</v>
      </c>
      <c r="E556" s="15" t="s">
        <v>284</v>
      </c>
      <c r="F556" s="17" t="n">
        <v>5</v>
      </c>
      <c r="G556" s="17" t="n">
        <v>2600</v>
      </c>
      <c r="H556" s="17" t="n">
        <v>0.8</v>
      </c>
      <c r="I556" s="17" t="n">
        <v>12896</v>
      </c>
      <c r="J556" s="15" t="s">
        <v>151</v>
      </c>
      <c r="K556" s="15" t="s">
        <v>110</v>
      </c>
    </row>
    <row r="557" customFormat="false" ht="14.25" hidden="false" customHeight="false" outlineLevel="0" collapsed="false">
      <c r="A557" s="15" t="s">
        <v>1015</v>
      </c>
      <c r="B557" s="16" t="n">
        <v>45337</v>
      </c>
      <c r="C557" s="15" t="s">
        <v>566</v>
      </c>
      <c r="D557" s="15" t="s">
        <v>526</v>
      </c>
      <c r="E557" s="15" t="s">
        <v>212</v>
      </c>
      <c r="F557" s="17" t="n">
        <v>3</v>
      </c>
      <c r="G557" s="17" t="n">
        <v>6940</v>
      </c>
      <c r="H557" s="17" t="n">
        <v>10.7</v>
      </c>
      <c r="I557" s="17" t="n">
        <v>18592.26</v>
      </c>
      <c r="J557" s="15" t="s">
        <v>151</v>
      </c>
      <c r="K557" s="15" t="s">
        <v>123</v>
      </c>
    </row>
    <row r="558" customFormat="false" ht="14.25" hidden="false" customHeight="false" outlineLevel="0" collapsed="false">
      <c r="A558" s="15" t="s">
        <v>1016</v>
      </c>
      <c r="B558" s="16" t="n">
        <v>45571</v>
      </c>
      <c r="C558" s="15" t="s">
        <v>1017</v>
      </c>
      <c r="D558" s="15" t="s">
        <v>121</v>
      </c>
      <c r="E558" s="15" t="s">
        <v>284</v>
      </c>
      <c r="F558" s="17" t="n">
        <v>1</v>
      </c>
      <c r="G558" s="17" t="n">
        <v>370</v>
      </c>
      <c r="H558" s="17" t="n">
        <v>10.3</v>
      </c>
      <c r="I558" s="17" t="n">
        <v>331.89</v>
      </c>
      <c r="J558" s="15" t="s">
        <v>155</v>
      </c>
      <c r="K558" s="15" t="s">
        <v>128</v>
      </c>
    </row>
    <row r="559" customFormat="false" ht="14.25" hidden="false" customHeight="false" outlineLevel="0" collapsed="false">
      <c r="A559" s="15" t="s">
        <v>1018</v>
      </c>
      <c r="B559" s="16" t="n">
        <v>45357</v>
      </c>
      <c r="C559" s="15" t="s">
        <v>608</v>
      </c>
      <c r="D559" s="15" t="s">
        <v>245</v>
      </c>
      <c r="E559" s="15" t="s">
        <v>240</v>
      </c>
      <c r="F559" s="17" t="n">
        <v>2</v>
      </c>
      <c r="G559" s="17" t="n">
        <v>3780</v>
      </c>
      <c r="H559" s="17" t="n">
        <v>29.4</v>
      </c>
      <c r="I559" s="17" t="n">
        <v>5337.36</v>
      </c>
      <c r="J559" s="15" t="s">
        <v>98</v>
      </c>
      <c r="K559" s="15" t="s">
        <v>123</v>
      </c>
    </row>
    <row r="560" customFormat="false" ht="14.25" hidden="false" customHeight="false" outlineLevel="0" collapsed="false">
      <c r="A560" s="15" t="s">
        <v>1019</v>
      </c>
      <c r="B560" s="16" t="n">
        <v>45432</v>
      </c>
      <c r="C560" s="15" t="s">
        <v>490</v>
      </c>
      <c r="D560" s="15" t="s">
        <v>138</v>
      </c>
      <c r="E560" s="15" t="s">
        <v>296</v>
      </c>
      <c r="F560" s="17" t="n">
        <v>5</v>
      </c>
      <c r="G560" s="17" t="n">
        <v>970</v>
      </c>
      <c r="H560" s="17" t="n">
        <v>14.6</v>
      </c>
      <c r="I560" s="17" t="n">
        <v>4141.9</v>
      </c>
      <c r="J560" s="15" t="s">
        <v>98</v>
      </c>
      <c r="K560" s="15" t="s">
        <v>99</v>
      </c>
    </row>
    <row r="561" customFormat="false" ht="14.25" hidden="false" customHeight="false" outlineLevel="0" collapsed="false">
      <c r="A561" s="15" t="s">
        <v>1020</v>
      </c>
      <c r="B561" s="16" t="n">
        <v>45604</v>
      </c>
      <c r="C561" s="15" t="s">
        <v>796</v>
      </c>
      <c r="D561" s="15" t="s">
        <v>256</v>
      </c>
      <c r="E561" s="15" t="s">
        <v>308</v>
      </c>
      <c r="F561" s="17" t="n">
        <v>3</v>
      </c>
      <c r="G561" s="17" t="n">
        <v>2270</v>
      </c>
      <c r="H561" s="17" t="n">
        <v>6.5</v>
      </c>
      <c r="I561" s="17" t="n">
        <v>6367.35</v>
      </c>
      <c r="J561" s="15" t="s">
        <v>98</v>
      </c>
      <c r="K561" s="15" t="s">
        <v>99</v>
      </c>
    </row>
    <row r="562" customFormat="false" ht="14.25" hidden="false" customHeight="false" outlineLevel="0" collapsed="false">
      <c r="A562" s="15" t="s">
        <v>1021</v>
      </c>
      <c r="B562" s="16" t="n">
        <v>45467</v>
      </c>
      <c r="C562" s="15" t="s">
        <v>711</v>
      </c>
      <c r="D562" s="15" t="s">
        <v>270</v>
      </c>
      <c r="E562" s="15" t="s">
        <v>240</v>
      </c>
      <c r="F562" s="17" t="n">
        <v>10</v>
      </c>
      <c r="G562" s="17" t="n">
        <v>1540</v>
      </c>
      <c r="H562" s="17" t="n">
        <v>16.5</v>
      </c>
      <c r="I562" s="17" t="n">
        <v>12859</v>
      </c>
      <c r="J562" s="15" t="s">
        <v>98</v>
      </c>
      <c r="K562" s="15" t="s">
        <v>105</v>
      </c>
    </row>
    <row r="563" customFormat="false" ht="14.25" hidden="false" customHeight="false" outlineLevel="0" collapsed="false">
      <c r="A563" s="15" t="s">
        <v>1022</v>
      </c>
      <c r="B563" s="16" t="n">
        <v>45649</v>
      </c>
      <c r="C563" s="15" t="s">
        <v>116</v>
      </c>
      <c r="D563" s="15" t="s">
        <v>211</v>
      </c>
      <c r="E563" s="15" t="s">
        <v>249</v>
      </c>
      <c r="F563" s="17" t="n">
        <v>4</v>
      </c>
      <c r="G563" s="17" t="n">
        <v>2760</v>
      </c>
      <c r="H563" s="17" t="n">
        <v>19.8</v>
      </c>
      <c r="I563" s="17" t="n">
        <v>8854.08</v>
      </c>
      <c r="J563" s="15" t="s">
        <v>98</v>
      </c>
      <c r="K563" s="15" t="s">
        <v>105</v>
      </c>
    </row>
    <row r="564" customFormat="false" ht="14.25" hidden="false" customHeight="false" outlineLevel="0" collapsed="false">
      <c r="A564" s="15" t="s">
        <v>1023</v>
      </c>
      <c r="B564" s="16" t="n">
        <v>45332</v>
      </c>
      <c r="C564" s="15" t="s">
        <v>396</v>
      </c>
      <c r="D564" s="15" t="s">
        <v>142</v>
      </c>
      <c r="E564" s="15" t="s">
        <v>181</v>
      </c>
      <c r="F564" s="17" t="n">
        <v>3</v>
      </c>
      <c r="G564" s="17" t="n">
        <v>2270</v>
      </c>
      <c r="H564" s="17" t="n">
        <v>29.5</v>
      </c>
      <c r="I564" s="17" t="n">
        <v>4801.05</v>
      </c>
      <c r="J564" s="15" t="s">
        <v>155</v>
      </c>
      <c r="K564" s="15" t="s">
        <v>128</v>
      </c>
    </row>
    <row r="565" customFormat="false" ht="14.25" hidden="false" customHeight="false" outlineLevel="0" collapsed="false">
      <c r="A565" s="15" t="s">
        <v>1024</v>
      </c>
      <c r="B565" s="16" t="n">
        <v>45418</v>
      </c>
      <c r="C565" s="15" t="s">
        <v>578</v>
      </c>
      <c r="D565" s="15" t="s">
        <v>287</v>
      </c>
      <c r="E565" s="15" t="s">
        <v>199</v>
      </c>
      <c r="F565" s="17" t="n">
        <v>8</v>
      </c>
      <c r="G565" s="17" t="n">
        <v>3020</v>
      </c>
      <c r="H565" s="17" t="n">
        <v>1.2</v>
      </c>
      <c r="I565" s="17" t="n">
        <v>23870.08</v>
      </c>
      <c r="J565" s="15" t="s">
        <v>98</v>
      </c>
      <c r="K565" s="15" t="s">
        <v>128</v>
      </c>
    </row>
    <row r="566" customFormat="false" ht="14.25" hidden="false" customHeight="false" outlineLevel="0" collapsed="false">
      <c r="A566" s="15" t="s">
        <v>1025</v>
      </c>
      <c r="B566" s="16" t="n">
        <v>45490</v>
      </c>
      <c r="C566" s="15" t="s">
        <v>570</v>
      </c>
      <c r="D566" s="15" t="s">
        <v>378</v>
      </c>
      <c r="E566" s="15" t="s">
        <v>314</v>
      </c>
      <c r="F566" s="17" t="n">
        <v>6</v>
      </c>
      <c r="G566" s="17" t="n">
        <v>2380</v>
      </c>
      <c r="H566" s="17" t="n">
        <v>20.4</v>
      </c>
      <c r="I566" s="17" t="n">
        <v>11366.88</v>
      </c>
      <c r="J566" s="15" t="s">
        <v>98</v>
      </c>
      <c r="K566" s="15" t="s">
        <v>99</v>
      </c>
    </row>
    <row r="567" customFormat="false" ht="14.25" hidden="false" customHeight="false" outlineLevel="0" collapsed="false">
      <c r="A567" s="15" t="s">
        <v>1026</v>
      </c>
      <c r="B567" s="16" t="n">
        <v>45470</v>
      </c>
      <c r="C567" s="15" t="s">
        <v>1027</v>
      </c>
      <c r="D567" s="15" t="s">
        <v>526</v>
      </c>
      <c r="E567" s="15" t="s">
        <v>139</v>
      </c>
      <c r="F567" s="17" t="n">
        <v>1</v>
      </c>
      <c r="G567" s="17" t="n">
        <v>6940</v>
      </c>
      <c r="H567" s="17" t="n">
        <v>15</v>
      </c>
      <c r="I567" s="17" t="n">
        <v>5899</v>
      </c>
      <c r="J567" s="15" t="s">
        <v>151</v>
      </c>
      <c r="K567" s="15" t="s">
        <v>128</v>
      </c>
    </row>
    <row r="568" customFormat="false" ht="14.25" hidden="false" customHeight="false" outlineLevel="0" collapsed="false">
      <c r="A568" s="15" t="s">
        <v>1028</v>
      </c>
      <c r="B568" s="16" t="n">
        <v>45654</v>
      </c>
      <c r="C568" s="15" t="s">
        <v>302</v>
      </c>
      <c r="D568" s="15" t="s">
        <v>290</v>
      </c>
      <c r="E568" s="15" t="s">
        <v>143</v>
      </c>
      <c r="F568" s="17" t="n">
        <v>1</v>
      </c>
      <c r="G568" s="17" t="n">
        <v>2660</v>
      </c>
      <c r="H568" s="17" t="n">
        <v>11.6</v>
      </c>
      <c r="I568" s="17" t="n">
        <v>2351.44</v>
      </c>
      <c r="J568" s="15" t="s">
        <v>98</v>
      </c>
      <c r="K568" s="15" t="s">
        <v>110</v>
      </c>
    </row>
    <row r="569" customFormat="false" ht="14.25" hidden="false" customHeight="false" outlineLevel="0" collapsed="false">
      <c r="A569" s="15" t="s">
        <v>1029</v>
      </c>
      <c r="B569" s="16" t="n">
        <v>45548</v>
      </c>
      <c r="C569" s="15" t="s">
        <v>781</v>
      </c>
      <c r="D569" s="15" t="s">
        <v>138</v>
      </c>
      <c r="E569" s="15" t="s">
        <v>263</v>
      </c>
      <c r="F569" s="17" t="n">
        <v>4</v>
      </c>
      <c r="G569" s="17" t="n">
        <v>970</v>
      </c>
      <c r="H569" s="17" t="n">
        <v>11.6</v>
      </c>
      <c r="I569" s="17" t="n">
        <v>3429.92</v>
      </c>
      <c r="J569" s="15" t="s">
        <v>98</v>
      </c>
      <c r="K569" s="15" t="s">
        <v>99</v>
      </c>
    </row>
    <row r="570" customFormat="false" ht="14.25" hidden="false" customHeight="false" outlineLevel="0" collapsed="false">
      <c r="A570" s="15" t="s">
        <v>1030</v>
      </c>
      <c r="B570" s="16" t="n">
        <v>45632</v>
      </c>
      <c r="C570" s="15" t="s">
        <v>613</v>
      </c>
      <c r="D570" s="15" t="s">
        <v>256</v>
      </c>
      <c r="E570" s="15" t="s">
        <v>308</v>
      </c>
      <c r="F570" s="17" t="n">
        <v>7</v>
      </c>
      <c r="G570" s="17" t="n">
        <v>2270</v>
      </c>
      <c r="H570" s="17" t="n">
        <v>27.9</v>
      </c>
      <c r="I570" s="17" t="n">
        <v>11456.69</v>
      </c>
      <c r="J570" s="15" t="s">
        <v>98</v>
      </c>
      <c r="K570" s="15" t="s">
        <v>105</v>
      </c>
    </row>
    <row r="571" customFormat="false" ht="14.25" hidden="false" customHeight="false" outlineLevel="0" collapsed="false">
      <c r="A571" s="15" t="s">
        <v>1031</v>
      </c>
      <c r="B571" s="16" t="n">
        <v>45304</v>
      </c>
      <c r="C571" s="15" t="s">
        <v>274</v>
      </c>
      <c r="D571" s="15" t="s">
        <v>193</v>
      </c>
      <c r="E571" s="15" t="s">
        <v>357</v>
      </c>
      <c r="F571" s="17" t="n">
        <v>8</v>
      </c>
      <c r="G571" s="17" t="n">
        <v>1010</v>
      </c>
      <c r="H571" s="17" t="n">
        <v>13.7</v>
      </c>
      <c r="I571" s="17" t="n">
        <v>6973.04</v>
      </c>
      <c r="J571" s="15" t="s">
        <v>151</v>
      </c>
      <c r="K571" s="15" t="s">
        <v>144</v>
      </c>
    </row>
    <row r="572" customFormat="false" ht="14.25" hidden="false" customHeight="false" outlineLevel="0" collapsed="false">
      <c r="A572" s="15" t="s">
        <v>1032</v>
      </c>
      <c r="B572" s="16" t="n">
        <v>45330</v>
      </c>
      <c r="C572" s="15" t="s">
        <v>471</v>
      </c>
      <c r="D572" s="15" t="s">
        <v>378</v>
      </c>
      <c r="E572" s="15" t="s">
        <v>226</v>
      </c>
      <c r="F572" s="17" t="n">
        <v>8</v>
      </c>
      <c r="G572" s="17" t="n">
        <v>2380</v>
      </c>
      <c r="H572" s="17" t="n">
        <v>15.3</v>
      </c>
      <c r="I572" s="17" t="n">
        <v>16126.88</v>
      </c>
      <c r="J572" s="15" t="s">
        <v>151</v>
      </c>
      <c r="K572" s="15" t="s">
        <v>99</v>
      </c>
    </row>
    <row r="573" customFormat="false" ht="14.25" hidden="false" customHeight="false" outlineLevel="0" collapsed="false">
      <c r="A573" s="15" t="s">
        <v>1033</v>
      </c>
      <c r="B573" s="16" t="n">
        <v>45633</v>
      </c>
      <c r="C573" s="15" t="s">
        <v>994</v>
      </c>
      <c r="D573" s="15" t="s">
        <v>108</v>
      </c>
      <c r="E573" s="15" t="s">
        <v>314</v>
      </c>
      <c r="F573" s="17" t="n">
        <v>10</v>
      </c>
      <c r="G573" s="17" t="n">
        <v>470</v>
      </c>
      <c r="H573" s="17" t="n">
        <v>2.1</v>
      </c>
      <c r="I573" s="17" t="n">
        <v>4601.3</v>
      </c>
      <c r="J573" s="15" t="s">
        <v>98</v>
      </c>
      <c r="K573" s="15" t="s">
        <v>128</v>
      </c>
    </row>
    <row r="574" customFormat="false" ht="14.25" hidden="false" customHeight="false" outlineLevel="0" collapsed="false">
      <c r="A574" s="15" t="s">
        <v>1034</v>
      </c>
      <c r="B574" s="16" t="n">
        <v>45480</v>
      </c>
      <c r="C574" s="15" t="s">
        <v>462</v>
      </c>
      <c r="D574" s="15" t="s">
        <v>202</v>
      </c>
      <c r="E574" s="15" t="s">
        <v>122</v>
      </c>
      <c r="F574" s="17" t="n">
        <v>5</v>
      </c>
      <c r="G574" s="17" t="n">
        <v>5100</v>
      </c>
      <c r="H574" s="17" t="n">
        <v>9.7</v>
      </c>
      <c r="I574" s="17" t="n">
        <v>23026.5</v>
      </c>
      <c r="J574" s="15" t="s">
        <v>98</v>
      </c>
      <c r="K574" s="15" t="s">
        <v>110</v>
      </c>
    </row>
    <row r="575" customFormat="false" ht="14.25" hidden="false" customHeight="false" outlineLevel="0" collapsed="false">
      <c r="A575" s="15" t="s">
        <v>1035</v>
      </c>
      <c r="B575" s="16" t="n">
        <v>45402</v>
      </c>
      <c r="C575" s="15" t="s">
        <v>177</v>
      </c>
      <c r="D575" s="15" t="s">
        <v>391</v>
      </c>
      <c r="E575" s="15" t="s">
        <v>212</v>
      </c>
      <c r="F575" s="17" t="n">
        <v>9</v>
      </c>
      <c r="G575" s="17" t="n">
        <v>960</v>
      </c>
      <c r="H575" s="17" t="n">
        <v>17.7</v>
      </c>
      <c r="I575" s="17" t="n">
        <v>7110.72</v>
      </c>
      <c r="J575" s="15" t="s">
        <v>98</v>
      </c>
      <c r="K575" s="15" t="s">
        <v>144</v>
      </c>
    </row>
    <row r="576" customFormat="false" ht="14.25" hidden="false" customHeight="false" outlineLevel="0" collapsed="false">
      <c r="A576" s="15" t="s">
        <v>1036</v>
      </c>
      <c r="B576" s="16" t="n">
        <v>45478</v>
      </c>
      <c r="C576" s="15" t="s">
        <v>217</v>
      </c>
      <c r="D576" s="15" t="s">
        <v>275</v>
      </c>
      <c r="E576" s="15" t="s">
        <v>97</v>
      </c>
      <c r="F576" s="17" t="n">
        <v>2</v>
      </c>
      <c r="G576" s="17" t="n">
        <v>4070</v>
      </c>
      <c r="H576" s="17" t="n">
        <v>2.1</v>
      </c>
      <c r="I576" s="17" t="n">
        <v>7969.06</v>
      </c>
      <c r="J576" s="15" t="s">
        <v>98</v>
      </c>
      <c r="K576" s="15" t="s">
        <v>144</v>
      </c>
    </row>
    <row r="577" customFormat="false" ht="14.25" hidden="false" customHeight="false" outlineLevel="0" collapsed="false">
      <c r="A577" s="15" t="s">
        <v>1037</v>
      </c>
      <c r="B577" s="16" t="n">
        <v>45358</v>
      </c>
      <c r="C577" s="15" t="s">
        <v>1038</v>
      </c>
      <c r="D577" s="15" t="s">
        <v>237</v>
      </c>
      <c r="E577" s="15" t="s">
        <v>169</v>
      </c>
      <c r="F577" s="17" t="n">
        <v>5</v>
      </c>
      <c r="G577" s="17" t="n">
        <v>3730</v>
      </c>
      <c r="H577" s="17" t="n">
        <v>16.5</v>
      </c>
      <c r="I577" s="17" t="n">
        <v>15572.75</v>
      </c>
      <c r="J577" s="15" t="s">
        <v>98</v>
      </c>
      <c r="K577" s="15" t="s">
        <v>123</v>
      </c>
    </row>
    <row r="578" customFormat="false" ht="14.25" hidden="false" customHeight="false" outlineLevel="0" collapsed="false">
      <c r="A578" s="15" t="s">
        <v>1039</v>
      </c>
      <c r="B578" s="16" t="n">
        <v>45589</v>
      </c>
      <c r="C578" s="15" t="s">
        <v>112</v>
      </c>
      <c r="D578" s="15" t="s">
        <v>206</v>
      </c>
      <c r="E578" s="15" t="s">
        <v>296</v>
      </c>
      <c r="F578" s="17" t="n">
        <v>1</v>
      </c>
      <c r="G578" s="17" t="n">
        <v>2860</v>
      </c>
      <c r="H578" s="17" t="n">
        <v>10.4</v>
      </c>
      <c r="I578" s="17" t="n">
        <v>2562.56</v>
      </c>
      <c r="J578" s="15" t="s">
        <v>151</v>
      </c>
      <c r="K578" s="15" t="s">
        <v>110</v>
      </c>
    </row>
    <row r="579" customFormat="false" ht="14.25" hidden="false" customHeight="false" outlineLevel="0" collapsed="false">
      <c r="A579" s="15" t="s">
        <v>1040</v>
      </c>
      <c r="B579" s="16" t="n">
        <v>45507</v>
      </c>
      <c r="C579" s="15" t="s">
        <v>813</v>
      </c>
      <c r="D579" s="15" t="s">
        <v>195</v>
      </c>
      <c r="E579" s="15" t="s">
        <v>314</v>
      </c>
      <c r="F579" s="17" t="n">
        <v>4</v>
      </c>
      <c r="G579" s="17" t="n">
        <v>4880</v>
      </c>
      <c r="H579" s="17" t="n">
        <v>27.5</v>
      </c>
      <c r="I579" s="17" t="n">
        <v>14152</v>
      </c>
      <c r="J579" s="15" t="s">
        <v>104</v>
      </c>
      <c r="K579" s="15" t="s">
        <v>105</v>
      </c>
    </row>
    <row r="580" customFormat="false" ht="14.25" hidden="false" customHeight="false" outlineLevel="0" collapsed="false">
      <c r="A580" s="15" t="s">
        <v>1041</v>
      </c>
      <c r="B580" s="16" t="n">
        <v>45470</v>
      </c>
      <c r="C580" s="15" t="s">
        <v>834</v>
      </c>
      <c r="D580" s="15" t="s">
        <v>256</v>
      </c>
      <c r="E580" s="15" t="s">
        <v>296</v>
      </c>
      <c r="F580" s="17" t="n">
        <v>3</v>
      </c>
      <c r="G580" s="17" t="n">
        <v>2270</v>
      </c>
      <c r="H580" s="17" t="n">
        <v>6.7</v>
      </c>
      <c r="I580" s="17" t="n">
        <v>6353.73</v>
      </c>
      <c r="J580" s="15" t="s">
        <v>98</v>
      </c>
      <c r="K580" s="15" t="s">
        <v>105</v>
      </c>
    </row>
    <row r="581" customFormat="false" ht="14.25" hidden="false" customHeight="false" outlineLevel="0" collapsed="false">
      <c r="A581" s="15" t="s">
        <v>1042</v>
      </c>
      <c r="B581" s="16" t="n">
        <v>45589</v>
      </c>
      <c r="C581" s="15" t="s">
        <v>568</v>
      </c>
      <c r="D581" s="15" t="s">
        <v>362</v>
      </c>
      <c r="E581" s="15" t="s">
        <v>97</v>
      </c>
      <c r="F581" s="17" t="n">
        <v>10</v>
      </c>
      <c r="G581" s="17" t="n">
        <v>4060</v>
      </c>
      <c r="H581" s="17" t="n">
        <v>3.6</v>
      </c>
      <c r="I581" s="17" t="n">
        <v>39138.4</v>
      </c>
      <c r="J581" s="15" t="s">
        <v>104</v>
      </c>
      <c r="K581" s="15" t="s">
        <v>123</v>
      </c>
    </row>
    <row r="582" customFormat="false" ht="14.25" hidden="false" customHeight="false" outlineLevel="0" collapsed="false">
      <c r="A582" s="15" t="s">
        <v>1043</v>
      </c>
      <c r="B582" s="16" t="n">
        <v>45433</v>
      </c>
      <c r="C582" s="15" t="s">
        <v>626</v>
      </c>
      <c r="D582" s="15" t="s">
        <v>146</v>
      </c>
      <c r="E582" s="15" t="s">
        <v>150</v>
      </c>
      <c r="F582" s="17" t="n">
        <v>8</v>
      </c>
      <c r="G582" s="17" t="n">
        <v>2640</v>
      </c>
      <c r="H582" s="17" t="n">
        <v>28.8</v>
      </c>
      <c r="I582" s="17" t="n">
        <v>15037.44</v>
      </c>
      <c r="J582" s="15" t="s">
        <v>98</v>
      </c>
      <c r="K582" s="15" t="s">
        <v>123</v>
      </c>
    </row>
    <row r="583" customFormat="false" ht="14.25" hidden="false" customHeight="false" outlineLevel="0" collapsed="false">
      <c r="A583" s="15" t="s">
        <v>1044</v>
      </c>
      <c r="B583" s="16" t="n">
        <v>45477</v>
      </c>
      <c r="C583" s="15" t="s">
        <v>501</v>
      </c>
      <c r="D583" s="15" t="s">
        <v>237</v>
      </c>
      <c r="E583" s="15" t="s">
        <v>336</v>
      </c>
      <c r="F583" s="17" t="n">
        <v>6</v>
      </c>
      <c r="G583" s="17" t="n">
        <v>3730</v>
      </c>
      <c r="H583" s="17" t="n">
        <v>21.9</v>
      </c>
      <c r="I583" s="17" t="n">
        <v>17478.78</v>
      </c>
      <c r="J583" s="15" t="s">
        <v>98</v>
      </c>
      <c r="K583" s="15" t="s">
        <v>110</v>
      </c>
    </row>
    <row r="584" customFormat="false" ht="14.25" hidden="false" customHeight="false" outlineLevel="0" collapsed="false">
      <c r="A584" s="15" t="s">
        <v>1045</v>
      </c>
      <c r="B584" s="16" t="n">
        <v>45443</v>
      </c>
      <c r="C584" s="15" t="s">
        <v>501</v>
      </c>
      <c r="D584" s="15" t="s">
        <v>375</v>
      </c>
      <c r="E584" s="15" t="s">
        <v>114</v>
      </c>
      <c r="F584" s="17" t="n">
        <v>9</v>
      </c>
      <c r="G584" s="17" t="n">
        <v>5330</v>
      </c>
      <c r="H584" s="17" t="n">
        <v>29.4</v>
      </c>
      <c r="I584" s="17" t="n">
        <v>33866.82</v>
      </c>
      <c r="J584" s="15" t="s">
        <v>151</v>
      </c>
      <c r="K584" s="15" t="s">
        <v>110</v>
      </c>
    </row>
    <row r="585" customFormat="false" ht="14.25" hidden="false" customHeight="false" outlineLevel="0" collapsed="false">
      <c r="A585" s="15" t="s">
        <v>1046</v>
      </c>
      <c r="B585" s="16" t="n">
        <v>45322</v>
      </c>
      <c r="C585" s="15" t="s">
        <v>1047</v>
      </c>
      <c r="D585" s="15" t="s">
        <v>463</v>
      </c>
      <c r="E585" s="15" t="s">
        <v>354</v>
      </c>
      <c r="F585" s="17" t="n">
        <v>1</v>
      </c>
      <c r="G585" s="17" t="n">
        <v>3450</v>
      </c>
      <c r="H585" s="17" t="n">
        <v>23.3</v>
      </c>
      <c r="I585" s="17" t="n">
        <v>2646.15</v>
      </c>
      <c r="J585" s="15" t="s">
        <v>98</v>
      </c>
      <c r="K585" s="15" t="s">
        <v>123</v>
      </c>
    </row>
    <row r="586" customFormat="false" ht="14.25" hidden="false" customHeight="false" outlineLevel="0" collapsed="false">
      <c r="A586" s="15" t="s">
        <v>1048</v>
      </c>
      <c r="B586" s="16" t="n">
        <v>45544</v>
      </c>
      <c r="C586" s="15" t="s">
        <v>1049</v>
      </c>
      <c r="D586" s="15" t="s">
        <v>252</v>
      </c>
      <c r="E586" s="15" t="s">
        <v>249</v>
      </c>
      <c r="F586" s="17" t="n">
        <v>3</v>
      </c>
      <c r="G586" s="17" t="n">
        <v>6080</v>
      </c>
      <c r="H586" s="17" t="n">
        <v>14.5</v>
      </c>
      <c r="I586" s="17" t="n">
        <v>15595.2</v>
      </c>
      <c r="J586" s="15" t="s">
        <v>98</v>
      </c>
      <c r="K586" s="15" t="s">
        <v>128</v>
      </c>
    </row>
    <row r="587" customFormat="false" ht="14.25" hidden="false" customHeight="false" outlineLevel="0" collapsed="false">
      <c r="A587" s="15" t="s">
        <v>1050</v>
      </c>
      <c r="B587" s="16" t="n">
        <v>45609</v>
      </c>
      <c r="C587" s="15" t="s">
        <v>321</v>
      </c>
      <c r="D587" s="15" t="s">
        <v>237</v>
      </c>
      <c r="E587" s="15" t="s">
        <v>308</v>
      </c>
      <c r="F587" s="17" t="n">
        <v>4</v>
      </c>
      <c r="G587" s="17" t="n">
        <v>3730</v>
      </c>
      <c r="H587" s="17" t="n">
        <v>3.4</v>
      </c>
      <c r="I587" s="17" t="n">
        <v>14412.72</v>
      </c>
      <c r="J587" s="15" t="s">
        <v>151</v>
      </c>
      <c r="K587" s="15" t="s">
        <v>128</v>
      </c>
    </row>
    <row r="588" customFormat="false" ht="14.25" hidden="false" customHeight="false" outlineLevel="0" collapsed="false">
      <c r="A588" s="15" t="s">
        <v>1051</v>
      </c>
      <c r="B588" s="16" t="n">
        <v>45491</v>
      </c>
      <c r="C588" s="15" t="s">
        <v>312</v>
      </c>
      <c r="D588" s="15" t="s">
        <v>290</v>
      </c>
      <c r="E588" s="15" t="s">
        <v>296</v>
      </c>
      <c r="F588" s="17" t="n">
        <v>10</v>
      </c>
      <c r="G588" s="17" t="n">
        <v>2660</v>
      </c>
      <c r="H588" s="17" t="n">
        <v>2.1</v>
      </c>
      <c r="I588" s="17" t="n">
        <v>26041.4</v>
      </c>
      <c r="J588" s="15" t="s">
        <v>98</v>
      </c>
      <c r="K588" s="15" t="s">
        <v>105</v>
      </c>
    </row>
    <row r="589" customFormat="false" ht="14.25" hidden="false" customHeight="false" outlineLevel="0" collapsed="false">
      <c r="A589" s="15" t="s">
        <v>1052</v>
      </c>
      <c r="B589" s="16" t="n">
        <v>45373</v>
      </c>
      <c r="C589" s="15" t="s">
        <v>186</v>
      </c>
      <c r="D589" s="15" t="s">
        <v>349</v>
      </c>
      <c r="E589" s="15" t="s">
        <v>169</v>
      </c>
      <c r="F589" s="17" t="n">
        <v>7</v>
      </c>
      <c r="G589" s="17" t="n">
        <v>2210</v>
      </c>
      <c r="H589" s="17" t="n">
        <v>17.1</v>
      </c>
      <c r="I589" s="17" t="n">
        <v>12824.63</v>
      </c>
      <c r="J589" s="15" t="s">
        <v>98</v>
      </c>
      <c r="K589" s="15" t="s">
        <v>144</v>
      </c>
    </row>
    <row r="590" customFormat="false" ht="14.25" hidden="false" customHeight="false" outlineLevel="0" collapsed="false">
      <c r="A590" s="15" t="s">
        <v>1053</v>
      </c>
      <c r="B590" s="16" t="n">
        <v>45607</v>
      </c>
      <c r="C590" s="15" t="s">
        <v>205</v>
      </c>
      <c r="D590" s="15" t="s">
        <v>472</v>
      </c>
      <c r="E590" s="15" t="s">
        <v>263</v>
      </c>
      <c r="F590" s="17" t="n">
        <v>6</v>
      </c>
      <c r="G590" s="17" t="n">
        <v>3780</v>
      </c>
      <c r="H590" s="17" t="n">
        <v>12.7</v>
      </c>
      <c r="I590" s="17" t="n">
        <v>19799.64</v>
      </c>
      <c r="J590" s="15" t="s">
        <v>98</v>
      </c>
      <c r="K590" s="15" t="s">
        <v>99</v>
      </c>
    </row>
    <row r="591" customFormat="false" ht="14.25" hidden="false" customHeight="false" outlineLevel="0" collapsed="false">
      <c r="A591" s="15" t="s">
        <v>1054</v>
      </c>
      <c r="B591" s="16" t="n">
        <v>45412</v>
      </c>
      <c r="C591" s="15" t="s">
        <v>974</v>
      </c>
      <c r="D591" s="15" t="s">
        <v>135</v>
      </c>
      <c r="E591" s="15" t="s">
        <v>240</v>
      </c>
      <c r="F591" s="17" t="n">
        <v>4</v>
      </c>
      <c r="G591" s="17" t="n">
        <v>5490</v>
      </c>
      <c r="H591" s="17" t="n">
        <v>26.9</v>
      </c>
      <c r="I591" s="17" t="n">
        <v>16052.76</v>
      </c>
      <c r="J591" s="15" t="s">
        <v>98</v>
      </c>
      <c r="K591" s="15" t="s">
        <v>105</v>
      </c>
    </row>
    <row r="592" customFormat="false" ht="14.25" hidden="false" customHeight="false" outlineLevel="0" collapsed="false">
      <c r="A592" s="15" t="s">
        <v>1055</v>
      </c>
      <c r="B592" s="16" t="n">
        <v>45351</v>
      </c>
      <c r="C592" s="15" t="s">
        <v>813</v>
      </c>
      <c r="D592" s="15" t="s">
        <v>290</v>
      </c>
      <c r="E592" s="15" t="s">
        <v>263</v>
      </c>
      <c r="F592" s="17" t="n">
        <v>9</v>
      </c>
      <c r="G592" s="17" t="n">
        <v>2660</v>
      </c>
      <c r="H592" s="17" t="n">
        <v>21.9</v>
      </c>
      <c r="I592" s="17" t="n">
        <v>18697.14</v>
      </c>
      <c r="J592" s="15" t="s">
        <v>98</v>
      </c>
      <c r="K592" s="15" t="s">
        <v>105</v>
      </c>
    </row>
    <row r="593" customFormat="false" ht="14.25" hidden="false" customHeight="false" outlineLevel="0" collapsed="false">
      <c r="A593" s="15" t="s">
        <v>1056</v>
      </c>
      <c r="B593" s="16" t="n">
        <v>45572</v>
      </c>
      <c r="C593" s="15" t="s">
        <v>414</v>
      </c>
      <c r="D593" s="15" t="s">
        <v>526</v>
      </c>
      <c r="E593" s="15" t="s">
        <v>139</v>
      </c>
      <c r="F593" s="17" t="n">
        <v>9</v>
      </c>
      <c r="G593" s="17" t="n">
        <v>6940</v>
      </c>
      <c r="H593" s="17" t="n">
        <v>8</v>
      </c>
      <c r="I593" s="17" t="n">
        <v>57463.2</v>
      </c>
      <c r="J593" s="15" t="s">
        <v>98</v>
      </c>
      <c r="K593" s="15" t="s">
        <v>128</v>
      </c>
    </row>
    <row r="594" customFormat="false" ht="14.25" hidden="false" customHeight="false" outlineLevel="0" collapsed="false">
      <c r="A594" s="15" t="s">
        <v>744</v>
      </c>
      <c r="B594" s="16" t="n">
        <v>45402</v>
      </c>
      <c r="C594" s="15" t="s">
        <v>208</v>
      </c>
      <c r="D594" s="15" t="s">
        <v>259</v>
      </c>
      <c r="E594" s="15" t="s">
        <v>114</v>
      </c>
      <c r="F594" s="17" t="n">
        <v>1</v>
      </c>
      <c r="G594" s="17" t="n">
        <v>3870</v>
      </c>
      <c r="H594" s="17" t="n">
        <v>22.6</v>
      </c>
      <c r="I594" s="17" t="n">
        <v>2995.38</v>
      </c>
      <c r="J594" s="15" t="s">
        <v>98</v>
      </c>
      <c r="K594" s="15" t="s">
        <v>99</v>
      </c>
    </row>
    <row r="595" customFormat="false" ht="14.25" hidden="false" customHeight="false" outlineLevel="0" collapsed="false">
      <c r="A595" s="15" t="s">
        <v>1057</v>
      </c>
      <c r="B595" s="16" t="n">
        <v>45503</v>
      </c>
      <c r="C595" s="15" t="s">
        <v>1058</v>
      </c>
      <c r="D595" s="15" t="s">
        <v>513</v>
      </c>
      <c r="E595" s="15" t="s">
        <v>118</v>
      </c>
      <c r="F595" s="17" t="n">
        <v>3</v>
      </c>
      <c r="G595" s="17" t="n">
        <v>1090</v>
      </c>
      <c r="H595" s="17" t="n">
        <v>28.1</v>
      </c>
      <c r="I595" s="17" t="n">
        <v>2351.13</v>
      </c>
      <c r="J595" s="15" t="s">
        <v>98</v>
      </c>
      <c r="K595" s="15" t="s">
        <v>144</v>
      </c>
    </row>
    <row r="596" customFormat="false" ht="14.25" hidden="false" customHeight="false" outlineLevel="0" collapsed="false">
      <c r="A596" s="15" t="s">
        <v>1059</v>
      </c>
      <c r="B596" s="16" t="n">
        <v>45524</v>
      </c>
      <c r="C596" s="15" t="s">
        <v>476</v>
      </c>
      <c r="D596" s="15" t="s">
        <v>149</v>
      </c>
      <c r="E596" s="15" t="s">
        <v>226</v>
      </c>
      <c r="F596" s="17" t="n">
        <v>2</v>
      </c>
      <c r="G596" s="17" t="n">
        <v>2600</v>
      </c>
      <c r="H596" s="17" t="n">
        <v>5.6</v>
      </c>
      <c r="I596" s="17" t="n">
        <v>4908.8</v>
      </c>
      <c r="J596" s="15" t="s">
        <v>98</v>
      </c>
      <c r="K596" s="15" t="s">
        <v>123</v>
      </c>
    </row>
    <row r="597" customFormat="false" ht="14.25" hidden="false" customHeight="false" outlineLevel="0" collapsed="false">
      <c r="A597" s="15" t="s">
        <v>1060</v>
      </c>
      <c r="B597" s="16" t="n">
        <v>45425</v>
      </c>
      <c r="C597" s="15" t="s">
        <v>867</v>
      </c>
      <c r="D597" s="15" t="s">
        <v>126</v>
      </c>
      <c r="E597" s="15" t="s">
        <v>203</v>
      </c>
      <c r="F597" s="17" t="n">
        <v>4</v>
      </c>
      <c r="G597" s="17" t="n">
        <v>960</v>
      </c>
      <c r="H597" s="17" t="n">
        <v>21.7</v>
      </c>
      <c r="I597" s="17" t="n">
        <v>3006.72</v>
      </c>
      <c r="J597" s="15" t="s">
        <v>98</v>
      </c>
      <c r="K597" s="15" t="s">
        <v>99</v>
      </c>
    </row>
    <row r="598" customFormat="false" ht="14.25" hidden="false" customHeight="false" outlineLevel="0" collapsed="false">
      <c r="A598" s="15" t="s">
        <v>1061</v>
      </c>
      <c r="B598" s="16" t="n">
        <v>45533</v>
      </c>
      <c r="C598" s="15" t="s">
        <v>1062</v>
      </c>
      <c r="D598" s="15" t="s">
        <v>121</v>
      </c>
      <c r="E598" s="15" t="s">
        <v>212</v>
      </c>
      <c r="F598" s="17" t="n">
        <v>6</v>
      </c>
      <c r="G598" s="17" t="n">
        <v>370</v>
      </c>
      <c r="H598" s="17" t="n">
        <v>22.5</v>
      </c>
      <c r="I598" s="17" t="n">
        <v>1720.5</v>
      </c>
      <c r="J598" s="15" t="s">
        <v>98</v>
      </c>
      <c r="K598" s="15" t="s">
        <v>123</v>
      </c>
    </row>
    <row r="599" customFormat="false" ht="14.25" hidden="false" customHeight="false" outlineLevel="0" collapsed="false">
      <c r="A599" s="15" t="s">
        <v>1063</v>
      </c>
      <c r="B599" s="16" t="n">
        <v>45649</v>
      </c>
      <c r="C599" s="15" t="s">
        <v>261</v>
      </c>
      <c r="D599" s="15" t="s">
        <v>454</v>
      </c>
      <c r="E599" s="15" t="s">
        <v>114</v>
      </c>
      <c r="F599" s="17" t="n">
        <v>5</v>
      </c>
      <c r="G599" s="17" t="n">
        <v>5080</v>
      </c>
      <c r="H599" s="17" t="n">
        <v>23.8</v>
      </c>
      <c r="I599" s="17" t="n">
        <v>19354.8</v>
      </c>
      <c r="J599" s="15" t="s">
        <v>98</v>
      </c>
      <c r="K599" s="15" t="s">
        <v>128</v>
      </c>
    </row>
    <row r="600" customFormat="false" ht="14.25" hidden="false" customHeight="false" outlineLevel="0" collapsed="false">
      <c r="A600" s="15" t="s">
        <v>1064</v>
      </c>
      <c r="B600" s="16" t="n">
        <v>45375</v>
      </c>
      <c r="C600" s="15" t="s">
        <v>570</v>
      </c>
      <c r="D600" s="15" t="s">
        <v>270</v>
      </c>
      <c r="E600" s="15" t="s">
        <v>159</v>
      </c>
      <c r="F600" s="17" t="n">
        <v>5</v>
      </c>
      <c r="G600" s="17" t="n">
        <v>1540</v>
      </c>
      <c r="H600" s="17" t="n">
        <v>6.1</v>
      </c>
      <c r="I600" s="17" t="n">
        <v>7230.3</v>
      </c>
      <c r="J600" s="15" t="s">
        <v>98</v>
      </c>
      <c r="K600" s="15" t="s">
        <v>99</v>
      </c>
    </row>
    <row r="601" customFormat="false" ht="14.25" hidden="false" customHeight="false" outlineLevel="0" collapsed="false">
      <c r="A601" s="15" t="s">
        <v>1065</v>
      </c>
      <c r="B601" s="16" t="n">
        <v>45342</v>
      </c>
      <c r="C601" s="15" t="s">
        <v>1066</v>
      </c>
      <c r="D601" s="15" t="s">
        <v>142</v>
      </c>
      <c r="E601" s="15" t="s">
        <v>199</v>
      </c>
      <c r="F601" s="17" t="n">
        <v>7</v>
      </c>
      <c r="G601" s="17" t="n">
        <v>2270</v>
      </c>
      <c r="H601" s="17" t="n">
        <v>0.4</v>
      </c>
      <c r="I601" s="17" t="n">
        <v>15826.44</v>
      </c>
      <c r="J601" s="15" t="s">
        <v>98</v>
      </c>
      <c r="K601" s="15" t="s">
        <v>123</v>
      </c>
    </row>
    <row r="602" customFormat="false" ht="14.25" hidden="false" customHeight="false" outlineLevel="0" collapsed="false">
      <c r="A602" s="15" t="s">
        <v>1067</v>
      </c>
      <c r="B602" s="16" t="n">
        <v>45441</v>
      </c>
      <c r="C602" s="15" t="s">
        <v>839</v>
      </c>
      <c r="D602" s="15" t="s">
        <v>126</v>
      </c>
      <c r="E602" s="15" t="s">
        <v>199</v>
      </c>
      <c r="F602" s="17" t="n">
        <v>2</v>
      </c>
      <c r="G602" s="17" t="n">
        <v>960</v>
      </c>
      <c r="H602" s="17" t="n">
        <v>3.7</v>
      </c>
      <c r="I602" s="17" t="n">
        <v>1848.96</v>
      </c>
      <c r="J602" s="15" t="s">
        <v>98</v>
      </c>
      <c r="K602" s="15" t="s">
        <v>144</v>
      </c>
    </row>
    <row r="603" customFormat="false" ht="14.25" hidden="false" customHeight="false" outlineLevel="0" collapsed="false">
      <c r="A603" s="15" t="s">
        <v>1068</v>
      </c>
      <c r="B603" s="16" t="n">
        <v>45410</v>
      </c>
      <c r="C603" s="15" t="s">
        <v>418</v>
      </c>
      <c r="D603" s="15" t="s">
        <v>131</v>
      </c>
      <c r="E603" s="15" t="s">
        <v>354</v>
      </c>
      <c r="F603" s="17" t="n">
        <v>6</v>
      </c>
      <c r="G603" s="17" t="n">
        <v>1430</v>
      </c>
      <c r="H603" s="17" t="n">
        <v>2</v>
      </c>
      <c r="I603" s="17" t="n">
        <v>8408.4</v>
      </c>
      <c r="J603" s="15" t="s">
        <v>104</v>
      </c>
      <c r="K603" s="15" t="s">
        <v>99</v>
      </c>
    </row>
    <row r="604" customFormat="false" ht="14.25" hidden="false" customHeight="false" outlineLevel="0" collapsed="false">
      <c r="A604" s="15" t="s">
        <v>1069</v>
      </c>
      <c r="B604" s="16" t="n">
        <v>45588</v>
      </c>
      <c r="C604" s="15" t="s">
        <v>310</v>
      </c>
      <c r="D604" s="15" t="s">
        <v>168</v>
      </c>
      <c r="E604" s="15" t="s">
        <v>114</v>
      </c>
      <c r="F604" s="17" t="n">
        <v>10</v>
      </c>
      <c r="G604" s="17" t="n">
        <v>3450</v>
      </c>
      <c r="H604" s="17" t="n">
        <v>19.1</v>
      </c>
      <c r="I604" s="17" t="n">
        <v>27910.5</v>
      </c>
      <c r="J604" s="15" t="s">
        <v>98</v>
      </c>
      <c r="K604" s="15" t="s">
        <v>144</v>
      </c>
    </row>
    <row r="605" customFormat="false" ht="14.25" hidden="false" customHeight="false" outlineLevel="0" collapsed="false">
      <c r="A605" s="15" t="s">
        <v>1070</v>
      </c>
      <c r="B605" s="16" t="n">
        <v>45412</v>
      </c>
      <c r="C605" s="15" t="s">
        <v>451</v>
      </c>
      <c r="D605" s="15" t="s">
        <v>278</v>
      </c>
      <c r="E605" s="15" t="s">
        <v>212</v>
      </c>
      <c r="F605" s="17" t="n">
        <v>8</v>
      </c>
      <c r="G605" s="17" t="n">
        <v>1220</v>
      </c>
      <c r="H605" s="17" t="n">
        <v>16.9</v>
      </c>
      <c r="I605" s="17" t="n">
        <v>8110.56</v>
      </c>
      <c r="J605" s="15" t="s">
        <v>98</v>
      </c>
      <c r="K605" s="15" t="s">
        <v>99</v>
      </c>
    </row>
    <row r="606" customFormat="false" ht="14.25" hidden="false" customHeight="false" outlineLevel="0" collapsed="false">
      <c r="A606" s="15" t="s">
        <v>1071</v>
      </c>
      <c r="B606" s="16" t="n">
        <v>45439</v>
      </c>
      <c r="C606" s="15" t="s">
        <v>979</v>
      </c>
      <c r="D606" s="15" t="s">
        <v>211</v>
      </c>
      <c r="E606" s="15" t="s">
        <v>203</v>
      </c>
      <c r="F606" s="17" t="n">
        <v>9</v>
      </c>
      <c r="G606" s="17" t="n">
        <v>2760</v>
      </c>
      <c r="H606" s="17" t="n">
        <v>16.9</v>
      </c>
      <c r="I606" s="17" t="n">
        <v>20642.04</v>
      </c>
      <c r="J606" s="15" t="s">
        <v>98</v>
      </c>
      <c r="K606" s="15" t="s">
        <v>110</v>
      </c>
    </row>
    <row r="607" customFormat="false" ht="14.25" hidden="false" customHeight="false" outlineLevel="0" collapsed="false">
      <c r="A607" s="15" t="s">
        <v>1072</v>
      </c>
      <c r="B607" s="16" t="n">
        <v>45593</v>
      </c>
      <c r="C607" s="15" t="s">
        <v>1073</v>
      </c>
      <c r="D607" s="15" t="s">
        <v>190</v>
      </c>
      <c r="E607" s="15" t="s">
        <v>249</v>
      </c>
      <c r="F607" s="17" t="n">
        <v>6</v>
      </c>
      <c r="G607" s="17" t="n">
        <v>3350</v>
      </c>
      <c r="H607" s="17" t="n">
        <v>11.8</v>
      </c>
      <c r="I607" s="17" t="n">
        <v>17728.2</v>
      </c>
      <c r="J607" s="15" t="s">
        <v>104</v>
      </c>
      <c r="K607" s="15" t="s">
        <v>123</v>
      </c>
    </row>
    <row r="608" customFormat="false" ht="14.25" hidden="false" customHeight="false" outlineLevel="0" collapsed="false">
      <c r="A608" s="15" t="s">
        <v>1074</v>
      </c>
      <c r="B608" s="16" t="n">
        <v>45570</v>
      </c>
      <c r="C608" s="15" t="s">
        <v>261</v>
      </c>
      <c r="D608" s="15" t="s">
        <v>202</v>
      </c>
      <c r="E608" s="15" t="s">
        <v>263</v>
      </c>
      <c r="F608" s="17" t="n">
        <v>6</v>
      </c>
      <c r="G608" s="17" t="n">
        <v>5100</v>
      </c>
      <c r="H608" s="17" t="n">
        <v>13.2</v>
      </c>
      <c r="I608" s="17" t="n">
        <v>26560.8</v>
      </c>
      <c r="J608" s="15" t="s">
        <v>98</v>
      </c>
      <c r="K608" s="15" t="s">
        <v>128</v>
      </c>
    </row>
    <row r="609" customFormat="false" ht="14.25" hidden="false" customHeight="false" outlineLevel="0" collapsed="false">
      <c r="A609" s="15" t="s">
        <v>1075</v>
      </c>
      <c r="B609" s="16" t="n">
        <v>45474</v>
      </c>
      <c r="C609" s="15" t="s">
        <v>1076</v>
      </c>
      <c r="D609" s="15" t="s">
        <v>146</v>
      </c>
      <c r="E609" s="15" t="s">
        <v>354</v>
      </c>
      <c r="F609" s="17" t="n">
        <v>6</v>
      </c>
      <c r="G609" s="17" t="n">
        <v>2640</v>
      </c>
      <c r="H609" s="17" t="n">
        <v>26.2</v>
      </c>
      <c r="I609" s="17" t="n">
        <v>11689.92</v>
      </c>
      <c r="J609" s="15" t="s">
        <v>98</v>
      </c>
      <c r="K609" s="15" t="s">
        <v>105</v>
      </c>
    </row>
    <row r="610" customFormat="false" ht="14.25" hidden="false" customHeight="false" outlineLevel="0" collapsed="false">
      <c r="A610" s="15" t="s">
        <v>1077</v>
      </c>
      <c r="B610" s="16" t="n">
        <v>45524</v>
      </c>
      <c r="C610" s="15" t="s">
        <v>608</v>
      </c>
      <c r="D610" s="15" t="s">
        <v>113</v>
      </c>
      <c r="E610" s="15" t="s">
        <v>357</v>
      </c>
      <c r="F610" s="17" t="n">
        <v>1</v>
      </c>
      <c r="G610" s="17" t="n">
        <v>3660</v>
      </c>
      <c r="H610" s="17" t="n">
        <v>19.7</v>
      </c>
      <c r="I610" s="17" t="n">
        <v>2938.98</v>
      </c>
      <c r="J610" s="15" t="s">
        <v>98</v>
      </c>
      <c r="K610" s="15" t="s">
        <v>123</v>
      </c>
    </row>
    <row r="611" customFormat="false" ht="14.25" hidden="false" customHeight="false" outlineLevel="0" collapsed="false">
      <c r="A611" s="15" t="s">
        <v>1078</v>
      </c>
      <c r="B611" s="16" t="n">
        <v>45468</v>
      </c>
      <c r="C611" s="15" t="s">
        <v>624</v>
      </c>
      <c r="D611" s="15" t="s">
        <v>121</v>
      </c>
      <c r="E611" s="15" t="s">
        <v>354</v>
      </c>
      <c r="F611" s="17" t="n">
        <v>5</v>
      </c>
      <c r="G611" s="17" t="n">
        <v>370</v>
      </c>
      <c r="H611" s="17" t="n">
        <v>21.7</v>
      </c>
      <c r="I611" s="17" t="n">
        <v>1448.55</v>
      </c>
      <c r="J611" s="15" t="s">
        <v>98</v>
      </c>
      <c r="K611" s="15" t="s">
        <v>123</v>
      </c>
    </row>
    <row r="612" customFormat="false" ht="14.25" hidden="false" customHeight="false" outlineLevel="0" collapsed="false">
      <c r="A612" s="15" t="s">
        <v>1079</v>
      </c>
      <c r="B612" s="16" t="n">
        <v>45336</v>
      </c>
      <c r="C612" s="15" t="s">
        <v>405</v>
      </c>
      <c r="D612" s="15" t="s">
        <v>303</v>
      </c>
      <c r="E612" s="15" t="s">
        <v>122</v>
      </c>
      <c r="F612" s="17" t="n">
        <v>5</v>
      </c>
      <c r="G612" s="17" t="n">
        <v>620</v>
      </c>
      <c r="H612" s="17" t="n">
        <v>10.2</v>
      </c>
      <c r="I612" s="17" t="n">
        <v>2783.8</v>
      </c>
      <c r="J612" s="15" t="s">
        <v>98</v>
      </c>
      <c r="K612" s="15" t="s">
        <v>128</v>
      </c>
    </row>
    <row r="613" customFormat="false" ht="14.25" hidden="false" customHeight="false" outlineLevel="0" collapsed="false">
      <c r="A613" s="15" t="s">
        <v>1080</v>
      </c>
      <c r="B613" s="16" t="n">
        <v>45392</v>
      </c>
      <c r="C613" s="15" t="s">
        <v>708</v>
      </c>
      <c r="D613" s="15" t="s">
        <v>108</v>
      </c>
      <c r="E613" s="15" t="s">
        <v>314</v>
      </c>
      <c r="F613" s="17" t="n">
        <v>8</v>
      </c>
      <c r="G613" s="17" t="n">
        <v>470</v>
      </c>
      <c r="H613" s="17" t="n">
        <v>2.4</v>
      </c>
      <c r="I613" s="17" t="n">
        <v>3669.76</v>
      </c>
      <c r="J613" s="15" t="s">
        <v>98</v>
      </c>
      <c r="K613" s="15" t="s">
        <v>144</v>
      </c>
    </row>
    <row r="614" customFormat="false" ht="14.25" hidden="false" customHeight="false" outlineLevel="0" collapsed="false">
      <c r="A614" s="15" t="s">
        <v>1081</v>
      </c>
      <c r="B614" s="16" t="n">
        <v>45610</v>
      </c>
      <c r="C614" s="15" t="s">
        <v>637</v>
      </c>
      <c r="D614" s="15" t="s">
        <v>397</v>
      </c>
      <c r="E614" s="15" t="s">
        <v>103</v>
      </c>
      <c r="F614" s="17" t="n">
        <v>3</v>
      </c>
      <c r="G614" s="17" t="n">
        <v>2290</v>
      </c>
      <c r="H614" s="17" t="n">
        <v>20.8</v>
      </c>
      <c r="I614" s="17" t="n">
        <v>5441.04</v>
      </c>
      <c r="J614" s="15" t="s">
        <v>98</v>
      </c>
      <c r="K614" s="15" t="s">
        <v>110</v>
      </c>
    </row>
    <row r="615" customFormat="false" ht="14.25" hidden="false" customHeight="false" outlineLevel="0" collapsed="false">
      <c r="A615" s="15" t="s">
        <v>1082</v>
      </c>
      <c r="B615" s="16" t="n">
        <v>45297</v>
      </c>
      <c r="C615" s="15" t="s">
        <v>1083</v>
      </c>
      <c r="D615" s="15" t="s">
        <v>126</v>
      </c>
      <c r="E615" s="15" t="s">
        <v>127</v>
      </c>
      <c r="F615" s="17" t="n">
        <v>4</v>
      </c>
      <c r="G615" s="17" t="n">
        <v>960</v>
      </c>
      <c r="H615" s="17" t="n">
        <v>28.8</v>
      </c>
      <c r="I615" s="17" t="n">
        <v>2734.08</v>
      </c>
      <c r="J615" s="15" t="s">
        <v>104</v>
      </c>
      <c r="K615" s="15" t="s">
        <v>123</v>
      </c>
    </row>
    <row r="616" customFormat="false" ht="14.25" hidden="false" customHeight="false" outlineLevel="0" collapsed="false">
      <c r="A616" s="15" t="s">
        <v>1084</v>
      </c>
      <c r="B616" s="16" t="n">
        <v>45558</v>
      </c>
      <c r="C616" s="15" t="s">
        <v>453</v>
      </c>
      <c r="D616" s="15" t="s">
        <v>113</v>
      </c>
      <c r="E616" s="15" t="s">
        <v>143</v>
      </c>
      <c r="F616" s="17" t="n">
        <v>5</v>
      </c>
      <c r="G616" s="17" t="n">
        <v>3660</v>
      </c>
      <c r="H616" s="17" t="n">
        <v>11.9</v>
      </c>
      <c r="I616" s="17" t="n">
        <v>16122.3</v>
      </c>
      <c r="J616" s="15" t="s">
        <v>104</v>
      </c>
      <c r="K616" s="15" t="s">
        <v>99</v>
      </c>
    </row>
    <row r="617" customFormat="false" ht="14.25" hidden="false" customHeight="false" outlineLevel="0" collapsed="false">
      <c r="A617" s="15" t="s">
        <v>1085</v>
      </c>
      <c r="B617" s="16" t="n">
        <v>45487</v>
      </c>
      <c r="C617" s="15" t="s">
        <v>344</v>
      </c>
      <c r="D617" s="15" t="s">
        <v>198</v>
      </c>
      <c r="E617" s="15" t="s">
        <v>132</v>
      </c>
      <c r="F617" s="17" t="n">
        <v>5</v>
      </c>
      <c r="G617" s="17" t="n">
        <v>3570</v>
      </c>
      <c r="H617" s="17" t="n">
        <v>12.4</v>
      </c>
      <c r="I617" s="17" t="n">
        <v>15636.6</v>
      </c>
      <c r="J617" s="15" t="s">
        <v>98</v>
      </c>
      <c r="K617" s="15" t="s">
        <v>144</v>
      </c>
    </row>
    <row r="618" customFormat="false" ht="14.25" hidden="false" customHeight="false" outlineLevel="0" collapsed="false">
      <c r="A618" s="15" t="s">
        <v>1086</v>
      </c>
      <c r="B618" s="16" t="n">
        <v>45307</v>
      </c>
      <c r="C618" s="15" t="s">
        <v>120</v>
      </c>
      <c r="D618" s="15" t="s">
        <v>306</v>
      </c>
      <c r="E618" s="15" t="s">
        <v>249</v>
      </c>
      <c r="F618" s="17" t="n">
        <v>9</v>
      </c>
      <c r="G618" s="17" t="n">
        <v>2030</v>
      </c>
      <c r="H618" s="17" t="n">
        <v>23.4</v>
      </c>
      <c r="I618" s="17" t="n">
        <v>13994.82</v>
      </c>
      <c r="J618" s="15" t="s">
        <v>98</v>
      </c>
      <c r="K618" s="15" t="s">
        <v>123</v>
      </c>
    </row>
    <row r="619" customFormat="false" ht="14.25" hidden="false" customHeight="false" outlineLevel="0" collapsed="false">
      <c r="A619" s="15" t="s">
        <v>1087</v>
      </c>
      <c r="B619" s="16" t="n">
        <v>45328</v>
      </c>
      <c r="C619" s="15" t="s">
        <v>205</v>
      </c>
      <c r="D619" s="15" t="s">
        <v>184</v>
      </c>
      <c r="E619" s="15" t="s">
        <v>127</v>
      </c>
      <c r="F619" s="17" t="n">
        <v>7</v>
      </c>
      <c r="G619" s="17" t="n">
        <v>2720</v>
      </c>
      <c r="H619" s="17" t="n">
        <v>11.2</v>
      </c>
      <c r="I619" s="17" t="n">
        <v>16907.52</v>
      </c>
      <c r="J619" s="15" t="s">
        <v>155</v>
      </c>
      <c r="K619" s="15" t="s">
        <v>99</v>
      </c>
    </row>
    <row r="620" customFormat="false" ht="14.25" hidden="false" customHeight="false" outlineLevel="0" collapsed="false">
      <c r="A620" s="15" t="s">
        <v>1088</v>
      </c>
      <c r="B620" s="16" t="n">
        <v>45627</v>
      </c>
      <c r="C620" s="15" t="s">
        <v>740</v>
      </c>
      <c r="D620" s="15" t="s">
        <v>198</v>
      </c>
      <c r="E620" s="15" t="s">
        <v>118</v>
      </c>
      <c r="F620" s="17" t="n">
        <v>2</v>
      </c>
      <c r="G620" s="17" t="n">
        <v>3570</v>
      </c>
      <c r="H620" s="17" t="n">
        <v>6.1</v>
      </c>
      <c r="I620" s="17" t="n">
        <v>6704.46</v>
      </c>
      <c r="J620" s="15" t="s">
        <v>151</v>
      </c>
      <c r="K620" s="15" t="s">
        <v>123</v>
      </c>
    </row>
    <row r="621" customFormat="false" ht="14.25" hidden="false" customHeight="false" outlineLevel="0" collapsed="false">
      <c r="A621" s="15" t="s">
        <v>1089</v>
      </c>
      <c r="B621" s="16" t="n">
        <v>45574</v>
      </c>
      <c r="C621" s="15" t="s">
        <v>827</v>
      </c>
      <c r="D621" s="15" t="s">
        <v>162</v>
      </c>
      <c r="E621" s="15" t="s">
        <v>226</v>
      </c>
      <c r="F621" s="17" t="n">
        <v>5</v>
      </c>
      <c r="G621" s="17" t="n">
        <v>2400</v>
      </c>
      <c r="H621" s="17" t="n">
        <v>16.1</v>
      </c>
      <c r="I621" s="17" t="n">
        <v>10068</v>
      </c>
      <c r="J621" s="15" t="s">
        <v>98</v>
      </c>
      <c r="K621" s="15" t="s">
        <v>99</v>
      </c>
    </row>
    <row r="622" customFormat="false" ht="14.25" hidden="false" customHeight="false" outlineLevel="0" collapsed="false">
      <c r="A622" s="15" t="s">
        <v>1090</v>
      </c>
      <c r="B622" s="16" t="n">
        <v>45592</v>
      </c>
      <c r="C622" s="15" t="s">
        <v>1083</v>
      </c>
      <c r="D622" s="15" t="s">
        <v>142</v>
      </c>
      <c r="E622" s="15" t="s">
        <v>308</v>
      </c>
      <c r="F622" s="17" t="n">
        <v>4</v>
      </c>
      <c r="G622" s="17" t="n">
        <v>2270</v>
      </c>
      <c r="H622" s="17" t="n">
        <v>27.5</v>
      </c>
      <c r="I622" s="17" t="n">
        <v>6583</v>
      </c>
      <c r="J622" s="15" t="s">
        <v>104</v>
      </c>
      <c r="K622" s="15" t="s">
        <v>123</v>
      </c>
    </row>
    <row r="623" customFormat="false" ht="14.25" hidden="false" customHeight="false" outlineLevel="0" collapsed="false">
      <c r="A623" s="15" t="s">
        <v>1091</v>
      </c>
      <c r="B623" s="16" t="n">
        <v>45509</v>
      </c>
      <c r="C623" s="15" t="s">
        <v>112</v>
      </c>
      <c r="D623" s="15" t="s">
        <v>138</v>
      </c>
      <c r="E623" s="15" t="s">
        <v>336</v>
      </c>
      <c r="F623" s="17" t="n">
        <v>1</v>
      </c>
      <c r="G623" s="17" t="n">
        <v>970</v>
      </c>
      <c r="H623" s="17" t="n">
        <v>12.7</v>
      </c>
      <c r="I623" s="17" t="n">
        <v>846.81</v>
      </c>
      <c r="J623" s="15" t="s">
        <v>98</v>
      </c>
      <c r="K623" s="15" t="s">
        <v>110</v>
      </c>
    </row>
    <row r="624" customFormat="false" ht="14.25" hidden="false" customHeight="false" outlineLevel="0" collapsed="false">
      <c r="A624" s="15" t="s">
        <v>1092</v>
      </c>
      <c r="B624" s="16" t="n">
        <v>45307</v>
      </c>
      <c r="C624" s="15" t="s">
        <v>480</v>
      </c>
      <c r="D624" s="15" t="s">
        <v>526</v>
      </c>
      <c r="E624" s="15" t="s">
        <v>314</v>
      </c>
      <c r="F624" s="17" t="n">
        <v>5</v>
      </c>
      <c r="G624" s="17" t="n">
        <v>6940</v>
      </c>
      <c r="H624" s="17" t="n">
        <v>16.2</v>
      </c>
      <c r="I624" s="17" t="n">
        <v>29078.6</v>
      </c>
      <c r="J624" s="15" t="s">
        <v>98</v>
      </c>
      <c r="K624" s="15" t="s">
        <v>128</v>
      </c>
    </row>
    <row r="625" customFormat="false" ht="14.25" hidden="false" customHeight="false" outlineLevel="0" collapsed="false">
      <c r="A625" s="15" t="s">
        <v>1093</v>
      </c>
      <c r="B625" s="16" t="n">
        <v>45586</v>
      </c>
      <c r="C625" s="15" t="s">
        <v>210</v>
      </c>
      <c r="D625" s="15" t="s">
        <v>526</v>
      </c>
      <c r="E625" s="15" t="s">
        <v>215</v>
      </c>
      <c r="F625" s="17" t="n">
        <v>4</v>
      </c>
      <c r="G625" s="17" t="n">
        <v>6940</v>
      </c>
      <c r="H625" s="17" t="n">
        <v>15.1</v>
      </c>
      <c r="I625" s="17" t="n">
        <v>23568.24</v>
      </c>
      <c r="J625" s="15" t="s">
        <v>98</v>
      </c>
      <c r="K625" s="15" t="s">
        <v>144</v>
      </c>
    </row>
    <row r="626" customFormat="false" ht="14.25" hidden="false" customHeight="false" outlineLevel="0" collapsed="false">
      <c r="A626" s="15" t="s">
        <v>1094</v>
      </c>
      <c r="B626" s="16" t="n">
        <v>45587</v>
      </c>
      <c r="C626" s="15" t="s">
        <v>351</v>
      </c>
      <c r="D626" s="15" t="s">
        <v>193</v>
      </c>
      <c r="E626" s="15" t="s">
        <v>114</v>
      </c>
      <c r="F626" s="17" t="n">
        <v>1</v>
      </c>
      <c r="G626" s="17" t="n">
        <v>1010</v>
      </c>
      <c r="H626" s="17" t="n">
        <v>1.7</v>
      </c>
      <c r="I626" s="17" t="n">
        <v>992.83</v>
      </c>
      <c r="J626" s="15" t="s">
        <v>98</v>
      </c>
      <c r="K626" s="15" t="s">
        <v>99</v>
      </c>
    </row>
    <row r="627" customFormat="false" ht="14.25" hidden="false" customHeight="false" outlineLevel="0" collapsed="false">
      <c r="A627" s="15" t="s">
        <v>1095</v>
      </c>
      <c r="B627" s="16" t="n">
        <v>45609</v>
      </c>
      <c r="C627" s="15" t="s">
        <v>302</v>
      </c>
      <c r="D627" s="15" t="s">
        <v>259</v>
      </c>
      <c r="E627" s="15" t="s">
        <v>97</v>
      </c>
      <c r="F627" s="17" t="n">
        <v>6</v>
      </c>
      <c r="G627" s="17" t="n">
        <v>3870</v>
      </c>
      <c r="H627" s="17" t="n">
        <v>12.2</v>
      </c>
      <c r="I627" s="17" t="n">
        <v>20387.16</v>
      </c>
      <c r="J627" s="15" t="s">
        <v>98</v>
      </c>
      <c r="K627" s="15" t="s">
        <v>110</v>
      </c>
    </row>
    <row r="628" customFormat="false" ht="14.25" hidden="false" customHeight="false" outlineLevel="0" collapsed="false">
      <c r="A628" s="15" t="s">
        <v>1096</v>
      </c>
      <c r="B628" s="16" t="n">
        <v>45316</v>
      </c>
      <c r="C628" s="15" t="s">
        <v>548</v>
      </c>
      <c r="D628" s="15" t="s">
        <v>202</v>
      </c>
      <c r="E628" s="15" t="s">
        <v>284</v>
      </c>
      <c r="F628" s="17" t="n">
        <v>9</v>
      </c>
      <c r="G628" s="17" t="n">
        <v>5100</v>
      </c>
      <c r="H628" s="17" t="n">
        <v>26.4</v>
      </c>
      <c r="I628" s="17" t="n">
        <v>33782.4</v>
      </c>
      <c r="J628" s="15" t="s">
        <v>98</v>
      </c>
      <c r="K628" s="15" t="s">
        <v>144</v>
      </c>
    </row>
    <row r="629" customFormat="false" ht="14.25" hidden="false" customHeight="false" outlineLevel="0" collapsed="false">
      <c r="A629" s="15" t="s">
        <v>1097</v>
      </c>
      <c r="B629" s="16" t="n">
        <v>45451</v>
      </c>
      <c r="C629" s="15" t="s">
        <v>959</v>
      </c>
      <c r="D629" s="15" t="s">
        <v>117</v>
      </c>
      <c r="E629" s="15" t="s">
        <v>118</v>
      </c>
      <c r="F629" s="17" t="n">
        <v>2</v>
      </c>
      <c r="G629" s="17" t="n">
        <v>3160</v>
      </c>
      <c r="H629" s="17" t="n">
        <v>13.4</v>
      </c>
      <c r="I629" s="17" t="n">
        <v>5473.12</v>
      </c>
      <c r="J629" s="15" t="s">
        <v>155</v>
      </c>
      <c r="K629" s="15" t="s">
        <v>99</v>
      </c>
    </row>
    <row r="630" customFormat="false" ht="14.25" hidden="false" customHeight="false" outlineLevel="0" collapsed="false">
      <c r="A630" s="15" t="s">
        <v>1098</v>
      </c>
      <c r="B630" s="16" t="n">
        <v>45554</v>
      </c>
      <c r="C630" s="15" t="s">
        <v>1038</v>
      </c>
      <c r="D630" s="15" t="s">
        <v>349</v>
      </c>
      <c r="E630" s="15" t="s">
        <v>284</v>
      </c>
      <c r="F630" s="17" t="n">
        <v>8</v>
      </c>
      <c r="G630" s="17" t="n">
        <v>2210</v>
      </c>
      <c r="H630" s="17" t="n">
        <v>26</v>
      </c>
      <c r="I630" s="17" t="n">
        <v>13083.2</v>
      </c>
      <c r="J630" s="15" t="s">
        <v>98</v>
      </c>
      <c r="K630" s="15" t="s">
        <v>123</v>
      </c>
    </row>
    <row r="631" customFormat="false" ht="14.25" hidden="false" customHeight="false" outlineLevel="0" collapsed="false">
      <c r="A631" s="15" t="s">
        <v>1099</v>
      </c>
      <c r="B631" s="16" t="n">
        <v>45567</v>
      </c>
      <c r="C631" s="15" t="s">
        <v>410</v>
      </c>
      <c r="D631" s="15" t="s">
        <v>670</v>
      </c>
      <c r="E631" s="15" t="s">
        <v>212</v>
      </c>
      <c r="F631" s="17" t="n">
        <v>5</v>
      </c>
      <c r="G631" s="17" t="n">
        <v>3560</v>
      </c>
      <c r="H631" s="17" t="n">
        <v>15</v>
      </c>
      <c r="I631" s="17" t="n">
        <v>15130</v>
      </c>
      <c r="J631" s="15" t="s">
        <v>98</v>
      </c>
      <c r="K631" s="15" t="s">
        <v>110</v>
      </c>
    </row>
    <row r="632" customFormat="false" ht="14.25" hidden="false" customHeight="false" outlineLevel="0" collapsed="false">
      <c r="A632" s="15" t="s">
        <v>1100</v>
      </c>
      <c r="B632" s="16" t="n">
        <v>45633</v>
      </c>
      <c r="C632" s="15" t="s">
        <v>1011</v>
      </c>
      <c r="D632" s="15" t="s">
        <v>303</v>
      </c>
      <c r="E632" s="15" t="s">
        <v>143</v>
      </c>
      <c r="F632" s="17" t="n">
        <v>10</v>
      </c>
      <c r="G632" s="17" t="n">
        <v>620</v>
      </c>
      <c r="H632" s="17" t="n">
        <v>15.8</v>
      </c>
      <c r="I632" s="17" t="n">
        <v>5220.4</v>
      </c>
      <c r="J632" s="15" t="s">
        <v>155</v>
      </c>
      <c r="K632" s="15" t="s">
        <v>128</v>
      </c>
    </row>
    <row r="633" customFormat="false" ht="14.25" hidden="false" customHeight="false" outlineLevel="0" collapsed="false">
      <c r="A633" s="15" t="s">
        <v>1101</v>
      </c>
      <c r="B633" s="16" t="n">
        <v>45588</v>
      </c>
      <c r="C633" s="15" t="s">
        <v>568</v>
      </c>
      <c r="D633" s="15" t="s">
        <v>211</v>
      </c>
      <c r="E633" s="15" t="s">
        <v>308</v>
      </c>
      <c r="F633" s="17" t="n">
        <v>3</v>
      </c>
      <c r="G633" s="17" t="n">
        <v>2760</v>
      </c>
      <c r="H633" s="17" t="n">
        <v>1.9</v>
      </c>
      <c r="I633" s="17" t="n">
        <v>8122.68</v>
      </c>
      <c r="J633" s="15" t="s">
        <v>151</v>
      </c>
      <c r="K633" s="15" t="s">
        <v>123</v>
      </c>
    </row>
    <row r="634" customFormat="false" ht="14.25" hidden="false" customHeight="false" outlineLevel="0" collapsed="false">
      <c r="A634" s="15" t="s">
        <v>1102</v>
      </c>
      <c r="B634" s="16" t="n">
        <v>45634</v>
      </c>
      <c r="C634" s="15" t="s">
        <v>230</v>
      </c>
      <c r="D634" s="15" t="s">
        <v>193</v>
      </c>
      <c r="E634" s="15" t="s">
        <v>103</v>
      </c>
      <c r="F634" s="17" t="n">
        <v>10</v>
      </c>
      <c r="G634" s="17" t="n">
        <v>1010</v>
      </c>
      <c r="H634" s="17" t="n">
        <v>28.9</v>
      </c>
      <c r="I634" s="17" t="n">
        <v>7181.1</v>
      </c>
      <c r="J634" s="15" t="s">
        <v>98</v>
      </c>
      <c r="K634" s="15" t="s">
        <v>110</v>
      </c>
    </row>
    <row r="635" customFormat="false" ht="14.25" hidden="false" customHeight="false" outlineLevel="0" collapsed="false">
      <c r="A635" s="15" t="s">
        <v>1103</v>
      </c>
      <c r="B635" s="16" t="n">
        <v>45352</v>
      </c>
      <c r="C635" s="15" t="s">
        <v>217</v>
      </c>
      <c r="D635" s="15" t="s">
        <v>248</v>
      </c>
      <c r="E635" s="15" t="s">
        <v>308</v>
      </c>
      <c r="F635" s="17" t="n">
        <v>1</v>
      </c>
      <c r="G635" s="17" t="n">
        <v>3640</v>
      </c>
      <c r="H635" s="17" t="n">
        <v>9.7</v>
      </c>
      <c r="I635" s="17" t="n">
        <v>3286.92</v>
      </c>
      <c r="J635" s="15" t="s">
        <v>98</v>
      </c>
      <c r="K635" s="15" t="s">
        <v>144</v>
      </c>
    </row>
    <row r="636" customFormat="false" ht="14.25" hidden="false" customHeight="false" outlineLevel="0" collapsed="false">
      <c r="A636" s="15" t="s">
        <v>1104</v>
      </c>
      <c r="B636" s="16" t="n">
        <v>45489</v>
      </c>
      <c r="C636" s="15" t="s">
        <v>197</v>
      </c>
      <c r="D636" s="15" t="s">
        <v>102</v>
      </c>
      <c r="E636" s="15" t="s">
        <v>143</v>
      </c>
      <c r="F636" s="17" t="n">
        <v>1</v>
      </c>
      <c r="G636" s="17" t="n">
        <v>820</v>
      </c>
      <c r="H636" s="17" t="n">
        <v>15</v>
      </c>
      <c r="I636" s="17" t="n">
        <v>697</v>
      </c>
      <c r="J636" s="15" t="s">
        <v>98</v>
      </c>
      <c r="K636" s="15" t="s">
        <v>105</v>
      </c>
    </row>
    <row r="637" customFormat="false" ht="14.25" hidden="false" customHeight="false" outlineLevel="0" collapsed="false">
      <c r="A637" s="15" t="s">
        <v>1105</v>
      </c>
      <c r="B637" s="16" t="n">
        <v>45342</v>
      </c>
      <c r="C637" s="15" t="s">
        <v>174</v>
      </c>
      <c r="D637" s="15" t="s">
        <v>248</v>
      </c>
      <c r="E637" s="15" t="s">
        <v>284</v>
      </c>
      <c r="F637" s="17" t="n">
        <v>4</v>
      </c>
      <c r="G637" s="17" t="n">
        <v>3640</v>
      </c>
      <c r="H637" s="17" t="n">
        <v>17</v>
      </c>
      <c r="I637" s="17" t="n">
        <v>12084.8</v>
      </c>
      <c r="J637" s="15" t="s">
        <v>98</v>
      </c>
      <c r="K637" s="15" t="s">
        <v>105</v>
      </c>
    </row>
    <row r="638" customFormat="false" ht="14.25" hidden="false" customHeight="false" outlineLevel="0" collapsed="false">
      <c r="A638" s="15" t="s">
        <v>1106</v>
      </c>
      <c r="B638" s="16" t="n">
        <v>45425</v>
      </c>
      <c r="C638" s="15" t="s">
        <v>1107</v>
      </c>
      <c r="D638" s="15" t="s">
        <v>378</v>
      </c>
      <c r="E638" s="15" t="s">
        <v>308</v>
      </c>
      <c r="F638" s="17" t="n">
        <v>7</v>
      </c>
      <c r="G638" s="17" t="n">
        <v>2380</v>
      </c>
      <c r="H638" s="17" t="n">
        <v>25.5</v>
      </c>
      <c r="I638" s="17" t="n">
        <v>12411.7</v>
      </c>
      <c r="J638" s="15" t="s">
        <v>98</v>
      </c>
      <c r="K638" s="15" t="s">
        <v>99</v>
      </c>
    </row>
    <row r="639" customFormat="false" ht="14.25" hidden="false" customHeight="false" outlineLevel="0" collapsed="false">
      <c r="A639" s="15" t="s">
        <v>1108</v>
      </c>
      <c r="B639" s="16" t="n">
        <v>45598</v>
      </c>
      <c r="C639" s="15" t="s">
        <v>818</v>
      </c>
      <c r="D639" s="15" t="s">
        <v>214</v>
      </c>
      <c r="E639" s="15" t="s">
        <v>118</v>
      </c>
      <c r="F639" s="17" t="n">
        <v>1</v>
      </c>
      <c r="G639" s="17" t="n">
        <v>660</v>
      </c>
      <c r="H639" s="17" t="n">
        <v>2.5</v>
      </c>
      <c r="I639" s="17" t="n">
        <v>643.5</v>
      </c>
      <c r="J639" s="15" t="s">
        <v>98</v>
      </c>
      <c r="K639" s="15" t="s">
        <v>99</v>
      </c>
    </row>
    <row r="640" customFormat="false" ht="14.25" hidden="false" customHeight="false" outlineLevel="0" collapsed="false">
      <c r="A640" s="15" t="s">
        <v>1109</v>
      </c>
      <c r="B640" s="16" t="n">
        <v>45353</v>
      </c>
      <c r="C640" s="15" t="s">
        <v>781</v>
      </c>
      <c r="D640" s="15" t="s">
        <v>259</v>
      </c>
      <c r="E640" s="15" t="s">
        <v>203</v>
      </c>
      <c r="F640" s="17" t="n">
        <v>7</v>
      </c>
      <c r="G640" s="17" t="n">
        <v>3870</v>
      </c>
      <c r="H640" s="17" t="n">
        <v>20.3</v>
      </c>
      <c r="I640" s="17" t="n">
        <v>21590.73</v>
      </c>
      <c r="J640" s="15" t="s">
        <v>104</v>
      </c>
      <c r="K640" s="15" t="s">
        <v>99</v>
      </c>
    </row>
    <row r="641" customFormat="false" ht="14.25" hidden="false" customHeight="false" outlineLevel="0" collapsed="false">
      <c r="A641" s="15" t="s">
        <v>1110</v>
      </c>
      <c r="B641" s="16" t="n">
        <v>45542</v>
      </c>
      <c r="C641" s="15" t="s">
        <v>265</v>
      </c>
      <c r="D641" s="15" t="s">
        <v>121</v>
      </c>
      <c r="E641" s="15" t="s">
        <v>357</v>
      </c>
      <c r="F641" s="17" t="n">
        <v>10</v>
      </c>
      <c r="G641" s="17" t="n">
        <v>370</v>
      </c>
      <c r="H641" s="17" t="n">
        <v>1.3</v>
      </c>
      <c r="I641" s="17" t="n">
        <v>3651.9</v>
      </c>
      <c r="J641" s="15" t="s">
        <v>155</v>
      </c>
      <c r="K641" s="15" t="s">
        <v>105</v>
      </c>
    </row>
    <row r="642" customFormat="false" ht="14.25" hidden="false" customHeight="false" outlineLevel="0" collapsed="false">
      <c r="A642" s="15" t="s">
        <v>1111</v>
      </c>
      <c r="B642" s="16" t="n">
        <v>45365</v>
      </c>
      <c r="C642" s="15" t="s">
        <v>217</v>
      </c>
      <c r="D642" s="15" t="s">
        <v>96</v>
      </c>
      <c r="E642" s="15" t="s">
        <v>314</v>
      </c>
      <c r="F642" s="17" t="n">
        <v>1</v>
      </c>
      <c r="G642" s="17" t="n">
        <v>3620</v>
      </c>
      <c r="H642" s="17" t="n">
        <v>1.4</v>
      </c>
      <c r="I642" s="17" t="n">
        <v>3569.32</v>
      </c>
      <c r="J642" s="15" t="s">
        <v>98</v>
      </c>
      <c r="K642" s="15" t="s">
        <v>144</v>
      </c>
    </row>
    <row r="643" customFormat="false" ht="14.25" hidden="false" customHeight="false" outlineLevel="0" collapsed="false">
      <c r="A643" s="15" t="s">
        <v>1112</v>
      </c>
      <c r="B643" s="16" t="n">
        <v>45574</v>
      </c>
      <c r="C643" s="15" t="s">
        <v>440</v>
      </c>
      <c r="D643" s="15" t="s">
        <v>290</v>
      </c>
      <c r="E643" s="15" t="s">
        <v>103</v>
      </c>
      <c r="F643" s="17" t="n">
        <v>10</v>
      </c>
      <c r="G643" s="17" t="n">
        <v>2660</v>
      </c>
      <c r="H643" s="17" t="n">
        <v>20.2</v>
      </c>
      <c r="I643" s="17" t="n">
        <v>21226.8</v>
      </c>
      <c r="J643" s="15" t="s">
        <v>98</v>
      </c>
      <c r="K643" s="15" t="s">
        <v>128</v>
      </c>
    </row>
    <row r="644" customFormat="false" ht="14.25" hidden="false" customHeight="false" outlineLevel="0" collapsed="false">
      <c r="A644" s="15" t="s">
        <v>1113</v>
      </c>
      <c r="B644" s="16" t="n">
        <v>45614</v>
      </c>
      <c r="C644" s="15" t="s">
        <v>277</v>
      </c>
      <c r="D644" s="15" t="s">
        <v>172</v>
      </c>
      <c r="E644" s="15" t="s">
        <v>199</v>
      </c>
      <c r="F644" s="17" t="n">
        <v>10</v>
      </c>
      <c r="G644" s="17" t="n">
        <v>3450</v>
      </c>
      <c r="H644" s="17" t="n">
        <v>25.1</v>
      </c>
      <c r="I644" s="17" t="n">
        <v>25840.5</v>
      </c>
      <c r="J644" s="15" t="s">
        <v>98</v>
      </c>
      <c r="K644" s="15" t="s">
        <v>110</v>
      </c>
    </row>
    <row r="645" customFormat="false" ht="14.25" hidden="false" customHeight="false" outlineLevel="0" collapsed="false">
      <c r="A645" s="15" t="s">
        <v>1114</v>
      </c>
      <c r="B645" s="16" t="n">
        <v>45629</v>
      </c>
      <c r="C645" s="15" t="s">
        <v>1115</v>
      </c>
      <c r="D645" s="15" t="s">
        <v>362</v>
      </c>
      <c r="E645" s="15" t="s">
        <v>263</v>
      </c>
      <c r="F645" s="17" t="n">
        <v>3</v>
      </c>
      <c r="G645" s="17" t="n">
        <v>4060</v>
      </c>
      <c r="H645" s="17" t="n">
        <v>2.5</v>
      </c>
      <c r="I645" s="17" t="n">
        <v>11875.5</v>
      </c>
      <c r="J645" s="15" t="s">
        <v>155</v>
      </c>
      <c r="K645" s="15" t="s">
        <v>128</v>
      </c>
    </row>
    <row r="646" customFormat="false" ht="14.25" hidden="false" customHeight="false" outlineLevel="0" collapsed="false">
      <c r="A646" s="15" t="s">
        <v>1116</v>
      </c>
      <c r="B646" s="16" t="n">
        <v>45294</v>
      </c>
      <c r="C646" s="15" t="s">
        <v>189</v>
      </c>
      <c r="D646" s="15" t="s">
        <v>126</v>
      </c>
      <c r="E646" s="15" t="s">
        <v>169</v>
      </c>
      <c r="F646" s="17" t="n">
        <v>3</v>
      </c>
      <c r="G646" s="17" t="n">
        <v>960</v>
      </c>
      <c r="H646" s="17" t="n">
        <v>6.6</v>
      </c>
      <c r="I646" s="17" t="n">
        <v>2689.92</v>
      </c>
      <c r="J646" s="15" t="s">
        <v>151</v>
      </c>
      <c r="K646" s="15" t="s">
        <v>105</v>
      </c>
    </row>
    <row r="647" customFormat="false" ht="14.25" hidden="false" customHeight="false" outlineLevel="0" collapsed="false">
      <c r="A647" s="15" t="s">
        <v>1117</v>
      </c>
      <c r="B647" s="16" t="n">
        <v>45418</v>
      </c>
      <c r="C647" s="15" t="s">
        <v>572</v>
      </c>
      <c r="D647" s="15" t="s">
        <v>290</v>
      </c>
      <c r="E647" s="15" t="s">
        <v>118</v>
      </c>
      <c r="F647" s="17" t="n">
        <v>4</v>
      </c>
      <c r="G647" s="17" t="n">
        <v>2660</v>
      </c>
      <c r="H647" s="17" t="n">
        <v>16.9</v>
      </c>
      <c r="I647" s="17" t="n">
        <v>8841.84</v>
      </c>
      <c r="J647" s="15" t="s">
        <v>98</v>
      </c>
      <c r="K647" s="15" t="s">
        <v>144</v>
      </c>
    </row>
    <row r="648" customFormat="false" ht="14.25" hidden="false" customHeight="false" outlineLevel="0" collapsed="false">
      <c r="A648" s="15" t="s">
        <v>1118</v>
      </c>
      <c r="B648" s="16" t="n">
        <v>45369</v>
      </c>
      <c r="C648" s="15" t="s">
        <v>512</v>
      </c>
      <c r="D648" s="15" t="s">
        <v>142</v>
      </c>
      <c r="E648" s="15" t="s">
        <v>314</v>
      </c>
      <c r="F648" s="17" t="n">
        <v>6</v>
      </c>
      <c r="G648" s="17" t="n">
        <v>2270</v>
      </c>
      <c r="H648" s="17" t="n">
        <v>16.7</v>
      </c>
      <c r="I648" s="17" t="n">
        <v>11345.46</v>
      </c>
      <c r="J648" s="15" t="s">
        <v>98</v>
      </c>
      <c r="K648" s="15" t="s">
        <v>144</v>
      </c>
    </row>
    <row r="649" customFormat="false" ht="14.25" hidden="false" customHeight="false" outlineLevel="0" collapsed="false">
      <c r="A649" s="15" t="s">
        <v>1119</v>
      </c>
      <c r="B649" s="16" t="n">
        <v>45549</v>
      </c>
      <c r="C649" s="15" t="s">
        <v>405</v>
      </c>
      <c r="D649" s="15" t="s">
        <v>245</v>
      </c>
      <c r="E649" s="15" t="s">
        <v>122</v>
      </c>
      <c r="F649" s="17" t="n">
        <v>5</v>
      </c>
      <c r="G649" s="17" t="n">
        <v>3780</v>
      </c>
      <c r="H649" s="17" t="n">
        <v>21.5</v>
      </c>
      <c r="I649" s="17" t="n">
        <v>14836.5</v>
      </c>
      <c r="J649" s="15" t="s">
        <v>98</v>
      </c>
      <c r="K649" s="15" t="s">
        <v>128</v>
      </c>
    </row>
    <row r="650" customFormat="false" ht="14.25" hidden="false" customHeight="false" outlineLevel="0" collapsed="false">
      <c r="A650" s="15" t="s">
        <v>1120</v>
      </c>
      <c r="B650" s="16" t="n">
        <v>45505</v>
      </c>
      <c r="C650" s="15" t="s">
        <v>921</v>
      </c>
      <c r="D650" s="15" t="s">
        <v>214</v>
      </c>
      <c r="E650" s="15" t="s">
        <v>132</v>
      </c>
      <c r="F650" s="17" t="n">
        <v>10</v>
      </c>
      <c r="G650" s="17" t="n">
        <v>660</v>
      </c>
      <c r="H650" s="17" t="n">
        <v>18.8</v>
      </c>
      <c r="I650" s="17" t="n">
        <v>5359.2</v>
      </c>
      <c r="J650" s="15" t="s">
        <v>98</v>
      </c>
      <c r="K650" s="15" t="s">
        <v>110</v>
      </c>
    </row>
    <row r="651" customFormat="false" ht="14.25" hidden="false" customHeight="false" outlineLevel="0" collapsed="false">
      <c r="A651" s="15" t="s">
        <v>1121</v>
      </c>
      <c r="B651" s="16" t="n">
        <v>45413</v>
      </c>
      <c r="C651" s="15" t="s">
        <v>619</v>
      </c>
      <c r="D651" s="15" t="s">
        <v>237</v>
      </c>
      <c r="E651" s="15" t="s">
        <v>127</v>
      </c>
      <c r="F651" s="17" t="n">
        <v>10</v>
      </c>
      <c r="G651" s="17" t="n">
        <v>3730</v>
      </c>
      <c r="H651" s="17" t="n">
        <v>15.1</v>
      </c>
      <c r="I651" s="17" t="n">
        <v>31667.7</v>
      </c>
      <c r="J651" s="15" t="s">
        <v>98</v>
      </c>
      <c r="K651" s="15" t="s">
        <v>99</v>
      </c>
    </row>
    <row r="652" customFormat="false" ht="14.25" hidden="false" customHeight="false" outlineLevel="0" collapsed="false">
      <c r="A652" s="15" t="s">
        <v>1122</v>
      </c>
      <c r="B652" s="16" t="n">
        <v>45559</v>
      </c>
      <c r="C652" s="15" t="s">
        <v>148</v>
      </c>
      <c r="D652" s="15" t="s">
        <v>362</v>
      </c>
      <c r="E652" s="15" t="s">
        <v>169</v>
      </c>
      <c r="F652" s="17" t="n">
        <v>6</v>
      </c>
      <c r="G652" s="17" t="n">
        <v>4060</v>
      </c>
      <c r="H652" s="17" t="n">
        <v>20.1</v>
      </c>
      <c r="I652" s="17" t="n">
        <v>19463.64</v>
      </c>
      <c r="J652" s="15" t="s">
        <v>104</v>
      </c>
      <c r="K652" s="15" t="s">
        <v>1123</v>
      </c>
    </row>
    <row r="653" customFormat="false" ht="14.25" hidden="false" customHeight="false" outlineLevel="0" collapsed="false">
      <c r="A653" s="15" t="s">
        <v>1124</v>
      </c>
      <c r="B653" s="16" t="n">
        <v>45525</v>
      </c>
      <c r="C653" s="15" t="s">
        <v>994</v>
      </c>
      <c r="D653" s="15" t="s">
        <v>142</v>
      </c>
      <c r="E653" s="15" t="s">
        <v>159</v>
      </c>
      <c r="F653" s="17" t="n">
        <v>2</v>
      </c>
      <c r="G653" s="17" t="n">
        <v>2270</v>
      </c>
      <c r="H653" s="17" t="n">
        <v>17.7</v>
      </c>
      <c r="I653" s="17" t="n">
        <v>3736.42</v>
      </c>
      <c r="J653" s="15" t="s">
        <v>98</v>
      </c>
      <c r="K653" s="15" t="s">
        <v>128</v>
      </c>
    </row>
    <row r="654" customFormat="false" ht="14.25" hidden="false" customHeight="false" outlineLevel="0" collapsed="false">
      <c r="A654" s="15" t="s">
        <v>1125</v>
      </c>
      <c r="B654" s="16" t="n">
        <v>45610</v>
      </c>
      <c r="C654" s="15" t="s">
        <v>548</v>
      </c>
      <c r="D654" s="15" t="s">
        <v>198</v>
      </c>
      <c r="E654" s="15" t="s">
        <v>139</v>
      </c>
      <c r="F654" s="17" t="n">
        <v>9</v>
      </c>
      <c r="G654" s="17" t="n">
        <v>3570</v>
      </c>
      <c r="H654" s="17" t="n">
        <v>29.9</v>
      </c>
      <c r="I654" s="17" t="n">
        <v>22523.13</v>
      </c>
      <c r="J654" s="15" t="s">
        <v>98</v>
      </c>
      <c r="K654" s="15" t="s">
        <v>144</v>
      </c>
    </row>
    <row r="655" customFormat="false" ht="14.25" hidden="false" customHeight="false" outlineLevel="0" collapsed="false">
      <c r="A655" s="15" t="s">
        <v>1126</v>
      </c>
      <c r="B655" s="16" t="n">
        <v>45521</v>
      </c>
      <c r="C655" s="15" t="s">
        <v>839</v>
      </c>
      <c r="D655" s="15" t="s">
        <v>349</v>
      </c>
      <c r="E655" s="15" t="s">
        <v>150</v>
      </c>
      <c r="F655" s="17" t="n">
        <v>7</v>
      </c>
      <c r="G655" s="17" t="n">
        <v>2210</v>
      </c>
      <c r="H655" s="17" t="n">
        <v>25</v>
      </c>
      <c r="I655" s="17" t="n">
        <v>11602.5</v>
      </c>
      <c r="J655" s="15" t="s">
        <v>98</v>
      </c>
      <c r="K655" s="15" t="s">
        <v>144</v>
      </c>
    </row>
    <row r="656" customFormat="false" ht="14.25" hidden="false" customHeight="false" outlineLevel="0" collapsed="false">
      <c r="A656" s="15" t="s">
        <v>1127</v>
      </c>
      <c r="B656" s="16" t="n">
        <v>45381</v>
      </c>
      <c r="C656" s="15" t="s">
        <v>916</v>
      </c>
      <c r="D656" s="15" t="s">
        <v>126</v>
      </c>
      <c r="E656" s="15" t="s">
        <v>212</v>
      </c>
      <c r="F656" s="17" t="n">
        <v>2</v>
      </c>
      <c r="G656" s="17" t="n">
        <v>960</v>
      </c>
      <c r="H656" s="17" t="n">
        <v>8.2</v>
      </c>
      <c r="I656" s="17" t="n">
        <v>1762.56</v>
      </c>
      <c r="J656" s="15" t="s">
        <v>151</v>
      </c>
      <c r="K656" s="15" t="s">
        <v>123</v>
      </c>
    </row>
    <row r="657" customFormat="false" ht="14.25" hidden="false" customHeight="false" outlineLevel="0" collapsed="false">
      <c r="A657" s="15" t="s">
        <v>1128</v>
      </c>
      <c r="B657" s="16" t="n">
        <v>45401</v>
      </c>
      <c r="C657" s="15" t="s">
        <v>639</v>
      </c>
      <c r="D657" s="15" t="s">
        <v>472</v>
      </c>
      <c r="E657" s="15" t="s">
        <v>212</v>
      </c>
      <c r="F657" s="17" t="n">
        <v>9</v>
      </c>
      <c r="G657" s="17" t="n">
        <v>3780</v>
      </c>
      <c r="H657" s="17" t="n">
        <v>28.4</v>
      </c>
      <c r="I657" s="17" t="n">
        <v>24358.32</v>
      </c>
      <c r="J657" s="15" t="s">
        <v>104</v>
      </c>
      <c r="K657" s="15" t="s">
        <v>144</v>
      </c>
    </row>
    <row r="658" customFormat="false" ht="14.25" hidden="false" customHeight="false" outlineLevel="0" collapsed="false">
      <c r="A658" s="15" t="s">
        <v>1129</v>
      </c>
      <c r="B658" s="16" t="n">
        <v>45581</v>
      </c>
      <c r="C658" s="15" t="s">
        <v>897</v>
      </c>
      <c r="D658" s="15" t="s">
        <v>202</v>
      </c>
      <c r="E658" s="15" t="s">
        <v>109</v>
      </c>
      <c r="F658" s="17" t="n">
        <v>2</v>
      </c>
      <c r="G658" s="17" t="n">
        <v>5100</v>
      </c>
      <c r="H658" s="17" t="n">
        <v>8.6</v>
      </c>
      <c r="I658" s="17" t="n">
        <v>9322.8</v>
      </c>
      <c r="J658" s="15" t="s">
        <v>98</v>
      </c>
      <c r="K658" s="15" t="s">
        <v>105</v>
      </c>
    </row>
    <row r="659" customFormat="false" ht="14.25" hidden="false" customHeight="false" outlineLevel="0" collapsed="false">
      <c r="A659" s="15" t="s">
        <v>1130</v>
      </c>
      <c r="B659" s="16" t="n">
        <v>45414</v>
      </c>
      <c r="C659" s="15" t="s">
        <v>521</v>
      </c>
      <c r="D659" s="15" t="s">
        <v>178</v>
      </c>
      <c r="E659" s="15" t="s">
        <v>169</v>
      </c>
      <c r="F659" s="17" t="n">
        <v>4</v>
      </c>
      <c r="G659" s="17" t="n">
        <v>2480</v>
      </c>
      <c r="H659" s="17" t="n">
        <v>16.6</v>
      </c>
      <c r="I659" s="17" t="n">
        <v>8273.28</v>
      </c>
      <c r="J659" s="15" t="s">
        <v>98</v>
      </c>
      <c r="K659" s="15" t="s">
        <v>128</v>
      </c>
    </row>
    <row r="660" customFormat="false" ht="14.25" hidden="false" customHeight="false" outlineLevel="0" collapsed="false">
      <c r="A660" s="15" t="s">
        <v>1131</v>
      </c>
      <c r="B660" s="16" t="n">
        <v>45443</v>
      </c>
      <c r="C660" s="15" t="s">
        <v>1132</v>
      </c>
      <c r="D660" s="15" t="s">
        <v>175</v>
      </c>
      <c r="E660" s="15" t="s">
        <v>314</v>
      </c>
      <c r="F660" s="17" t="n">
        <v>10</v>
      </c>
      <c r="G660" s="17" t="n">
        <v>1080</v>
      </c>
      <c r="H660" s="17" t="n">
        <v>14.5</v>
      </c>
      <c r="I660" s="17" t="n">
        <v>9234</v>
      </c>
      <c r="J660" s="15" t="s">
        <v>98</v>
      </c>
      <c r="K660" s="15" t="s">
        <v>123</v>
      </c>
    </row>
    <row r="661" customFormat="false" ht="14.25" hidden="false" customHeight="false" outlineLevel="0" collapsed="false">
      <c r="A661" s="15" t="s">
        <v>1133</v>
      </c>
      <c r="B661" s="16" t="n">
        <v>45377</v>
      </c>
      <c r="C661" s="15" t="s">
        <v>637</v>
      </c>
      <c r="D661" s="15" t="s">
        <v>149</v>
      </c>
      <c r="E661" s="15" t="s">
        <v>240</v>
      </c>
      <c r="F661" s="17" t="n">
        <v>7</v>
      </c>
      <c r="G661" s="17" t="n">
        <v>2600</v>
      </c>
      <c r="H661" s="17" t="n">
        <v>21</v>
      </c>
      <c r="I661" s="17" t="n">
        <v>14378</v>
      </c>
      <c r="J661" s="15" t="s">
        <v>98</v>
      </c>
      <c r="K661" s="15" t="s">
        <v>110</v>
      </c>
    </row>
    <row r="662" customFormat="false" ht="14.25" hidden="false" customHeight="false" outlineLevel="0" collapsed="false">
      <c r="A662" s="15" t="s">
        <v>1134</v>
      </c>
      <c r="B662" s="16" t="n">
        <v>45622</v>
      </c>
      <c r="C662" s="15" t="s">
        <v>116</v>
      </c>
      <c r="D662" s="15" t="s">
        <v>149</v>
      </c>
      <c r="E662" s="15" t="s">
        <v>199</v>
      </c>
      <c r="F662" s="17" t="n">
        <v>7</v>
      </c>
      <c r="G662" s="17" t="n">
        <v>2600</v>
      </c>
      <c r="H662" s="17" t="n">
        <v>6.7</v>
      </c>
      <c r="I662" s="17" t="n">
        <v>16980.6</v>
      </c>
      <c r="J662" s="15" t="s">
        <v>104</v>
      </c>
      <c r="K662" s="15" t="s">
        <v>105</v>
      </c>
    </row>
    <row r="663" customFormat="false" ht="14.25" hidden="false" customHeight="false" outlineLevel="0" collapsed="false">
      <c r="A663" s="15" t="s">
        <v>1135</v>
      </c>
      <c r="B663" s="16" t="n">
        <v>45403</v>
      </c>
      <c r="C663" s="15" t="s">
        <v>230</v>
      </c>
      <c r="D663" s="15" t="s">
        <v>102</v>
      </c>
      <c r="E663" s="15" t="s">
        <v>165</v>
      </c>
      <c r="F663" s="17" t="n">
        <v>8</v>
      </c>
      <c r="G663" s="17" t="n">
        <v>820</v>
      </c>
      <c r="H663" s="17" t="n">
        <v>17.8</v>
      </c>
      <c r="I663" s="17" t="n">
        <v>5392.32</v>
      </c>
      <c r="J663" s="15" t="s">
        <v>104</v>
      </c>
      <c r="K663" s="15" t="s">
        <v>110</v>
      </c>
    </row>
    <row r="664" customFormat="false" ht="14.25" hidden="false" customHeight="false" outlineLevel="0" collapsed="false">
      <c r="A664" s="15" t="s">
        <v>1136</v>
      </c>
      <c r="B664" s="16" t="n">
        <v>45532</v>
      </c>
      <c r="C664" s="15" t="s">
        <v>529</v>
      </c>
      <c r="D664" s="15" t="s">
        <v>126</v>
      </c>
      <c r="E664" s="15" t="s">
        <v>215</v>
      </c>
      <c r="F664" s="17" t="n">
        <v>3</v>
      </c>
      <c r="G664" s="17" t="n">
        <v>960</v>
      </c>
      <c r="H664" s="17" t="n">
        <v>17.8</v>
      </c>
      <c r="I664" s="17" t="n">
        <v>2367.36</v>
      </c>
      <c r="J664" s="15" t="s">
        <v>98</v>
      </c>
      <c r="K664" s="15" t="s">
        <v>99</v>
      </c>
    </row>
    <row r="665" customFormat="false" ht="14.25" hidden="false" customHeight="false" outlineLevel="0" collapsed="false">
      <c r="A665" s="15" t="s">
        <v>1137</v>
      </c>
      <c r="B665" s="16" t="n">
        <v>45301</v>
      </c>
      <c r="C665" s="15" t="s">
        <v>277</v>
      </c>
      <c r="D665" s="15" t="s">
        <v>270</v>
      </c>
      <c r="E665" s="15" t="s">
        <v>165</v>
      </c>
      <c r="F665" s="17" t="n">
        <v>2</v>
      </c>
      <c r="G665" s="17" t="n">
        <v>1540</v>
      </c>
      <c r="H665" s="17" t="n">
        <v>1.8</v>
      </c>
      <c r="I665" s="17" t="n">
        <v>3024.56</v>
      </c>
      <c r="J665" s="15" t="s">
        <v>151</v>
      </c>
      <c r="K665" s="15" t="s">
        <v>110</v>
      </c>
    </row>
    <row r="666" customFormat="false" ht="14.25" hidden="false" customHeight="false" outlineLevel="0" collapsed="false">
      <c r="A666" s="15" t="s">
        <v>1138</v>
      </c>
      <c r="B666" s="16" t="n">
        <v>45622</v>
      </c>
      <c r="C666" s="15" t="s">
        <v>1017</v>
      </c>
      <c r="D666" s="15" t="s">
        <v>526</v>
      </c>
      <c r="E666" s="15" t="s">
        <v>181</v>
      </c>
      <c r="F666" s="17" t="n">
        <v>5</v>
      </c>
      <c r="G666" s="17" t="n">
        <v>6940</v>
      </c>
      <c r="H666" s="17" t="n">
        <v>2.9</v>
      </c>
      <c r="I666" s="17" t="n">
        <v>33693.7</v>
      </c>
      <c r="J666" s="15" t="s">
        <v>98</v>
      </c>
      <c r="K666" s="15" t="s">
        <v>128</v>
      </c>
    </row>
    <row r="667" customFormat="false" ht="14.25" hidden="false" customHeight="false" outlineLevel="0" collapsed="false">
      <c r="A667" s="15" t="s">
        <v>1139</v>
      </c>
      <c r="B667" s="16" t="n">
        <v>45531</v>
      </c>
      <c r="C667" s="15" t="s">
        <v>389</v>
      </c>
      <c r="D667" s="15" t="s">
        <v>270</v>
      </c>
      <c r="E667" s="15" t="s">
        <v>263</v>
      </c>
      <c r="F667" s="17" t="n">
        <v>5</v>
      </c>
      <c r="G667" s="17" t="n">
        <v>1540</v>
      </c>
      <c r="H667" s="17" t="n">
        <v>28.8</v>
      </c>
      <c r="I667" s="17" t="n">
        <v>5482.4</v>
      </c>
      <c r="J667" s="15" t="s">
        <v>98</v>
      </c>
      <c r="K667" s="15" t="s">
        <v>105</v>
      </c>
    </row>
    <row r="668" customFormat="false" ht="14.25" hidden="false" customHeight="false" outlineLevel="0" collapsed="false">
      <c r="A668" s="15" t="s">
        <v>1140</v>
      </c>
      <c r="B668" s="16" t="n">
        <v>45326</v>
      </c>
      <c r="C668" s="15" t="s">
        <v>716</v>
      </c>
      <c r="D668" s="15" t="s">
        <v>237</v>
      </c>
      <c r="E668" s="15" t="s">
        <v>336</v>
      </c>
      <c r="F668" s="17" t="n">
        <v>8</v>
      </c>
      <c r="G668" s="17" t="n">
        <v>3730</v>
      </c>
      <c r="H668" s="17" t="n">
        <v>21.1</v>
      </c>
      <c r="I668" s="17" t="n">
        <v>23543.76</v>
      </c>
      <c r="J668" s="15" t="s">
        <v>98</v>
      </c>
      <c r="K668" s="15" t="s">
        <v>110</v>
      </c>
    </row>
    <row r="669" customFormat="false" ht="14.25" hidden="false" customHeight="false" outlineLevel="0" collapsed="false">
      <c r="A669" s="15" t="s">
        <v>1141</v>
      </c>
      <c r="B669" s="16" t="n">
        <v>45635</v>
      </c>
      <c r="C669" s="15" t="s">
        <v>258</v>
      </c>
      <c r="D669" s="15" t="s">
        <v>211</v>
      </c>
      <c r="E669" s="15" t="s">
        <v>165</v>
      </c>
      <c r="F669" s="17" t="n">
        <v>7</v>
      </c>
      <c r="G669" s="17" t="n">
        <v>2760</v>
      </c>
      <c r="H669" s="17" t="n">
        <v>1.2</v>
      </c>
      <c r="I669" s="17" t="n">
        <v>19088.16</v>
      </c>
      <c r="J669" s="15" t="s">
        <v>151</v>
      </c>
      <c r="K669" s="15" t="s">
        <v>128</v>
      </c>
    </row>
    <row r="670" customFormat="false" ht="14.25" hidden="false" customHeight="false" outlineLevel="0" collapsed="false">
      <c r="A670" s="15" t="s">
        <v>1142</v>
      </c>
      <c r="B670" s="16" t="n">
        <v>45431</v>
      </c>
      <c r="C670" s="15" t="s">
        <v>373</v>
      </c>
      <c r="D670" s="15" t="s">
        <v>419</v>
      </c>
      <c r="E670" s="15" t="s">
        <v>203</v>
      </c>
      <c r="F670" s="17" t="n">
        <v>3</v>
      </c>
      <c r="G670" s="17" t="n">
        <v>3970</v>
      </c>
      <c r="H670" s="17" t="n">
        <v>18.3</v>
      </c>
      <c r="I670" s="17" t="n">
        <v>9730.47</v>
      </c>
      <c r="J670" s="15" t="s">
        <v>98</v>
      </c>
      <c r="K670" s="15" t="s">
        <v>105</v>
      </c>
    </row>
    <row r="671" customFormat="false" ht="14.25" hidden="false" customHeight="false" outlineLevel="0" collapsed="false">
      <c r="A671" s="15" t="s">
        <v>1143</v>
      </c>
      <c r="B671" s="16" t="n">
        <v>45393</v>
      </c>
      <c r="C671" s="15" t="s">
        <v>405</v>
      </c>
      <c r="D671" s="15" t="s">
        <v>245</v>
      </c>
      <c r="E671" s="15" t="s">
        <v>165</v>
      </c>
      <c r="F671" s="17" t="n">
        <v>4</v>
      </c>
      <c r="G671" s="17" t="n">
        <v>3780</v>
      </c>
      <c r="H671" s="17" t="n">
        <v>24.6</v>
      </c>
      <c r="I671" s="17" t="n">
        <v>11400.48</v>
      </c>
      <c r="J671" s="15" t="s">
        <v>98</v>
      </c>
      <c r="K671" s="15" t="s">
        <v>128</v>
      </c>
    </row>
    <row r="672" customFormat="false" ht="14.25" hidden="false" customHeight="false" outlineLevel="0" collapsed="false">
      <c r="A672" s="15" t="s">
        <v>1144</v>
      </c>
      <c r="B672" s="16" t="n">
        <v>45295</v>
      </c>
      <c r="C672" s="15" t="s">
        <v>846</v>
      </c>
      <c r="D672" s="15" t="s">
        <v>184</v>
      </c>
      <c r="E672" s="15" t="s">
        <v>118</v>
      </c>
      <c r="F672" s="17" t="n">
        <v>10</v>
      </c>
      <c r="G672" s="17" t="n">
        <v>2720</v>
      </c>
      <c r="H672" s="17" t="n">
        <v>12.8</v>
      </c>
      <c r="I672" s="17" t="n">
        <v>23718.4</v>
      </c>
      <c r="J672" s="15" t="s">
        <v>98</v>
      </c>
      <c r="K672" s="15" t="s">
        <v>128</v>
      </c>
    </row>
    <row r="673" customFormat="false" ht="14.25" hidden="false" customHeight="false" outlineLevel="0" collapsed="false">
      <c r="A673" s="15" t="s">
        <v>1145</v>
      </c>
      <c r="B673" s="16" t="n">
        <v>45371</v>
      </c>
      <c r="C673" s="15" t="s">
        <v>347</v>
      </c>
      <c r="D673" s="15" t="s">
        <v>419</v>
      </c>
      <c r="E673" s="15" t="s">
        <v>249</v>
      </c>
      <c r="F673" s="17" t="n">
        <v>5</v>
      </c>
      <c r="G673" s="17" t="n">
        <v>3970</v>
      </c>
      <c r="H673" s="17" t="n">
        <v>5.9</v>
      </c>
      <c r="I673" s="17" t="n">
        <v>18678.85</v>
      </c>
      <c r="J673" s="15" t="s">
        <v>98</v>
      </c>
      <c r="K673" s="15" t="s">
        <v>123</v>
      </c>
    </row>
    <row r="674" customFormat="false" ht="14.25" hidden="false" customHeight="false" outlineLevel="0" collapsed="false">
      <c r="A674" s="15" t="s">
        <v>1146</v>
      </c>
      <c r="B674" s="16" t="n">
        <v>45601</v>
      </c>
      <c r="C674" s="15" t="s">
        <v>153</v>
      </c>
      <c r="D674" s="15" t="s">
        <v>102</v>
      </c>
      <c r="E674" s="15" t="s">
        <v>284</v>
      </c>
      <c r="F674" s="17" t="n">
        <v>3</v>
      </c>
      <c r="G674" s="17" t="n">
        <v>820</v>
      </c>
      <c r="H674" s="17" t="n">
        <v>19.4</v>
      </c>
      <c r="I674" s="17" t="n">
        <v>1982.76</v>
      </c>
      <c r="J674" s="15" t="s">
        <v>98</v>
      </c>
      <c r="K674" s="15" t="s">
        <v>99</v>
      </c>
    </row>
    <row r="675" customFormat="false" ht="14.25" hidden="false" customHeight="false" outlineLevel="0" collapsed="false">
      <c r="A675" s="15" t="s">
        <v>1147</v>
      </c>
      <c r="B675" s="16" t="n">
        <v>45471</v>
      </c>
      <c r="C675" s="15" t="s">
        <v>566</v>
      </c>
      <c r="D675" s="15" t="s">
        <v>303</v>
      </c>
      <c r="E675" s="15" t="s">
        <v>143</v>
      </c>
      <c r="F675" s="17" t="n">
        <v>7</v>
      </c>
      <c r="G675" s="17" t="n">
        <v>620</v>
      </c>
      <c r="H675" s="17" t="n">
        <v>9.9</v>
      </c>
      <c r="I675" s="17" t="n">
        <v>3910.34</v>
      </c>
      <c r="J675" s="15" t="s">
        <v>98</v>
      </c>
      <c r="K675" s="15" t="s">
        <v>123</v>
      </c>
    </row>
    <row r="676" customFormat="false" ht="14.25" hidden="false" customHeight="false" outlineLevel="0" collapsed="false">
      <c r="A676" s="15" t="s">
        <v>1148</v>
      </c>
      <c r="B676" s="16" t="n">
        <v>45318</v>
      </c>
      <c r="C676" s="15" t="s">
        <v>680</v>
      </c>
      <c r="D676" s="15" t="s">
        <v>397</v>
      </c>
      <c r="E676" s="15" t="s">
        <v>354</v>
      </c>
      <c r="F676" s="17" t="n">
        <v>8</v>
      </c>
      <c r="G676" s="17" t="n">
        <v>2290</v>
      </c>
      <c r="H676" s="17" t="n">
        <v>18.3</v>
      </c>
      <c r="I676" s="17" t="n">
        <v>14967.44</v>
      </c>
      <c r="J676" s="15" t="s">
        <v>98</v>
      </c>
      <c r="K676" s="15" t="s">
        <v>144</v>
      </c>
    </row>
    <row r="677" customFormat="false" ht="14.25" hidden="false" customHeight="false" outlineLevel="0" collapsed="false">
      <c r="A677" s="15" t="s">
        <v>1149</v>
      </c>
      <c r="B677" s="16" t="n">
        <v>45364</v>
      </c>
      <c r="C677" s="15" t="s">
        <v>578</v>
      </c>
      <c r="D677" s="15" t="s">
        <v>138</v>
      </c>
      <c r="E677" s="15" t="s">
        <v>122</v>
      </c>
      <c r="F677" s="17" t="n">
        <v>3</v>
      </c>
      <c r="G677" s="17" t="n">
        <v>970</v>
      </c>
      <c r="H677" s="17" t="n">
        <v>18.4</v>
      </c>
      <c r="I677" s="17" t="n">
        <v>2374.56</v>
      </c>
      <c r="J677" s="15" t="s">
        <v>98</v>
      </c>
      <c r="K677" s="15" t="s">
        <v>128</v>
      </c>
    </row>
    <row r="678" customFormat="false" ht="14.25" hidden="false" customHeight="false" outlineLevel="0" collapsed="false">
      <c r="A678" s="15" t="s">
        <v>1150</v>
      </c>
      <c r="B678" s="16" t="n">
        <v>45419</v>
      </c>
      <c r="C678" s="15" t="s">
        <v>979</v>
      </c>
      <c r="D678" s="15" t="s">
        <v>121</v>
      </c>
      <c r="E678" s="15" t="s">
        <v>109</v>
      </c>
      <c r="F678" s="17" t="n">
        <v>2</v>
      </c>
      <c r="G678" s="17" t="n">
        <v>370</v>
      </c>
      <c r="H678" s="17" t="n">
        <v>8.9</v>
      </c>
      <c r="I678" s="17" t="n">
        <v>674.14</v>
      </c>
      <c r="J678" s="15" t="s">
        <v>98</v>
      </c>
      <c r="K678" s="15" t="s">
        <v>110</v>
      </c>
    </row>
    <row r="679" customFormat="false" ht="14.25" hidden="false" customHeight="false" outlineLevel="0" collapsed="false">
      <c r="A679" s="15" t="s">
        <v>1151</v>
      </c>
      <c r="B679" s="16" t="n">
        <v>45632</v>
      </c>
      <c r="C679" s="15" t="s">
        <v>736</v>
      </c>
      <c r="D679" s="15" t="s">
        <v>131</v>
      </c>
      <c r="E679" s="15" t="s">
        <v>97</v>
      </c>
      <c r="F679" s="17" t="n">
        <v>1</v>
      </c>
      <c r="G679" s="17" t="n">
        <v>1430</v>
      </c>
      <c r="H679" s="17" t="n">
        <v>5.9</v>
      </c>
      <c r="I679" s="17" t="n">
        <v>1345.63</v>
      </c>
      <c r="J679" s="15" t="s">
        <v>151</v>
      </c>
      <c r="K679" s="15" t="s">
        <v>110</v>
      </c>
    </row>
    <row r="680" customFormat="false" ht="14.25" hidden="false" customHeight="false" outlineLevel="0" collapsed="false">
      <c r="A680" s="15" t="s">
        <v>1152</v>
      </c>
      <c r="B680" s="16" t="n">
        <v>45494</v>
      </c>
      <c r="C680" s="15" t="s">
        <v>848</v>
      </c>
      <c r="D680" s="15" t="s">
        <v>162</v>
      </c>
      <c r="E680" s="15" t="s">
        <v>181</v>
      </c>
      <c r="F680" s="17" t="n">
        <v>2</v>
      </c>
      <c r="G680" s="17" t="n">
        <v>2400</v>
      </c>
      <c r="H680" s="17" t="n">
        <v>29.1</v>
      </c>
      <c r="I680" s="17" t="n">
        <v>3403.2</v>
      </c>
      <c r="J680" s="15" t="s">
        <v>98</v>
      </c>
      <c r="K680" s="15" t="s">
        <v>128</v>
      </c>
    </row>
    <row r="681" customFormat="false" ht="14.25" hidden="false" customHeight="false" outlineLevel="0" collapsed="false">
      <c r="A681" s="15" t="s">
        <v>1153</v>
      </c>
      <c r="B681" s="16" t="n">
        <v>45337</v>
      </c>
      <c r="C681" s="15" t="s">
        <v>410</v>
      </c>
      <c r="D681" s="15" t="s">
        <v>131</v>
      </c>
      <c r="E681" s="15" t="s">
        <v>284</v>
      </c>
      <c r="F681" s="17" t="n">
        <v>9</v>
      </c>
      <c r="G681" s="17" t="n">
        <v>1430</v>
      </c>
      <c r="H681" s="17" t="n">
        <v>6</v>
      </c>
      <c r="I681" s="17" t="n">
        <v>12097.8</v>
      </c>
      <c r="J681" s="15" t="s">
        <v>98</v>
      </c>
      <c r="K681" s="15" t="s">
        <v>110</v>
      </c>
    </row>
    <row r="682" customFormat="false" ht="14.25" hidden="false" customHeight="false" outlineLevel="0" collapsed="false">
      <c r="A682" s="15" t="s">
        <v>1154</v>
      </c>
      <c r="B682" s="16" t="n">
        <v>45510</v>
      </c>
      <c r="C682" s="15" t="s">
        <v>606</v>
      </c>
      <c r="D682" s="15" t="s">
        <v>184</v>
      </c>
      <c r="E682" s="15" t="s">
        <v>97</v>
      </c>
      <c r="F682" s="17" t="n">
        <v>8</v>
      </c>
      <c r="G682" s="17" t="n">
        <v>2720</v>
      </c>
      <c r="H682" s="17" t="n">
        <v>25.7</v>
      </c>
      <c r="I682" s="17" t="n">
        <v>16167.68</v>
      </c>
      <c r="J682" s="15" t="s">
        <v>98</v>
      </c>
      <c r="K682" s="15" t="s">
        <v>110</v>
      </c>
    </row>
    <row r="683" customFormat="false" ht="14.25" hidden="false" customHeight="false" outlineLevel="0" collapsed="false">
      <c r="A683" s="15" t="s">
        <v>1155</v>
      </c>
      <c r="B683" s="16" t="n">
        <v>45572</v>
      </c>
      <c r="C683" s="15" t="s">
        <v>728</v>
      </c>
      <c r="D683" s="15" t="s">
        <v>526</v>
      </c>
      <c r="E683" s="15" t="s">
        <v>354</v>
      </c>
      <c r="F683" s="17" t="n">
        <v>6</v>
      </c>
      <c r="G683" s="17" t="n">
        <v>6940</v>
      </c>
      <c r="H683" s="17" t="n">
        <v>25.7</v>
      </c>
      <c r="I683" s="17" t="n">
        <v>30938.52</v>
      </c>
      <c r="J683" s="15" t="s">
        <v>98</v>
      </c>
      <c r="K683" s="15" t="s">
        <v>105</v>
      </c>
    </row>
    <row r="684" customFormat="false" ht="14.25" hidden="false" customHeight="false" outlineLevel="0" collapsed="false">
      <c r="A684" s="15" t="s">
        <v>1156</v>
      </c>
      <c r="B684" s="16" t="n">
        <v>45472</v>
      </c>
      <c r="C684" s="15" t="s">
        <v>779</v>
      </c>
      <c r="D684" s="15" t="s">
        <v>96</v>
      </c>
      <c r="E684" s="15" t="s">
        <v>97</v>
      </c>
      <c r="F684" s="17" t="n">
        <v>3</v>
      </c>
      <c r="G684" s="17" t="n">
        <v>3620</v>
      </c>
      <c r="H684" s="17" t="n">
        <v>29.7</v>
      </c>
      <c r="I684" s="17" t="n">
        <v>7634.58</v>
      </c>
      <c r="J684" s="15" t="s">
        <v>98</v>
      </c>
      <c r="K684" s="15" t="s">
        <v>99</v>
      </c>
    </row>
    <row r="685" customFormat="false" ht="14.25" hidden="false" customHeight="false" outlineLevel="0" collapsed="false">
      <c r="A685" s="15" t="s">
        <v>1157</v>
      </c>
      <c r="B685" s="16" t="n">
        <v>45615</v>
      </c>
      <c r="C685" s="15" t="s">
        <v>389</v>
      </c>
      <c r="D685" s="15" t="s">
        <v>146</v>
      </c>
      <c r="E685" s="15" t="s">
        <v>122</v>
      </c>
      <c r="F685" s="17" t="n">
        <v>8</v>
      </c>
      <c r="G685" s="17" t="n">
        <v>2640</v>
      </c>
      <c r="H685" s="17" t="n">
        <v>24.4</v>
      </c>
      <c r="I685" s="17" t="n">
        <v>15966.72</v>
      </c>
      <c r="J685" s="15" t="s">
        <v>98</v>
      </c>
      <c r="K685" s="15" t="s">
        <v>105</v>
      </c>
    </row>
    <row r="686" customFormat="false" ht="14.25" hidden="false" customHeight="false" outlineLevel="0" collapsed="false">
      <c r="A686" s="15" t="s">
        <v>1158</v>
      </c>
      <c r="B686" s="16" t="n">
        <v>45349</v>
      </c>
      <c r="C686" s="15" t="s">
        <v>740</v>
      </c>
      <c r="D686" s="15" t="s">
        <v>135</v>
      </c>
      <c r="E686" s="15" t="s">
        <v>114</v>
      </c>
      <c r="F686" s="17" t="n">
        <v>3</v>
      </c>
      <c r="G686" s="17" t="n">
        <v>5490</v>
      </c>
      <c r="H686" s="17" t="n">
        <v>13.5</v>
      </c>
      <c r="I686" s="17" t="n">
        <v>14246.55</v>
      </c>
      <c r="J686" s="15" t="s">
        <v>98</v>
      </c>
      <c r="K686" s="15" t="s">
        <v>123</v>
      </c>
    </row>
    <row r="687" customFormat="false" ht="14.25" hidden="false" customHeight="false" outlineLevel="0" collapsed="false">
      <c r="A687" s="15" t="s">
        <v>1159</v>
      </c>
      <c r="B687" s="16" t="n">
        <v>45413</v>
      </c>
      <c r="C687" s="15" t="s">
        <v>153</v>
      </c>
      <c r="D687" s="15" t="s">
        <v>454</v>
      </c>
      <c r="E687" s="15" t="s">
        <v>249</v>
      </c>
      <c r="F687" s="17" t="n">
        <v>3</v>
      </c>
      <c r="G687" s="17" t="n">
        <v>5080</v>
      </c>
      <c r="H687" s="17" t="n">
        <v>9.3</v>
      </c>
      <c r="I687" s="17" t="n">
        <v>13822.68</v>
      </c>
      <c r="J687" s="15" t="s">
        <v>98</v>
      </c>
      <c r="K687" s="15" t="s">
        <v>99</v>
      </c>
    </row>
    <row r="688" customFormat="false" ht="14.25" hidden="false" customHeight="false" outlineLevel="0" collapsed="false">
      <c r="A688" s="15" t="s">
        <v>1160</v>
      </c>
      <c r="B688" s="16" t="n">
        <v>45515</v>
      </c>
      <c r="C688" s="15" t="s">
        <v>405</v>
      </c>
      <c r="D688" s="15" t="s">
        <v>397</v>
      </c>
      <c r="E688" s="15" t="s">
        <v>181</v>
      </c>
      <c r="F688" s="17" t="n">
        <v>4</v>
      </c>
      <c r="G688" s="17" t="n">
        <v>2290</v>
      </c>
      <c r="H688" s="17" t="n">
        <v>24.4</v>
      </c>
      <c r="I688" s="17" t="n">
        <v>6924.96</v>
      </c>
      <c r="J688" s="15" t="s">
        <v>98</v>
      </c>
      <c r="K688" s="15" t="s">
        <v>128</v>
      </c>
    </row>
    <row r="689" customFormat="false" ht="14.25" hidden="false" customHeight="false" outlineLevel="0" collapsed="false">
      <c r="A689" s="15" t="s">
        <v>1161</v>
      </c>
      <c r="B689" s="16" t="n">
        <v>45463</v>
      </c>
      <c r="C689" s="15" t="s">
        <v>424</v>
      </c>
      <c r="D689" s="15" t="s">
        <v>306</v>
      </c>
      <c r="E689" s="15" t="s">
        <v>284</v>
      </c>
      <c r="F689" s="17" t="n">
        <v>10</v>
      </c>
      <c r="G689" s="17" t="n">
        <v>2030</v>
      </c>
      <c r="H689" s="17" t="n">
        <v>13.6</v>
      </c>
      <c r="I689" s="17" t="n">
        <v>17539.2</v>
      </c>
      <c r="J689" s="15" t="s">
        <v>104</v>
      </c>
      <c r="K689" s="15" t="s">
        <v>99</v>
      </c>
    </row>
    <row r="690" customFormat="false" ht="14.25" hidden="false" customHeight="false" outlineLevel="0" collapsed="false">
      <c r="A690" s="15" t="s">
        <v>1162</v>
      </c>
      <c r="B690" s="16" t="n">
        <v>45607</v>
      </c>
      <c r="C690" s="15" t="s">
        <v>576</v>
      </c>
      <c r="D690" s="15" t="s">
        <v>131</v>
      </c>
      <c r="E690" s="15" t="s">
        <v>336</v>
      </c>
      <c r="F690" s="17" t="n">
        <v>10</v>
      </c>
      <c r="G690" s="17" t="n">
        <v>1430</v>
      </c>
      <c r="H690" s="17" t="n">
        <v>16.1</v>
      </c>
      <c r="I690" s="17" t="n">
        <v>11997.7</v>
      </c>
      <c r="J690" s="15" t="s">
        <v>151</v>
      </c>
      <c r="K690" s="15" t="s">
        <v>123</v>
      </c>
    </row>
    <row r="691" customFormat="false" ht="14.25" hidden="false" customHeight="false" outlineLevel="0" collapsed="false">
      <c r="A691" s="15" t="s">
        <v>1163</v>
      </c>
      <c r="B691" s="16" t="n">
        <v>45357</v>
      </c>
      <c r="C691" s="15" t="s">
        <v>1073</v>
      </c>
      <c r="D691" s="15" t="s">
        <v>245</v>
      </c>
      <c r="E691" s="15" t="s">
        <v>215</v>
      </c>
      <c r="F691" s="17" t="n">
        <v>1</v>
      </c>
      <c r="G691" s="17" t="n">
        <v>3780</v>
      </c>
      <c r="H691" s="17" t="n">
        <v>22.7</v>
      </c>
      <c r="I691" s="17" t="n">
        <v>2921.94</v>
      </c>
      <c r="J691" s="15" t="s">
        <v>98</v>
      </c>
      <c r="K691" s="15" t="s">
        <v>123</v>
      </c>
    </row>
    <row r="692" customFormat="false" ht="14.25" hidden="false" customHeight="false" outlineLevel="0" collapsed="false">
      <c r="A692" s="15" t="s">
        <v>1164</v>
      </c>
      <c r="B692" s="16" t="n">
        <v>45443</v>
      </c>
      <c r="C692" s="15" t="s">
        <v>403</v>
      </c>
      <c r="D692" s="15" t="s">
        <v>117</v>
      </c>
      <c r="E692" s="15" t="s">
        <v>169</v>
      </c>
      <c r="F692" s="17" t="n">
        <v>10</v>
      </c>
      <c r="G692" s="17" t="n">
        <v>3160</v>
      </c>
      <c r="H692" s="17" t="n">
        <v>13.4</v>
      </c>
      <c r="I692" s="17" t="n">
        <v>27365.6</v>
      </c>
      <c r="J692" s="15" t="s">
        <v>98</v>
      </c>
      <c r="K692" s="15" t="s">
        <v>123</v>
      </c>
    </row>
    <row r="693" customFormat="false" ht="14.25" hidden="false" customHeight="false" outlineLevel="0" collapsed="false">
      <c r="A693" s="15" t="s">
        <v>1165</v>
      </c>
      <c r="B693" s="16" t="n">
        <v>45422</v>
      </c>
      <c r="C693" s="15" t="s">
        <v>453</v>
      </c>
      <c r="D693" s="15" t="s">
        <v>131</v>
      </c>
      <c r="E693" s="15" t="s">
        <v>159</v>
      </c>
      <c r="F693" s="17" t="n">
        <v>2</v>
      </c>
      <c r="G693" s="17" t="n">
        <v>1430</v>
      </c>
      <c r="H693" s="17" t="n">
        <v>7.4</v>
      </c>
      <c r="I693" s="17" t="n">
        <v>2648.36</v>
      </c>
      <c r="J693" s="15" t="s">
        <v>98</v>
      </c>
      <c r="K693" s="15" t="s">
        <v>99</v>
      </c>
    </row>
    <row r="694" customFormat="false" ht="14.25" hidden="false" customHeight="false" outlineLevel="0" collapsed="false">
      <c r="A694" s="15" t="s">
        <v>1166</v>
      </c>
      <c r="B694" s="16" t="n">
        <v>45640</v>
      </c>
      <c r="C694" s="15" t="s">
        <v>242</v>
      </c>
      <c r="D694" s="15" t="s">
        <v>117</v>
      </c>
      <c r="E694" s="15" t="s">
        <v>114</v>
      </c>
      <c r="F694" s="17" t="n">
        <v>5</v>
      </c>
      <c r="G694" s="17" t="n">
        <v>3160</v>
      </c>
      <c r="H694" s="17" t="n">
        <v>3.6</v>
      </c>
      <c r="I694" s="17" t="n">
        <v>15231.2</v>
      </c>
      <c r="J694" s="15" t="s">
        <v>104</v>
      </c>
      <c r="K694" s="15" t="s">
        <v>128</v>
      </c>
    </row>
    <row r="695" customFormat="false" ht="14.25" hidden="false" customHeight="false" outlineLevel="0" collapsed="false">
      <c r="A695" s="15" t="s">
        <v>1167</v>
      </c>
      <c r="B695" s="16" t="n">
        <v>45521</v>
      </c>
      <c r="C695" s="15" t="s">
        <v>818</v>
      </c>
      <c r="D695" s="15" t="s">
        <v>397</v>
      </c>
      <c r="E695" s="15" t="s">
        <v>150</v>
      </c>
      <c r="F695" s="17" t="n">
        <v>2</v>
      </c>
      <c r="G695" s="17" t="n">
        <v>2290</v>
      </c>
      <c r="H695" s="17" t="n">
        <v>28.2</v>
      </c>
      <c r="I695" s="17" t="n">
        <v>3288.44</v>
      </c>
      <c r="J695" s="15" t="s">
        <v>98</v>
      </c>
      <c r="K695" s="15" t="s">
        <v>99</v>
      </c>
    </row>
    <row r="696" customFormat="false" ht="14.25" hidden="false" customHeight="false" outlineLevel="0" collapsed="false">
      <c r="A696" s="15" t="s">
        <v>1168</v>
      </c>
      <c r="B696" s="16" t="n">
        <v>45366</v>
      </c>
      <c r="C696" s="15" t="s">
        <v>749</v>
      </c>
      <c r="D696" s="15" t="s">
        <v>463</v>
      </c>
      <c r="E696" s="15" t="s">
        <v>199</v>
      </c>
      <c r="F696" s="17" t="n">
        <v>5</v>
      </c>
      <c r="G696" s="17" t="n">
        <v>3450</v>
      </c>
      <c r="H696" s="17" t="n">
        <v>18.1</v>
      </c>
      <c r="I696" s="17" t="n">
        <v>14127.75</v>
      </c>
      <c r="J696" s="15" t="s">
        <v>151</v>
      </c>
      <c r="K696" s="15" t="s">
        <v>99</v>
      </c>
    </row>
    <row r="697" customFormat="false" ht="14.25" hidden="false" customHeight="false" outlineLevel="0" collapsed="false">
      <c r="A697" s="15" t="s">
        <v>1169</v>
      </c>
      <c r="B697" s="16" t="n">
        <v>45439</v>
      </c>
      <c r="C697" s="15" t="s">
        <v>228</v>
      </c>
      <c r="D697" s="15" t="s">
        <v>670</v>
      </c>
      <c r="E697" s="15" t="s">
        <v>226</v>
      </c>
      <c r="F697" s="17" t="n">
        <v>1</v>
      </c>
      <c r="G697" s="17" t="n">
        <v>3560</v>
      </c>
      <c r="H697" s="17" t="n">
        <v>18.7</v>
      </c>
      <c r="I697" s="17" t="n">
        <v>2894.28</v>
      </c>
      <c r="J697" s="15" t="s">
        <v>98</v>
      </c>
      <c r="K697" s="15" t="s">
        <v>105</v>
      </c>
    </row>
    <row r="698" customFormat="false" ht="14.25" hidden="false" customHeight="false" outlineLevel="0" collapsed="false">
      <c r="A698" s="15" t="s">
        <v>1170</v>
      </c>
      <c r="B698" s="16" t="n">
        <v>45426</v>
      </c>
      <c r="C698" s="15" t="s">
        <v>316</v>
      </c>
      <c r="D698" s="15" t="s">
        <v>162</v>
      </c>
      <c r="E698" s="15" t="s">
        <v>215</v>
      </c>
      <c r="F698" s="17" t="n">
        <v>9</v>
      </c>
      <c r="G698" s="17" t="n">
        <v>2400</v>
      </c>
      <c r="H698" s="17" t="n">
        <v>18.5</v>
      </c>
      <c r="I698" s="17" t="n">
        <v>17604</v>
      </c>
      <c r="J698" s="15" t="s">
        <v>98</v>
      </c>
      <c r="K698" s="15" t="s">
        <v>144</v>
      </c>
    </row>
    <row r="699" customFormat="false" ht="14.25" hidden="false" customHeight="false" outlineLevel="0" collapsed="false">
      <c r="A699" s="15" t="s">
        <v>1171</v>
      </c>
      <c r="B699" s="16" t="n">
        <v>45415</v>
      </c>
      <c r="C699" s="15" t="s">
        <v>364</v>
      </c>
      <c r="D699" s="15" t="s">
        <v>259</v>
      </c>
      <c r="E699" s="15" t="s">
        <v>165</v>
      </c>
      <c r="F699" s="17" t="n">
        <v>9</v>
      </c>
      <c r="G699" s="17" t="n">
        <v>3870</v>
      </c>
      <c r="H699" s="17" t="n">
        <v>6.9</v>
      </c>
      <c r="I699" s="17" t="n">
        <v>32426.73</v>
      </c>
      <c r="J699" s="15" t="s">
        <v>155</v>
      </c>
      <c r="K699" s="15" t="s">
        <v>105</v>
      </c>
    </row>
    <row r="700" customFormat="false" ht="14.25" hidden="false" customHeight="false" outlineLevel="0" collapsed="false">
      <c r="A700" s="15" t="s">
        <v>1172</v>
      </c>
      <c r="B700" s="16" t="n">
        <v>45620</v>
      </c>
      <c r="C700" s="15" t="s">
        <v>716</v>
      </c>
      <c r="D700" s="15" t="s">
        <v>113</v>
      </c>
      <c r="E700" s="15" t="s">
        <v>296</v>
      </c>
      <c r="F700" s="17" t="n">
        <v>5</v>
      </c>
      <c r="G700" s="17" t="n">
        <v>3660</v>
      </c>
      <c r="H700" s="17" t="n">
        <v>11.7</v>
      </c>
      <c r="I700" s="17" t="n">
        <v>16158.9</v>
      </c>
      <c r="J700" s="15" t="s">
        <v>98</v>
      </c>
      <c r="K700" s="15" t="s">
        <v>110</v>
      </c>
    </row>
    <row r="701" customFormat="false" ht="14.25" hidden="false" customHeight="false" outlineLevel="0" collapsed="false">
      <c r="A701" s="15" t="s">
        <v>1173</v>
      </c>
      <c r="B701" s="16" t="n">
        <v>45346</v>
      </c>
      <c r="C701" s="15" t="s">
        <v>416</v>
      </c>
      <c r="D701" s="15" t="s">
        <v>175</v>
      </c>
      <c r="E701" s="15" t="s">
        <v>181</v>
      </c>
      <c r="F701" s="17" t="n">
        <v>4</v>
      </c>
      <c r="G701" s="17" t="n">
        <v>1080</v>
      </c>
      <c r="H701" s="17" t="n">
        <v>17.5</v>
      </c>
      <c r="I701" s="17" t="n">
        <v>3564</v>
      </c>
      <c r="J701" s="15" t="s">
        <v>98</v>
      </c>
      <c r="K701" s="15" t="s">
        <v>105</v>
      </c>
    </row>
    <row r="702" customFormat="false" ht="14.25" hidden="false" customHeight="false" outlineLevel="0" collapsed="false">
      <c r="A702" s="15" t="s">
        <v>1174</v>
      </c>
      <c r="B702" s="16" t="n">
        <v>45297</v>
      </c>
      <c r="C702" s="15" t="s">
        <v>846</v>
      </c>
      <c r="D702" s="15" t="s">
        <v>472</v>
      </c>
      <c r="E702" s="15" t="s">
        <v>114</v>
      </c>
      <c r="F702" s="17" t="n">
        <v>6</v>
      </c>
      <c r="G702" s="17" t="n">
        <v>3780</v>
      </c>
      <c r="H702" s="17" t="n">
        <v>27.8</v>
      </c>
      <c r="I702" s="17" t="n">
        <v>16374.96</v>
      </c>
      <c r="J702" s="15" t="s">
        <v>98</v>
      </c>
      <c r="K702" s="15" t="s">
        <v>128</v>
      </c>
    </row>
    <row r="703" customFormat="false" ht="14.25" hidden="false" customHeight="false" outlineLevel="0" collapsed="false">
      <c r="A703" s="15" t="s">
        <v>1175</v>
      </c>
      <c r="B703" s="16" t="n">
        <v>45521</v>
      </c>
      <c r="C703" s="15" t="s">
        <v>1073</v>
      </c>
      <c r="D703" s="15" t="s">
        <v>178</v>
      </c>
      <c r="E703" s="15" t="s">
        <v>296</v>
      </c>
      <c r="F703" s="17" t="n">
        <v>8</v>
      </c>
      <c r="G703" s="17" t="n">
        <v>2480</v>
      </c>
      <c r="H703" s="17" t="n">
        <v>15.7</v>
      </c>
      <c r="I703" s="17" t="n">
        <v>16725.12</v>
      </c>
      <c r="J703" s="15" t="s">
        <v>104</v>
      </c>
      <c r="K703" s="15" t="s">
        <v>123</v>
      </c>
    </row>
    <row r="704" customFormat="false" ht="14.25" hidden="false" customHeight="false" outlineLevel="0" collapsed="false">
      <c r="A704" s="15" t="s">
        <v>1176</v>
      </c>
      <c r="B704" s="16" t="n">
        <v>45409</v>
      </c>
      <c r="C704" s="15" t="s">
        <v>401</v>
      </c>
      <c r="D704" s="15" t="s">
        <v>193</v>
      </c>
      <c r="E704" s="15" t="s">
        <v>109</v>
      </c>
      <c r="F704" s="17" t="n">
        <v>10</v>
      </c>
      <c r="G704" s="17" t="n">
        <v>1010</v>
      </c>
      <c r="H704" s="17" t="n">
        <v>0.1</v>
      </c>
      <c r="I704" s="17" t="n">
        <v>10089.9</v>
      </c>
      <c r="J704" s="15" t="s">
        <v>104</v>
      </c>
      <c r="K704" s="15" t="s">
        <v>99</v>
      </c>
    </row>
    <row r="705" customFormat="false" ht="14.25" hidden="false" customHeight="false" outlineLevel="0" collapsed="false">
      <c r="A705" s="15" t="s">
        <v>1177</v>
      </c>
      <c r="B705" s="16" t="n">
        <v>45406</v>
      </c>
      <c r="C705" s="15" t="s">
        <v>161</v>
      </c>
      <c r="D705" s="15" t="s">
        <v>108</v>
      </c>
      <c r="E705" s="15" t="s">
        <v>199</v>
      </c>
      <c r="F705" s="17" t="n">
        <v>3</v>
      </c>
      <c r="G705" s="17" t="n">
        <v>470</v>
      </c>
      <c r="H705" s="17" t="n">
        <v>1.1</v>
      </c>
      <c r="I705" s="17" t="n">
        <v>1394.49</v>
      </c>
      <c r="J705" s="15" t="s">
        <v>98</v>
      </c>
      <c r="K705" s="15" t="s">
        <v>99</v>
      </c>
    </row>
    <row r="706" customFormat="false" ht="14.25" hidden="false" customHeight="false" outlineLevel="0" collapsed="false">
      <c r="A706" s="15" t="s">
        <v>1178</v>
      </c>
      <c r="B706" s="16" t="n">
        <v>45474</v>
      </c>
      <c r="C706" s="15" t="s">
        <v>725</v>
      </c>
      <c r="D706" s="15" t="s">
        <v>142</v>
      </c>
      <c r="E706" s="15" t="s">
        <v>132</v>
      </c>
      <c r="F706" s="17" t="n">
        <v>4</v>
      </c>
      <c r="G706" s="17" t="n">
        <v>2270</v>
      </c>
      <c r="H706" s="17" t="n">
        <v>17.1</v>
      </c>
      <c r="I706" s="17" t="n">
        <v>7527.32</v>
      </c>
      <c r="J706" s="15" t="s">
        <v>98</v>
      </c>
      <c r="K706" s="15" t="s">
        <v>110</v>
      </c>
    </row>
    <row r="707" customFormat="false" ht="14.25" hidden="false" customHeight="false" outlineLevel="0" collapsed="false">
      <c r="A707" s="15" t="s">
        <v>1179</v>
      </c>
      <c r="B707" s="16" t="n">
        <v>45588</v>
      </c>
      <c r="C707" s="15" t="s">
        <v>234</v>
      </c>
      <c r="D707" s="15" t="s">
        <v>211</v>
      </c>
      <c r="E707" s="15" t="s">
        <v>143</v>
      </c>
      <c r="F707" s="17" t="n">
        <v>7</v>
      </c>
      <c r="G707" s="17" t="n">
        <v>2760</v>
      </c>
      <c r="H707" s="17" t="n">
        <v>17.1</v>
      </c>
      <c r="I707" s="17" t="n">
        <v>16016.28</v>
      </c>
      <c r="J707" s="15" t="s">
        <v>98</v>
      </c>
      <c r="K707" s="15" t="s">
        <v>110</v>
      </c>
    </row>
    <row r="708" customFormat="false" ht="14.25" hidden="false" customHeight="false" outlineLevel="0" collapsed="false">
      <c r="A708" s="15" t="s">
        <v>1180</v>
      </c>
      <c r="B708" s="16" t="n">
        <v>45530</v>
      </c>
      <c r="C708" s="15" t="s">
        <v>1058</v>
      </c>
      <c r="D708" s="15" t="s">
        <v>172</v>
      </c>
      <c r="E708" s="15" t="s">
        <v>118</v>
      </c>
      <c r="F708" s="17" t="n">
        <v>6</v>
      </c>
      <c r="G708" s="17" t="n">
        <v>3450</v>
      </c>
      <c r="H708" s="17" t="n">
        <v>6.6</v>
      </c>
      <c r="I708" s="17" t="n">
        <v>19333.8</v>
      </c>
      <c r="J708" s="15" t="s">
        <v>155</v>
      </c>
      <c r="K708" s="15" t="s">
        <v>144</v>
      </c>
    </row>
    <row r="709" customFormat="false" ht="14.25" hidden="false" customHeight="false" outlineLevel="0" collapsed="false">
      <c r="A709" s="15" t="s">
        <v>1181</v>
      </c>
      <c r="B709" s="16" t="n">
        <v>45630</v>
      </c>
      <c r="C709" s="15" t="s">
        <v>603</v>
      </c>
      <c r="D709" s="15" t="s">
        <v>113</v>
      </c>
      <c r="E709" s="15" t="s">
        <v>97</v>
      </c>
      <c r="F709" s="17" t="n">
        <v>8</v>
      </c>
      <c r="G709" s="17" t="n">
        <v>3660</v>
      </c>
      <c r="H709" s="17" t="n">
        <v>7.2</v>
      </c>
      <c r="I709" s="17" t="n">
        <v>27171.84</v>
      </c>
      <c r="J709" s="15" t="s">
        <v>98</v>
      </c>
      <c r="K709" s="15" t="s">
        <v>144</v>
      </c>
    </row>
    <row r="710" customFormat="false" ht="14.25" hidden="false" customHeight="false" outlineLevel="0" collapsed="false">
      <c r="A710" s="15" t="s">
        <v>1182</v>
      </c>
      <c r="B710" s="16" t="n">
        <v>45551</v>
      </c>
      <c r="C710" s="15" t="s">
        <v>1183</v>
      </c>
      <c r="D710" s="15" t="s">
        <v>278</v>
      </c>
      <c r="E710" s="15" t="s">
        <v>181</v>
      </c>
      <c r="F710" s="17" t="n">
        <v>4</v>
      </c>
      <c r="G710" s="17" t="n">
        <v>1220</v>
      </c>
      <c r="H710" s="17" t="n">
        <v>24.3</v>
      </c>
      <c r="I710" s="17" t="n">
        <v>3694.16</v>
      </c>
      <c r="J710" s="15" t="s">
        <v>151</v>
      </c>
      <c r="K710" s="15" t="s">
        <v>99</v>
      </c>
    </row>
    <row r="711" customFormat="false" ht="14.25" hidden="false" customHeight="false" outlineLevel="0" collapsed="false">
      <c r="A711" s="15" t="s">
        <v>1184</v>
      </c>
      <c r="B711" s="16" t="n">
        <v>45610</v>
      </c>
      <c r="C711" s="15" t="s">
        <v>894</v>
      </c>
      <c r="D711" s="15" t="s">
        <v>371</v>
      </c>
      <c r="E711" s="15" t="s">
        <v>97</v>
      </c>
      <c r="F711" s="17" t="n">
        <v>2</v>
      </c>
      <c r="G711" s="17" t="n">
        <v>5410</v>
      </c>
      <c r="H711" s="17" t="n">
        <v>0.9</v>
      </c>
      <c r="I711" s="17" t="n">
        <v>10722.62</v>
      </c>
      <c r="J711" s="15" t="s">
        <v>104</v>
      </c>
      <c r="K711" s="15" t="s">
        <v>144</v>
      </c>
    </row>
    <row r="712" customFormat="false" ht="14.25" hidden="false" customHeight="false" outlineLevel="0" collapsed="false">
      <c r="A712" s="15" t="s">
        <v>1185</v>
      </c>
      <c r="B712" s="16" t="n">
        <v>45322</v>
      </c>
      <c r="C712" s="15" t="s">
        <v>424</v>
      </c>
      <c r="D712" s="15" t="s">
        <v>306</v>
      </c>
      <c r="E712" s="15" t="s">
        <v>215</v>
      </c>
      <c r="F712" s="17" t="n">
        <v>5</v>
      </c>
      <c r="G712" s="17" t="n">
        <v>2030</v>
      </c>
      <c r="H712" s="17" t="n">
        <v>25.2</v>
      </c>
      <c r="I712" s="17" t="n">
        <v>7592.2</v>
      </c>
      <c r="J712" s="15" t="s">
        <v>98</v>
      </c>
      <c r="K712" s="15" t="s">
        <v>99</v>
      </c>
    </row>
    <row r="713" customFormat="false" ht="14.25" hidden="false" customHeight="false" outlineLevel="0" collapsed="false">
      <c r="A713" s="15" t="s">
        <v>1186</v>
      </c>
      <c r="B713" s="16" t="n">
        <v>45363</v>
      </c>
      <c r="C713" s="15" t="s">
        <v>596</v>
      </c>
      <c r="D713" s="15" t="s">
        <v>278</v>
      </c>
      <c r="E713" s="15" t="s">
        <v>336</v>
      </c>
      <c r="F713" s="17" t="n">
        <v>5</v>
      </c>
      <c r="G713" s="17" t="n">
        <v>1220</v>
      </c>
      <c r="H713" s="17" t="n">
        <v>2.6</v>
      </c>
      <c r="I713" s="17" t="n">
        <v>5941.4</v>
      </c>
      <c r="J713" s="15" t="s">
        <v>98</v>
      </c>
      <c r="K713" s="15" t="s">
        <v>105</v>
      </c>
    </row>
    <row r="714" customFormat="false" ht="14.25" hidden="false" customHeight="false" outlineLevel="0" collapsed="false">
      <c r="A714" s="15" t="s">
        <v>1187</v>
      </c>
      <c r="B714" s="16" t="n">
        <v>45600</v>
      </c>
      <c r="C714" s="15" t="s">
        <v>535</v>
      </c>
      <c r="D714" s="15" t="s">
        <v>290</v>
      </c>
      <c r="E714" s="15" t="s">
        <v>114</v>
      </c>
      <c r="F714" s="17" t="n">
        <v>4</v>
      </c>
      <c r="G714" s="17" t="n">
        <v>2660</v>
      </c>
      <c r="H714" s="17" t="n">
        <v>19.1</v>
      </c>
      <c r="I714" s="17" t="n">
        <v>8607.76</v>
      </c>
      <c r="J714" s="15" t="s">
        <v>155</v>
      </c>
      <c r="K714" s="15" t="s">
        <v>123</v>
      </c>
    </row>
    <row r="715" customFormat="false" ht="14.25" hidden="false" customHeight="false" outlineLevel="0" collapsed="false">
      <c r="A715" s="15" t="s">
        <v>1188</v>
      </c>
      <c r="B715" s="16" t="n">
        <v>45351</v>
      </c>
      <c r="C715" s="15" t="s">
        <v>621</v>
      </c>
      <c r="D715" s="15" t="s">
        <v>275</v>
      </c>
      <c r="E715" s="15" t="s">
        <v>357</v>
      </c>
      <c r="F715" s="17" t="n">
        <v>3</v>
      </c>
      <c r="G715" s="17" t="n">
        <v>4070</v>
      </c>
      <c r="H715" s="17" t="n">
        <v>25.2</v>
      </c>
      <c r="I715" s="17" t="n">
        <v>9133.08</v>
      </c>
      <c r="J715" s="15" t="s">
        <v>98</v>
      </c>
      <c r="K715" s="15" t="s">
        <v>128</v>
      </c>
    </row>
    <row r="716" customFormat="false" ht="14.25" hidden="false" customHeight="false" outlineLevel="0" collapsed="false">
      <c r="A716" s="15" t="s">
        <v>1189</v>
      </c>
      <c r="B716" s="16" t="n">
        <v>45461</v>
      </c>
      <c r="C716" s="15" t="s">
        <v>680</v>
      </c>
      <c r="D716" s="15" t="s">
        <v>391</v>
      </c>
      <c r="E716" s="15" t="s">
        <v>109</v>
      </c>
      <c r="F716" s="17" t="n">
        <v>10</v>
      </c>
      <c r="G716" s="17" t="n">
        <v>960</v>
      </c>
      <c r="H716" s="17" t="n">
        <v>0.3</v>
      </c>
      <c r="I716" s="17" t="n">
        <v>9571.2</v>
      </c>
      <c r="J716" s="15" t="s">
        <v>98</v>
      </c>
      <c r="K716" s="15" t="s">
        <v>144</v>
      </c>
    </row>
    <row r="717" customFormat="false" ht="14.25" hidden="false" customHeight="false" outlineLevel="0" collapsed="false">
      <c r="A717" s="15" t="s">
        <v>1190</v>
      </c>
      <c r="B717" s="16" t="n">
        <v>45431</v>
      </c>
      <c r="C717" s="15" t="s">
        <v>1191</v>
      </c>
      <c r="D717" s="15" t="s">
        <v>237</v>
      </c>
      <c r="E717" s="15" t="s">
        <v>240</v>
      </c>
      <c r="F717" s="17" t="n">
        <v>2</v>
      </c>
      <c r="G717" s="17" t="n">
        <v>3730</v>
      </c>
      <c r="H717" s="17" t="n">
        <v>29.9</v>
      </c>
      <c r="I717" s="17" t="n">
        <v>5229.46</v>
      </c>
      <c r="J717" s="15" t="s">
        <v>98</v>
      </c>
      <c r="K717" s="15" t="s">
        <v>105</v>
      </c>
    </row>
    <row r="718" customFormat="false" ht="14.25" hidden="false" customHeight="false" outlineLevel="0" collapsed="false">
      <c r="A718" s="15" t="s">
        <v>1192</v>
      </c>
      <c r="B718" s="16" t="n">
        <v>45592</v>
      </c>
      <c r="C718" s="15" t="s">
        <v>380</v>
      </c>
      <c r="D718" s="15" t="s">
        <v>126</v>
      </c>
      <c r="E718" s="15" t="s">
        <v>150</v>
      </c>
      <c r="F718" s="17" t="n">
        <v>9</v>
      </c>
      <c r="G718" s="17" t="n">
        <v>960</v>
      </c>
      <c r="H718" s="17" t="n">
        <v>1.9</v>
      </c>
      <c r="I718" s="17" t="n">
        <v>8475.84</v>
      </c>
      <c r="J718" s="15" t="s">
        <v>98</v>
      </c>
      <c r="K718" s="15" t="s">
        <v>105</v>
      </c>
    </row>
    <row r="719" customFormat="false" ht="14.25" hidden="false" customHeight="false" outlineLevel="0" collapsed="false">
      <c r="A719" s="15" t="s">
        <v>1193</v>
      </c>
      <c r="B719" s="16" t="n">
        <v>45454</v>
      </c>
      <c r="C719" s="15" t="s">
        <v>157</v>
      </c>
      <c r="D719" s="15" t="s">
        <v>463</v>
      </c>
      <c r="E719" s="15" t="s">
        <v>150</v>
      </c>
      <c r="F719" s="17" t="n">
        <v>2</v>
      </c>
      <c r="G719" s="17" t="n">
        <v>3450</v>
      </c>
      <c r="H719" s="17" t="n">
        <v>22.9</v>
      </c>
      <c r="I719" s="17" t="n">
        <v>5319.9</v>
      </c>
      <c r="J719" s="15" t="s">
        <v>104</v>
      </c>
      <c r="K719" s="15" t="s">
        <v>99</v>
      </c>
    </row>
    <row r="720" customFormat="false" ht="14.25" hidden="false" customHeight="false" outlineLevel="0" collapsed="false">
      <c r="A720" s="15" t="s">
        <v>1194</v>
      </c>
      <c r="B720" s="16" t="n">
        <v>45616</v>
      </c>
      <c r="C720" s="15" t="s">
        <v>852</v>
      </c>
      <c r="D720" s="15" t="s">
        <v>371</v>
      </c>
      <c r="E720" s="15" t="s">
        <v>143</v>
      </c>
      <c r="F720" s="17" t="n">
        <v>3</v>
      </c>
      <c r="G720" s="17" t="n">
        <v>5410</v>
      </c>
      <c r="H720" s="17" t="n">
        <v>15.5</v>
      </c>
      <c r="I720" s="17" t="n">
        <v>13714.35</v>
      </c>
      <c r="J720" s="15" t="s">
        <v>98</v>
      </c>
      <c r="K720" s="15" t="s">
        <v>128</v>
      </c>
    </row>
    <row r="721" customFormat="false" ht="14.25" hidden="false" customHeight="false" outlineLevel="0" collapsed="false">
      <c r="A721" s="15" t="s">
        <v>1195</v>
      </c>
      <c r="B721" s="16" t="n">
        <v>45448</v>
      </c>
      <c r="C721" s="15" t="s">
        <v>512</v>
      </c>
      <c r="D721" s="15" t="s">
        <v>190</v>
      </c>
      <c r="E721" s="15" t="s">
        <v>132</v>
      </c>
      <c r="F721" s="17" t="n">
        <v>8</v>
      </c>
      <c r="G721" s="17" t="n">
        <v>3350</v>
      </c>
      <c r="H721" s="17" t="n">
        <v>18.4</v>
      </c>
      <c r="I721" s="17" t="n">
        <v>21868.8</v>
      </c>
      <c r="J721" s="15" t="s">
        <v>98</v>
      </c>
      <c r="K721" s="15" t="s">
        <v>144</v>
      </c>
    </row>
    <row r="722" customFormat="false" ht="14.25" hidden="false" customHeight="false" outlineLevel="0" collapsed="false">
      <c r="A722" s="15" t="s">
        <v>1196</v>
      </c>
      <c r="B722" s="16" t="n">
        <v>45611</v>
      </c>
      <c r="C722" s="15" t="s">
        <v>234</v>
      </c>
      <c r="D722" s="15" t="s">
        <v>184</v>
      </c>
      <c r="E722" s="15" t="s">
        <v>118</v>
      </c>
      <c r="F722" s="17" t="n">
        <v>5</v>
      </c>
      <c r="G722" s="17" t="n">
        <v>2720</v>
      </c>
      <c r="H722" s="17" t="n">
        <v>17.3</v>
      </c>
      <c r="I722" s="17" t="n">
        <v>11247.2</v>
      </c>
      <c r="J722" s="15" t="s">
        <v>151</v>
      </c>
      <c r="K722" s="15" t="s">
        <v>110</v>
      </c>
    </row>
    <row r="723" customFormat="false" ht="14.25" hidden="false" customHeight="false" outlineLevel="0" collapsed="false">
      <c r="A723" s="15" t="s">
        <v>1197</v>
      </c>
      <c r="B723" s="16" t="n">
        <v>45403</v>
      </c>
      <c r="C723" s="15" t="s">
        <v>125</v>
      </c>
      <c r="D723" s="15" t="s">
        <v>113</v>
      </c>
      <c r="E723" s="15" t="s">
        <v>249</v>
      </c>
      <c r="F723" s="17" t="n">
        <v>8</v>
      </c>
      <c r="G723" s="17" t="n">
        <v>3660</v>
      </c>
      <c r="H723" s="17" t="n">
        <v>28.8</v>
      </c>
      <c r="I723" s="17" t="n">
        <v>20847.36</v>
      </c>
      <c r="J723" s="15" t="s">
        <v>98</v>
      </c>
      <c r="K723" s="15" t="s">
        <v>128</v>
      </c>
    </row>
    <row r="724" customFormat="false" ht="14.25" hidden="false" customHeight="false" outlineLevel="0" collapsed="false">
      <c r="A724" s="15" t="s">
        <v>1198</v>
      </c>
      <c r="B724" s="16" t="n">
        <v>45530</v>
      </c>
      <c r="C724" s="15" t="s">
        <v>593</v>
      </c>
      <c r="D724" s="15" t="s">
        <v>293</v>
      </c>
      <c r="E724" s="15" t="s">
        <v>263</v>
      </c>
      <c r="F724" s="17" t="n">
        <v>6</v>
      </c>
      <c r="G724" s="17" t="n">
        <v>300</v>
      </c>
      <c r="H724" s="17" t="n">
        <v>23.9</v>
      </c>
      <c r="I724" s="17" t="n">
        <v>1369.8</v>
      </c>
      <c r="J724" s="15" t="s">
        <v>151</v>
      </c>
      <c r="K724" s="15" t="s">
        <v>105</v>
      </c>
    </row>
    <row r="725" customFormat="false" ht="14.25" hidden="false" customHeight="false" outlineLevel="0" collapsed="false">
      <c r="A725" s="15" t="s">
        <v>1199</v>
      </c>
      <c r="B725" s="16" t="n">
        <v>45548</v>
      </c>
      <c r="C725" s="15" t="s">
        <v>255</v>
      </c>
      <c r="D725" s="15" t="s">
        <v>397</v>
      </c>
      <c r="E725" s="15" t="s">
        <v>212</v>
      </c>
      <c r="F725" s="17" t="n">
        <v>3</v>
      </c>
      <c r="G725" s="17" t="n">
        <v>2290</v>
      </c>
      <c r="H725" s="17" t="n">
        <v>2.4</v>
      </c>
      <c r="I725" s="17" t="n">
        <v>6705.12</v>
      </c>
      <c r="J725" s="15" t="s">
        <v>98</v>
      </c>
      <c r="K725" s="15" t="s">
        <v>105</v>
      </c>
    </row>
    <row r="726" customFormat="false" ht="14.25" hidden="false" customHeight="false" outlineLevel="0" collapsed="false">
      <c r="A726" s="15" t="s">
        <v>1200</v>
      </c>
      <c r="B726" s="16" t="n">
        <v>45403</v>
      </c>
      <c r="C726" s="15" t="s">
        <v>997</v>
      </c>
      <c r="D726" s="15" t="s">
        <v>195</v>
      </c>
      <c r="E726" s="15" t="s">
        <v>109</v>
      </c>
      <c r="F726" s="17" t="n">
        <v>6</v>
      </c>
      <c r="G726" s="17" t="n">
        <v>4880</v>
      </c>
      <c r="H726" s="17" t="n">
        <v>11.1</v>
      </c>
      <c r="I726" s="17" t="n">
        <v>26029.92</v>
      </c>
      <c r="J726" s="15" t="s">
        <v>104</v>
      </c>
      <c r="K726" s="15" t="s">
        <v>105</v>
      </c>
    </row>
    <row r="727" customFormat="false" ht="14.25" hidden="false" customHeight="false" outlineLevel="0" collapsed="false">
      <c r="A727" s="15" t="s">
        <v>1201</v>
      </c>
      <c r="B727" s="16" t="n">
        <v>45562</v>
      </c>
      <c r="C727" s="15" t="s">
        <v>1202</v>
      </c>
      <c r="D727" s="15" t="s">
        <v>293</v>
      </c>
      <c r="E727" s="15" t="s">
        <v>97</v>
      </c>
      <c r="F727" s="17" t="n">
        <v>5</v>
      </c>
      <c r="G727" s="17" t="n">
        <v>300</v>
      </c>
      <c r="H727" s="17" t="n">
        <v>19.4</v>
      </c>
      <c r="I727" s="17" t="n">
        <v>1209</v>
      </c>
      <c r="J727" s="15" t="s">
        <v>98</v>
      </c>
      <c r="K727" s="15" t="s">
        <v>128</v>
      </c>
    </row>
    <row r="728" customFormat="false" ht="14.25" hidden="false" customHeight="false" outlineLevel="0" collapsed="false">
      <c r="A728" s="15" t="s">
        <v>1203</v>
      </c>
      <c r="B728" s="16" t="n">
        <v>45635</v>
      </c>
      <c r="C728" s="15" t="s">
        <v>1204</v>
      </c>
      <c r="D728" s="15" t="s">
        <v>290</v>
      </c>
      <c r="E728" s="15" t="s">
        <v>181</v>
      </c>
      <c r="F728" s="17" t="n">
        <v>3</v>
      </c>
      <c r="G728" s="17" t="n">
        <v>2660</v>
      </c>
      <c r="H728" s="17" t="n">
        <v>28.5</v>
      </c>
      <c r="I728" s="17" t="n">
        <v>5705.7</v>
      </c>
      <c r="J728" s="15" t="s">
        <v>104</v>
      </c>
      <c r="K728" s="15" t="s">
        <v>144</v>
      </c>
    </row>
    <row r="729" customFormat="false" ht="14.25" hidden="false" customHeight="false" outlineLevel="0" collapsed="false">
      <c r="A729" s="15" t="s">
        <v>1205</v>
      </c>
      <c r="B729" s="16" t="n">
        <v>45434</v>
      </c>
      <c r="C729" s="15" t="s">
        <v>846</v>
      </c>
      <c r="D729" s="15" t="s">
        <v>513</v>
      </c>
      <c r="E729" s="15" t="s">
        <v>127</v>
      </c>
      <c r="F729" s="17" t="n">
        <v>7</v>
      </c>
      <c r="G729" s="17" t="n">
        <v>1090</v>
      </c>
      <c r="H729" s="17" t="n">
        <v>10.3</v>
      </c>
      <c r="I729" s="17" t="n">
        <v>6844.11</v>
      </c>
      <c r="J729" s="15" t="s">
        <v>98</v>
      </c>
      <c r="K729" s="15" t="s">
        <v>128</v>
      </c>
    </row>
    <row r="730" customFormat="false" ht="14.25" hidden="false" customHeight="false" outlineLevel="0" collapsed="false">
      <c r="A730" s="15" t="s">
        <v>1206</v>
      </c>
      <c r="B730" s="16" t="n">
        <v>45350</v>
      </c>
      <c r="C730" s="15" t="s">
        <v>498</v>
      </c>
      <c r="D730" s="15" t="s">
        <v>131</v>
      </c>
      <c r="E730" s="15" t="s">
        <v>336</v>
      </c>
      <c r="F730" s="17" t="n">
        <v>9</v>
      </c>
      <c r="G730" s="17" t="n">
        <v>1430</v>
      </c>
      <c r="H730" s="17" t="n">
        <v>12.1</v>
      </c>
      <c r="I730" s="17" t="n">
        <v>11312.73</v>
      </c>
      <c r="J730" s="15" t="s">
        <v>151</v>
      </c>
      <c r="K730" s="15" t="s">
        <v>99</v>
      </c>
    </row>
    <row r="731" customFormat="false" ht="14.25" hidden="false" customHeight="false" outlineLevel="0" collapsed="false">
      <c r="A731" s="15" t="s">
        <v>1207</v>
      </c>
      <c r="B731" s="16" t="n">
        <v>45344</v>
      </c>
      <c r="C731" s="15" t="s">
        <v>236</v>
      </c>
      <c r="D731" s="15" t="s">
        <v>146</v>
      </c>
      <c r="E731" s="15" t="s">
        <v>103</v>
      </c>
      <c r="F731" s="17" t="n">
        <v>5</v>
      </c>
      <c r="G731" s="17" t="n">
        <v>2640</v>
      </c>
      <c r="H731" s="17" t="n">
        <v>26.8</v>
      </c>
      <c r="I731" s="17" t="n">
        <v>9662.4</v>
      </c>
      <c r="J731" s="15" t="s">
        <v>98</v>
      </c>
      <c r="K731" s="15" t="s">
        <v>105</v>
      </c>
    </row>
    <row r="732" customFormat="false" ht="14.25" hidden="false" customHeight="false" outlineLevel="0" collapsed="false">
      <c r="A732" s="15" t="s">
        <v>1208</v>
      </c>
      <c r="B732" s="16" t="n">
        <v>45498</v>
      </c>
      <c r="C732" s="15" t="s">
        <v>714</v>
      </c>
      <c r="D732" s="15" t="s">
        <v>184</v>
      </c>
      <c r="E732" s="15" t="s">
        <v>226</v>
      </c>
      <c r="F732" s="17" t="n">
        <v>8</v>
      </c>
      <c r="G732" s="17" t="n">
        <v>2720</v>
      </c>
      <c r="H732" s="17" t="n">
        <v>17.5</v>
      </c>
      <c r="I732" s="17" t="n">
        <v>17952</v>
      </c>
      <c r="J732" s="15" t="s">
        <v>98</v>
      </c>
      <c r="K732" s="15" t="s">
        <v>99</v>
      </c>
    </row>
    <row r="733" customFormat="false" ht="14.25" hidden="false" customHeight="false" outlineLevel="0" collapsed="false">
      <c r="A733" s="15" t="s">
        <v>1209</v>
      </c>
      <c r="B733" s="16" t="n">
        <v>45520</v>
      </c>
      <c r="C733" s="15" t="s">
        <v>493</v>
      </c>
      <c r="D733" s="15" t="s">
        <v>248</v>
      </c>
      <c r="E733" s="15" t="s">
        <v>357</v>
      </c>
      <c r="F733" s="17" t="n">
        <v>9</v>
      </c>
      <c r="G733" s="17" t="n">
        <v>3640</v>
      </c>
      <c r="H733" s="17" t="n">
        <v>3.6</v>
      </c>
      <c r="I733" s="17" t="n">
        <v>31580.64</v>
      </c>
      <c r="J733" s="15" t="s">
        <v>98</v>
      </c>
      <c r="K733" s="15" t="s">
        <v>144</v>
      </c>
    </row>
    <row r="734" customFormat="false" ht="14.25" hidden="false" customHeight="false" outlineLevel="0" collapsed="false">
      <c r="A734" s="15" t="s">
        <v>1210</v>
      </c>
      <c r="B734" s="16" t="n">
        <v>45554</v>
      </c>
      <c r="C734" s="15" t="s">
        <v>1211</v>
      </c>
      <c r="D734" s="15" t="s">
        <v>252</v>
      </c>
      <c r="E734" s="15" t="s">
        <v>169</v>
      </c>
      <c r="F734" s="17" t="n">
        <v>7</v>
      </c>
      <c r="G734" s="17" t="n">
        <v>6080</v>
      </c>
      <c r="H734" s="17" t="n">
        <v>23.6</v>
      </c>
      <c r="I734" s="17" t="n">
        <v>32515.84</v>
      </c>
      <c r="J734" s="15" t="s">
        <v>98</v>
      </c>
      <c r="K734" s="15" t="s">
        <v>123</v>
      </c>
    </row>
    <row r="735" customFormat="false" ht="14.25" hidden="false" customHeight="false" outlineLevel="0" collapsed="false">
      <c r="A735" s="15" t="s">
        <v>1212</v>
      </c>
      <c r="B735" s="16" t="n">
        <v>45584</v>
      </c>
      <c r="C735" s="15" t="s">
        <v>673</v>
      </c>
      <c r="D735" s="15" t="s">
        <v>375</v>
      </c>
      <c r="E735" s="15" t="s">
        <v>199</v>
      </c>
      <c r="F735" s="17" t="n">
        <v>7</v>
      </c>
      <c r="G735" s="17" t="n">
        <v>5330</v>
      </c>
      <c r="H735" s="17" t="n">
        <v>19.7</v>
      </c>
      <c r="I735" s="17" t="n">
        <v>29959.93</v>
      </c>
      <c r="J735" s="15" t="s">
        <v>151</v>
      </c>
      <c r="K735" s="15" t="s">
        <v>105</v>
      </c>
    </row>
    <row r="736" customFormat="false" ht="14.25" hidden="false" customHeight="false" outlineLevel="0" collapsed="false">
      <c r="A736" s="15" t="s">
        <v>1213</v>
      </c>
      <c r="B736" s="16" t="n">
        <v>45593</v>
      </c>
      <c r="C736" s="15" t="s">
        <v>523</v>
      </c>
      <c r="D736" s="15" t="s">
        <v>281</v>
      </c>
      <c r="E736" s="15" t="s">
        <v>127</v>
      </c>
      <c r="F736" s="17" t="n">
        <v>5</v>
      </c>
      <c r="G736" s="17" t="n">
        <v>4610</v>
      </c>
      <c r="H736" s="17" t="n">
        <v>3.6</v>
      </c>
      <c r="I736" s="17" t="n">
        <v>22220.2</v>
      </c>
      <c r="J736" s="15" t="s">
        <v>98</v>
      </c>
      <c r="K736" s="15" t="s">
        <v>144</v>
      </c>
    </row>
    <row r="737" customFormat="false" ht="14.25" hidden="false" customHeight="false" outlineLevel="0" collapsed="false">
      <c r="A737" s="15" t="s">
        <v>1214</v>
      </c>
      <c r="B737" s="16" t="n">
        <v>45302</v>
      </c>
      <c r="C737" s="15" t="s">
        <v>818</v>
      </c>
      <c r="D737" s="15" t="s">
        <v>375</v>
      </c>
      <c r="E737" s="15" t="s">
        <v>181</v>
      </c>
      <c r="F737" s="17" t="n">
        <v>9</v>
      </c>
      <c r="G737" s="17" t="n">
        <v>5330</v>
      </c>
      <c r="H737" s="17" t="n">
        <v>22.9</v>
      </c>
      <c r="I737" s="17" t="n">
        <v>36984.87</v>
      </c>
      <c r="J737" s="15" t="s">
        <v>98</v>
      </c>
      <c r="K737" s="15" t="s">
        <v>99</v>
      </c>
    </row>
    <row r="738" customFormat="false" ht="14.25" hidden="false" customHeight="false" outlineLevel="0" collapsed="false">
      <c r="A738" s="15" t="s">
        <v>1215</v>
      </c>
      <c r="B738" s="16" t="n">
        <v>45440</v>
      </c>
      <c r="C738" s="15" t="s">
        <v>496</v>
      </c>
      <c r="D738" s="15" t="s">
        <v>252</v>
      </c>
      <c r="E738" s="15" t="s">
        <v>314</v>
      </c>
      <c r="F738" s="17" t="n">
        <v>5</v>
      </c>
      <c r="G738" s="17" t="n">
        <v>6080</v>
      </c>
      <c r="H738" s="17" t="n">
        <v>6</v>
      </c>
      <c r="I738" s="17" t="n">
        <v>28576</v>
      </c>
      <c r="J738" s="15" t="s">
        <v>155</v>
      </c>
      <c r="K738" s="15" t="s">
        <v>99</v>
      </c>
    </row>
    <row r="739" customFormat="false" ht="14.25" hidden="false" customHeight="false" outlineLevel="0" collapsed="false">
      <c r="A739" s="15" t="s">
        <v>1216</v>
      </c>
      <c r="B739" s="16" t="n">
        <v>45299</v>
      </c>
      <c r="C739" s="15" t="s">
        <v>723</v>
      </c>
      <c r="D739" s="15" t="s">
        <v>248</v>
      </c>
      <c r="E739" s="15" t="s">
        <v>249</v>
      </c>
      <c r="F739" s="17" t="n">
        <v>7</v>
      </c>
      <c r="G739" s="17" t="n">
        <v>3640</v>
      </c>
      <c r="H739" s="17" t="n">
        <v>5.5</v>
      </c>
      <c r="I739" s="17" t="n">
        <v>24078.6</v>
      </c>
      <c r="J739" s="15" t="s">
        <v>98</v>
      </c>
      <c r="K739" s="15" t="s">
        <v>123</v>
      </c>
    </row>
    <row r="740" customFormat="false" ht="14.25" hidden="false" customHeight="false" outlineLevel="0" collapsed="false">
      <c r="A740" s="15" t="s">
        <v>1217</v>
      </c>
      <c r="B740" s="16" t="n">
        <v>45336</v>
      </c>
      <c r="C740" s="15" t="s">
        <v>483</v>
      </c>
      <c r="D740" s="15" t="s">
        <v>290</v>
      </c>
      <c r="E740" s="15" t="s">
        <v>263</v>
      </c>
      <c r="F740" s="17" t="n">
        <v>1</v>
      </c>
      <c r="G740" s="17" t="n">
        <v>2660</v>
      </c>
      <c r="H740" s="17" t="n">
        <v>6.1</v>
      </c>
      <c r="I740" s="17" t="n">
        <v>2497.74</v>
      </c>
      <c r="J740" s="15" t="s">
        <v>151</v>
      </c>
      <c r="K740" s="15" t="s">
        <v>105</v>
      </c>
    </row>
    <row r="741" customFormat="false" ht="14.25" hidden="false" customHeight="false" outlineLevel="0" collapsed="false">
      <c r="A741" s="15" t="s">
        <v>1218</v>
      </c>
      <c r="B741" s="16" t="n">
        <v>45300</v>
      </c>
      <c r="C741" s="15" t="s">
        <v>244</v>
      </c>
      <c r="D741" s="15" t="s">
        <v>190</v>
      </c>
      <c r="E741" s="15" t="s">
        <v>199</v>
      </c>
      <c r="F741" s="17" t="n">
        <v>8</v>
      </c>
      <c r="G741" s="17" t="n">
        <v>3350</v>
      </c>
      <c r="H741" s="17" t="n">
        <v>19.5</v>
      </c>
      <c r="I741" s="17" t="n">
        <v>21574</v>
      </c>
      <c r="J741" s="15" t="s">
        <v>98</v>
      </c>
      <c r="K741" s="15" t="s">
        <v>99</v>
      </c>
    </row>
    <row r="742" customFormat="false" ht="14.25" hidden="false" customHeight="false" outlineLevel="0" collapsed="false">
      <c r="A742" s="15" t="s">
        <v>1219</v>
      </c>
      <c r="B742" s="16" t="n">
        <v>45648</v>
      </c>
      <c r="C742" s="15" t="s">
        <v>95</v>
      </c>
      <c r="D742" s="15" t="s">
        <v>281</v>
      </c>
      <c r="E742" s="15" t="s">
        <v>132</v>
      </c>
      <c r="F742" s="17" t="n">
        <v>4</v>
      </c>
      <c r="G742" s="17" t="n">
        <v>4610</v>
      </c>
      <c r="H742" s="17" t="n">
        <v>24</v>
      </c>
      <c r="I742" s="17" t="n">
        <v>14014.4</v>
      </c>
      <c r="J742" s="15" t="s">
        <v>98</v>
      </c>
      <c r="K742" s="15" t="s">
        <v>99</v>
      </c>
    </row>
    <row r="743" customFormat="false" ht="14.25" hidden="false" customHeight="false" outlineLevel="0" collapsed="false">
      <c r="A743" s="15" t="s">
        <v>1220</v>
      </c>
      <c r="B743" s="16" t="n">
        <v>45293</v>
      </c>
      <c r="C743" s="15" t="s">
        <v>591</v>
      </c>
      <c r="D743" s="15" t="s">
        <v>206</v>
      </c>
      <c r="E743" s="15" t="s">
        <v>109</v>
      </c>
      <c r="F743" s="17" t="n">
        <v>7</v>
      </c>
      <c r="G743" s="17" t="n">
        <v>2860</v>
      </c>
      <c r="H743" s="17" t="n">
        <v>23.2</v>
      </c>
      <c r="I743" s="17" t="n">
        <v>15375.36</v>
      </c>
      <c r="J743" s="15" t="s">
        <v>98</v>
      </c>
      <c r="K743" s="15" t="s">
        <v>99</v>
      </c>
    </row>
    <row r="744" customFormat="false" ht="14.25" hidden="false" customHeight="false" outlineLevel="0" collapsed="false">
      <c r="A744" s="15" t="s">
        <v>1221</v>
      </c>
      <c r="B744" s="16" t="n">
        <v>45644</v>
      </c>
      <c r="C744" s="15" t="s">
        <v>818</v>
      </c>
      <c r="D744" s="15" t="s">
        <v>190</v>
      </c>
      <c r="E744" s="15" t="s">
        <v>263</v>
      </c>
      <c r="F744" s="17" t="n">
        <v>7</v>
      </c>
      <c r="G744" s="17" t="n">
        <v>3350</v>
      </c>
      <c r="H744" s="17" t="n">
        <v>10.6</v>
      </c>
      <c r="I744" s="17" t="n">
        <v>20964.3</v>
      </c>
      <c r="J744" s="15" t="s">
        <v>104</v>
      </c>
      <c r="K744" s="15" t="s">
        <v>99</v>
      </c>
    </row>
    <row r="745" customFormat="false" ht="14.25" hidden="false" customHeight="false" outlineLevel="0" collapsed="false">
      <c r="A745" s="15" t="s">
        <v>1222</v>
      </c>
      <c r="B745" s="16" t="n">
        <v>45589</v>
      </c>
      <c r="C745" s="15" t="s">
        <v>339</v>
      </c>
      <c r="D745" s="15" t="s">
        <v>349</v>
      </c>
      <c r="E745" s="15" t="s">
        <v>139</v>
      </c>
      <c r="F745" s="17" t="n">
        <v>5</v>
      </c>
      <c r="G745" s="17" t="n">
        <v>2210</v>
      </c>
      <c r="H745" s="17" t="n">
        <v>12.1</v>
      </c>
      <c r="I745" s="17" t="n">
        <v>9712.95</v>
      </c>
      <c r="J745" s="15" t="s">
        <v>98</v>
      </c>
      <c r="K745" s="15" t="s">
        <v>105</v>
      </c>
    </row>
    <row r="746" customFormat="false" ht="14.25" hidden="false" customHeight="false" outlineLevel="0" collapsed="false">
      <c r="A746" s="15" t="s">
        <v>1223</v>
      </c>
      <c r="B746" s="16" t="n">
        <v>45329</v>
      </c>
      <c r="C746" s="15" t="s">
        <v>471</v>
      </c>
      <c r="D746" s="15" t="s">
        <v>168</v>
      </c>
      <c r="E746" s="15" t="s">
        <v>263</v>
      </c>
      <c r="F746" s="17" t="n">
        <v>1</v>
      </c>
      <c r="G746" s="17" t="n">
        <v>3450</v>
      </c>
      <c r="H746" s="17" t="n">
        <v>19.1</v>
      </c>
      <c r="I746" s="17" t="n">
        <v>2791.05</v>
      </c>
      <c r="J746" s="15" t="s">
        <v>104</v>
      </c>
      <c r="K746" s="15" t="s">
        <v>99</v>
      </c>
    </row>
    <row r="747" customFormat="false" ht="14.25" hidden="false" customHeight="false" outlineLevel="0" collapsed="false">
      <c r="A747" s="15" t="s">
        <v>1224</v>
      </c>
      <c r="B747" s="16" t="n">
        <v>45587</v>
      </c>
      <c r="C747" s="15" t="s">
        <v>550</v>
      </c>
      <c r="D747" s="15" t="s">
        <v>202</v>
      </c>
      <c r="E747" s="15" t="s">
        <v>139</v>
      </c>
      <c r="F747" s="17" t="n">
        <v>5</v>
      </c>
      <c r="G747" s="17" t="n">
        <v>5100</v>
      </c>
      <c r="H747" s="17" t="n">
        <v>2.8</v>
      </c>
      <c r="I747" s="17" t="n">
        <v>24786</v>
      </c>
      <c r="J747" s="15" t="s">
        <v>98</v>
      </c>
      <c r="K747" s="15" t="s">
        <v>144</v>
      </c>
    </row>
    <row r="748" customFormat="false" ht="14.25" hidden="false" customHeight="false" outlineLevel="0" collapsed="false">
      <c r="A748" s="15" t="s">
        <v>1225</v>
      </c>
      <c r="B748" s="16" t="n">
        <v>45423</v>
      </c>
      <c r="C748" s="15" t="s">
        <v>310</v>
      </c>
      <c r="D748" s="15" t="s">
        <v>202</v>
      </c>
      <c r="E748" s="15" t="s">
        <v>159</v>
      </c>
      <c r="F748" s="17" t="n">
        <v>9</v>
      </c>
      <c r="G748" s="17" t="n">
        <v>5100</v>
      </c>
      <c r="H748" s="17" t="n">
        <v>24.4</v>
      </c>
      <c r="I748" s="17" t="n">
        <v>34700.4</v>
      </c>
      <c r="J748" s="15" t="s">
        <v>98</v>
      </c>
      <c r="K748" s="15" t="s">
        <v>144</v>
      </c>
    </row>
    <row r="749" customFormat="false" ht="14.25" hidden="false" customHeight="false" outlineLevel="0" collapsed="false">
      <c r="A749" s="15" t="s">
        <v>1226</v>
      </c>
      <c r="B749" s="16" t="n">
        <v>45568</v>
      </c>
      <c r="C749" s="15" t="s">
        <v>312</v>
      </c>
      <c r="D749" s="15" t="s">
        <v>214</v>
      </c>
      <c r="E749" s="15" t="s">
        <v>114</v>
      </c>
      <c r="F749" s="17" t="n">
        <v>9</v>
      </c>
      <c r="G749" s="17" t="n">
        <v>660</v>
      </c>
      <c r="H749" s="17" t="n">
        <v>19.8</v>
      </c>
      <c r="I749" s="17" t="n">
        <v>4763.88</v>
      </c>
      <c r="J749" s="15" t="s">
        <v>98</v>
      </c>
      <c r="K749" s="15" t="s">
        <v>105</v>
      </c>
    </row>
    <row r="750" customFormat="false" ht="14.25" hidden="false" customHeight="false" outlineLevel="0" collapsed="false">
      <c r="A750" s="15" t="s">
        <v>1227</v>
      </c>
      <c r="B750" s="16" t="n">
        <v>45549</v>
      </c>
      <c r="C750" s="15" t="s">
        <v>1228</v>
      </c>
      <c r="D750" s="15" t="s">
        <v>275</v>
      </c>
      <c r="E750" s="15" t="s">
        <v>114</v>
      </c>
      <c r="F750" s="17" t="n">
        <v>3</v>
      </c>
      <c r="G750" s="17" t="n">
        <v>4070</v>
      </c>
      <c r="H750" s="17" t="n">
        <v>27.1</v>
      </c>
      <c r="I750" s="17" t="n">
        <v>8901.09</v>
      </c>
      <c r="J750" s="15" t="s">
        <v>98</v>
      </c>
      <c r="K750" s="15" t="s">
        <v>123</v>
      </c>
    </row>
    <row r="751" customFormat="false" ht="14.25" hidden="false" customHeight="false" outlineLevel="0" collapsed="false">
      <c r="A751" s="15" t="s">
        <v>1229</v>
      </c>
      <c r="B751" s="16" t="n">
        <v>45504</v>
      </c>
      <c r="C751" s="15" t="s">
        <v>361</v>
      </c>
      <c r="D751" s="15" t="s">
        <v>366</v>
      </c>
      <c r="E751" s="15" t="s">
        <v>97</v>
      </c>
      <c r="F751" s="17" t="n">
        <v>2</v>
      </c>
      <c r="G751" s="17" t="n">
        <v>2510</v>
      </c>
      <c r="H751" s="17" t="n">
        <v>29.1</v>
      </c>
      <c r="I751" s="17" t="n">
        <v>3559.18</v>
      </c>
      <c r="J751" s="15" t="s">
        <v>98</v>
      </c>
      <c r="K751" s="15" t="s">
        <v>123</v>
      </c>
    </row>
    <row r="752" customFormat="false" ht="14.25" hidden="false" customHeight="false" outlineLevel="0" collapsed="false">
      <c r="A752" s="15" t="s">
        <v>1230</v>
      </c>
      <c r="B752" s="16" t="n">
        <v>45449</v>
      </c>
      <c r="C752" s="15" t="s">
        <v>244</v>
      </c>
      <c r="D752" s="15" t="s">
        <v>154</v>
      </c>
      <c r="E752" s="15" t="s">
        <v>181</v>
      </c>
      <c r="F752" s="17" t="n">
        <v>4</v>
      </c>
      <c r="G752" s="17" t="n">
        <v>3250</v>
      </c>
      <c r="H752" s="17" t="n">
        <v>21.1</v>
      </c>
      <c r="I752" s="17" t="n">
        <v>10257</v>
      </c>
      <c r="J752" s="15" t="s">
        <v>98</v>
      </c>
      <c r="K752" s="15" t="s">
        <v>99</v>
      </c>
    </row>
    <row r="753" customFormat="false" ht="14.25" hidden="false" customHeight="false" outlineLevel="0" collapsed="false">
      <c r="A753" s="15" t="s">
        <v>1231</v>
      </c>
      <c r="B753" s="16" t="n">
        <v>45600</v>
      </c>
      <c r="C753" s="15" t="s">
        <v>610</v>
      </c>
      <c r="D753" s="15" t="s">
        <v>121</v>
      </c>
      <c r="E753" s="15" t="s">
        <v>103</v>
      </c>
      <c r="F753" s="17" t="n">
        <v>3</v>
      </c>
      <c r="G753" s="17" t="n">
        <v>370</v>
      </c>
      <c r="H753" s="17" t="n">
        <v>7.7</v>
      </c>
      <c r="I753" s="17" t="n">
        <v>1024.53</v>
      </c>
      <c r="J753" s="15" t="s">
        <v>98</v>
      </c>
      <c r="K753" s="15" t="s">
        <v>128</v>
      </c>
    </row>
    <row r="754" customFormat="false" ht="14.25" hidden="false" customHeight="false" outlineLevel="0" collapsed="false">
      <c r="A754" s="15" t="s">
        <v>1232</v>
      </c>
      <c r="B754" s="16" t="n">
        <v>45479</v>
      </c>
      <c r="C754" s="15" t="s">
        <v>988</v>
      </c>
      <c r="D754" s="15" t="s">
        <v>102</v>
      </c>
      <c r="E754" s="15" t="s">
        <v>114</v>
      </c>
      <c r="F754" s="17" t="n">
        <v>10</v>
      </c>
      <c r="G754" s="17" t="n">
        <v>820</v>
      </c>
      <c r="H754" s="17" t="n">
        <v>3.5</v>
      </c>
      <c r="I754" s="17" t="n">
        <v>7913</v>
      </c>
      <c r="J754" s="15" t="s">
        <v>98</v>
      </c>
      <c r="K754" s="15" t="s">
        <v>99</v>
      </c>
    </row>
    <row r="755" customFormat="false" ht="14.25" hidden="false" customHeight="false" outlineLevel="0" collapsed="false">
      <c r="A755" s="15" t="s">
        <v>1233</v>
      </c>
      <c r="B755" s="16" t="n">
        <v>45531</v>
      </c>
      <c r="C755" s="15" t="s">
        <v>440</v>
      </c>
      <c r="D755" s="15" t="s">
        <v>275</v>
      </c>
      <c r="E755" s="15" t="s">
        <v>240</v>
      </c>
      <c r="F755" s="17" t="n">
        <v>4</v>
      </c>
      <c r="G755" s="17" t="n">
        <v>4070</v>
      </c>
      <c r="H755" s="17" t="n">
        <v>23.8</v>
      </c>
      <c r="I755" s="17" t="n">
        <v>12405.36</v>
      </c>
      <c r="J755" s="15" t="s">
        <v>98</v>
      </c>
      <c r="K755" s="15" t="s">
        <v>128</v>
      </c>
    </row>
    <row r="756" customFormat="false" ht="14.25" hidden="false" customHeight="false" outlineLevel="0" collapsed="false">
      <c r="A756" s="15" t="s">
        <v>1234</v>
      </c>
      <c r="B756" s="16" t="n">
        <v>45356</v>
      </c>
      <c r="C756" s="15" t="s">
        <v>770</v>
      </c>
      <c r="D756" s="15" t="s">
        <v>378</v>
      </c>
      <c r="E756" s="15" t="s">
        <v>284</v>
      </c>
      <c r="F756" s="17" t="n">
        <v>1</v>
      </c>
      <c r="G756" s="17" t="n">
        <v>2380</v>
      </c>
      <c r="H756" s="17" t="n">
        <v>19.6</v>
      </c>
      <c r="I756" s="17" t="n">
        <v>1913.52</v>
      </c>
      <c r="J756" s="15" t="s">
        <v>151</v>
      </c>
      <c r="K756" s="15" t="s">
        <v>128</v>
      </c>
    </row>
    <row r="757" customFormat="false" ht="14.25" hidden="false" customHeight="false" outlineLevel="0" collapsed="false">
      <c r="A757" s="15" t="s">
        <v>1235</v>
      </c>
      <c r="B757" s="16" t="n">
        <v>45553</v>
      </c>
      <c r="C757" s="15" t="s">
        <v>959</v>
      </c>
      <c r="D757" s="15" t="s">
        <v>135</v>
      </c>
      <c r="E757" s="15" t="s">
        <v>181</v>
      </c>
      <c r="F757" s="17" t="n">
        <v>3</v>
      </c>
      <c r="G757" s="17" t="n">
        <v>5490</v>
      </c>
      <c r="H757" s="17" t="n">
        <v>2.5</v>
      </c>
      <c r="I757" s="17" t="n">
        <v>16058.25</v>
      </c>
      <c r="J757" s="15" t="s">
        <v>98</v>
      </c>
      <c r="K757" s="15" t="s">
        <v>99</v>
      </c>
    </row>
    <row r="758" customFormat="false" ht="14.25" hidden="false" customHeight="false" outlineLevel="0" collapsed="false">
      <c r="A758" s="15" t="s">
        <v>1236</v>
      </c>
      <c r="B758" s="16" t="n">
        <v>45492</v>
      </c>
      <c r="C758" s="15" t="s">
        <v>347</v>
      </c>
      <c r="D758" s="15" t="s">
        <v>248</v>
      </c>
      <c r="E758" s="15" t="s">
        <v>354</v>
      </c>
      <c r="F758" s="17" t="n">
        <v>3</v>
      </c>
      <c r="G758" s="17" t="n">
        <v>3640</v>
      </c>
      <c r="H758" s="17" t="n">
        <v>23.3</v>
      </c>
      <c r="I758" s="17" t="n">
        <v>8375.64</v>
      </c>
      <c r="J758" s="15" t="s">
        <v>98</v>
      </c>
      <c r="K758" s="15" t="s">
        <v>123</v>
      </c>
    </row>
    <row r="759" customFormat="false" ht="14.25" hidden="false" customHeight="false" outlineLevel="0" collapsed="false">
      <c r="A759" s="15" t="s">
        <v>1237</v>
      </c>
      <c r="B759" s="16" t="n">
        <v>45388</v>
      </c>
      <c r="C759" s="15" t="s">
        <v>416</v>
      </c>
      <c r="D759" s="15" t="s">
        <v>281</v>
      </c>
      <c r="E759" s="15" t="s">
        <v>314</v>
      </c>
      <c r="F759" s="17" t="n">
        <v>2</v>
      </c>
      <c r="G759" s="17" t="n">
        <v>4610</v>
      </c>
      <c r="H759" s="17" t="n">
        <v>5</v>
      </c>
      <c r="I759" s="17" t="n">
        <v>8759</v>
      </c>
      <c r="J759" s="15" t="s">
        <v>104</v>
      </c>
      <c r="K759" s="15" t="s">
        <v>105</v>
      </c>
    </row>
    <row r="760" customFormat="false" ht="14.25" hidden="false" customHeight="false" outlineLevel="0" collapsed="false">
      <c r="A760" s="15" t="s">
        <v>1238</v>
      </c>
      <c r="B760" s="16" t="n">
        <v>45369</v>
      </c>
      <c r="C760" s="15" t="s">
        <v>518</v>
      </c>
      <c r="D760" s="15" t="s">
        <v>162</v>
      </c>
      <c r="E760" s="15" t="s">
        <v>226</v>
      </c>
      <c r="F760" s="17" t="n">
        <v>8</v>
      </c>
      <c r="G760" s="17" t="n">
        <v>2400</v>
      </c>
      <c r="H760" s="17" t="n">
        <v>10</v>
      </c>
      <c r="I760" s="17" t="n">
        <v>17280</v>
      </c>
      <c r="J760" s="15" t="s">
        <v>104</v>
      </c>
      <c r="K760" s="15" t="s">
        <v>99</v>
      </c>
    </row>
    <row r="761" customFormat="false" ht="14.25" hidden="false" customHeight="false" outlineLevel="0" collapsed="false">
      <c r="A761" s="15" t="s">
        <v>1239</v>
      </c>
      <c r="B761" s="16" t="n">
        <v>45597</v>
      </c>
      <c r="C761" s="15" t="s">
        <v>408</v>
      </c>
      <c r="D761" s="15" t="s">
        <v>190</v>
      </c>
      <c r="E761" s="15" t="s">
        <v>308</v>
      </c>
      <c r="F761" s="17" t="n">
        <v>7</v>
      </c>
      <c r="G761" s="17" t="n">
        <v>3350</v>
      </c>
      <c r="H761" s="17" t="n">
        <v>23.7</v>
      </c>
      <c r="I761" s="17" t="n">
        <v>17892.35</v>
      </c>
      <c r="J761" s="15" t="s">
        <v>98</v>
      </c>
      <c r="K761" s="15" t="s">
        <v>110</v>
      </c>
    </row>
    <row r="762" customFormat="false" ht="14.25" hidden="false" customHeight="false" outlineLevel="0" collapsed="false">
      <c r="A762" s="15" t="s">
        <v>1240</v>
      </c>
      <c r="B762" s="16" t="n">
        <v>45611</v>
      </c>
      <c r="C762" s="15" t="s">
        <v>666</v>
      </c>
      <c r="D762" s="15" t="s">
        <v>248</v>
      </c>
      <c r="E762" s="15" t="s">
        <v>336</v>
      </c>
      <c r="F762" s="17" t="n">
        <v>4</v>
      </c>
      <c r="G762" s="17" t="n">
        <v>3640</v>
      </c>
      <c r="H762" s="17" t="n">
        <v>9.3</v>
      </c>
      <c r="I762" s="17" t="n">
        <v>13205.92</v>
      </c>
      <c r="J762" s="15" t="s">
        <v>151</v>
      </c>
      <c r="K762" s="15" t="s">
        <v>144</v>
      </c>
    </row>
    <row r="763" customFormat="false" ht="14.25" hidden="false" customHeight="false" outlineLevel="0" collapsed="false">
      <c r="A763" s="15" t="s">
        <v>1241</v>
      </c>
      <c r="B763" s="16" t="n">
        <v>45579</v>
      </c>
      <c r="C763" s="15" t="s">
        <v>1242</v>
      </c>
      <c r="D763" s="15" t="s">
        <v>248</v>
      </c>
      <c r="E763" s="15" t="s">
        <v>139</v>
      </c>
      <c r="F763" s="17" t="n">
        <v>9</v>
      </c>
      <c r="G763" s="17" t="n">
        <v>3640</v>
      </c>
      <c r="H763" s="17" t="n">
        <v>13.1</v>
      </c>
      <c r="I763" s="17" t="n">
        <v>28468.44</v>
      </c>
      <c r="J763" s="15" t="s">
        <v>104</v>
      </c>
      <c r="K763" s="15" t="s">
        <v>99</v>
      </c>
    </row>
    <row r="764" customFormat="false" ht="14.25" hidden="false" customHeight="false" outlineLevel="0" collapsed="false">
      <c r="A764" s="15" t="s">
        <v>1243</v>
      </c>
      <c r="B764" s="16" t="n">
        <v>45634</v>
      </c>
      <c r="C764" s="15" t="s">
        <v>183</v>
      </c>
      <c r="D764" s="15" t="s">
        <v>306</v>
      </c>
      <c r="E764" s="15" t="s">
        <v>109</v>
      </c>
      <c r="F764" s="17" t="n">
        <v>2</v>
      </c>
      <c r="G764" s="17" t="n">
        <v>2030</v>
      </c>
      <c r="H764" s="17" t="n">
        <v>12.2</v>
      </c>
      <c r="I764" s="17" t="n">
        <v>3564.68</v>
      </c>
      <c r="J764" s="15" t="s">
        <v>98</v>
      </c>
      <c r="K764" s="15" t="s">
        <v>99</v>
      </c>
    </row>
    <row r="765" customFormat="false" ht="14.25" hidden="false" customHeight="false" outlineLevel="0" collapsed="false">
      <c r="A765" s="15" t="s">
        <v>1244</v>
      </c>
      <c r="B765" s="16" t="n">
        <v>45471</v>
      </c>
      <c r="C765" s="15" t="s">
        <v>1245</v>
      </c>
      <c r="D765" s="15" t="s">
        <v>117</v>
      </c>
      <c r="E765" s="15" t="s">
        <v>308</v>
      </c>
      <c r="F765" s="17" t="n">
        <v>4</v>
      </c>
      <c r="G765" s="17" t="n">
        <v>3160</v>
      </c>
      <c r="H765" s="17" t="n">
        <v>7.5</v>
      </c>
      <c r="I765" s="17" t="n">
        <v>11692</v>
      </c>
      <c r="J765" s="15" t="s">
        <v>98</v>
      </c>
      <c r="K765" s="15" t="s">
        <v>123</v>
      </c>
    </row>
    <row r="766" customFormat="false" ht="14.25" hidden="false" customHeight="false" outlineLevel="0" collapsed="false">
      <c r="A766" s="15" t="s">
        <v>1246</v>
      </c>
      <c r="B766" s="16" t="n">
        <v>45327</v>
      </c>
      <c r="C766" s="15" t="s">
        <v>775</v>
      </c>
      <c r="D766" s="15" t="s">
        <v>275</v>
      </c>
      <c r="E766" s="15" t="s">
        <v>240</v>
      </c>
      <c r="F766" s="17" t="n">
        <v>10</v>
      </c>
      <c r="G766" s="17" t="n">
        <v>4070</v>
      </c>
      <c r="H766" s="17" t="n">
        <v>8.3</v>
      </c>
      <c r="I766" s="17" t="n">
        <v>37321.9</v>
      </c>
      <c r="J766" s="15" t="s">
        <v>98</v>
      </c>
      <c r="K766" s="15" t="s">
        <v>105</v>
      </c>
    </row>
    <row r="767" customFormat="false" ht="14.25" hidden="false" customHeight="false" outlineLevel="0" collapsed="false">
      <c r="A767" s="15" t="s">
        <v>1247</v>
      </c>
      <c r="B767" s="16" t="n">
        <v>45343</v>
      </c>
      <c r="C767" s="15" t="s">
        <v>637</v>
      </c>
      <c r="D767" s="15" t="s">
        <v>362</v>
      </c>
      <c r="E767" s="15" t="s">
        <v>127</v>
      </c>
      <c r="F767" s="17" t="n">
        <v>8</v>
      </c>
      <c r="G767" s="17" t="n">
        <v>4060</v>
      </c>
      <c r="H767" s="17" t="n">
        <v>8.5</v>
      </c>
      <c r="I767" s="17" t="n">
        <v>29719.2</v>
      </c>
      <c r="J767" s="15" t="s">
        <v>98</v>
      </c>
      <c r="K767" s="15" t="s">
        <v>110</v>
      </c>
    </row>
    <row r="768" customFormat="false" ht="14.25" hidden="false" customHeight="false" outlineLevel="0" collapsed="false">
      <c r="A768" s="15" t="s">
        <v>1248</v>
      </c>
      <c r="B768" s="16" t="n">
        <v>45334</v>
      </c>
      <c r="C768" s="15" t="s">
        <v>740</v>
      </c>
      <c r="D768" s="15" t="s">
        <v>126</v>
      </c>
      <c r="E768" s="15" t="s">
        <v>314</v>
      </c>
      <c r="F768" s="17" t="n">
        <v>8</v>
      </c>
      <c r="G768" s="17" t="n">
        <v>960</v>
      </c>
      <c r="H768" s="17" t="n">
        <v>8.7</v>
      </c>
      <c r="I768" s="17" t="n">
        <v>7011.84</v>
      </c>
      <c r="J768" s="15" t="s">
        <v>98</v>
      </c>
      <c r="K768" s="15" t="s">
        <v>123</v>
      </c>
    </row>
    <row r="769" customFormat="false" ht="14.25" hidden="false" customHeight="false" outlineLevel="0" collapsed="false">
      <c r="A769" s="15" t="s">
        <v>1249</v>
      </c>
      <c r="B769" s="16" t="n">
        <v>45306</v>
      </c>
      <c r="C769" s="15" t="s">
        <v>687</v>
      </c>
      <c r="D769" s="15" t="s">
        <v>256</v>
      </c>
      <c r="E769" s="15" t="s">
        <v>354</v>
      </c>
      <c r="F769" s="17" t="n">
        <v>2</v>
      </c>
      <c r="G769" s="17" t="n">
        <v>2270</v>
      </c>
      <c r="H769" s="17" t="n">
        <v>10.2</v>
      </c>
      <c r="I769" s="17" t="n">
        <v>4076.92</v>
      </c>
      <c r="J769" s="15" t="s">
        <v>98</v>
      </c>
      <c r="K769" s="15" t="s">
        <v>99</v>
      </c>
    </row>
    <row r="770" customFormat="false" ht="14.25" hidden="false" customHeight="false" outlineLevel="0" collapsed="false">
      <c r="A770" s="15" t="s">
        <v>1250</v>
      </c>
      <c r="B770" s="16" t="n">
        <v>45296</v>
      </c>
      <c r="C770" s="15" t="s">
        <v>310</v>
      </c>
      <c r="D770" s="15" t="s">
        <v>245</v>
      </c>
      <c r="E770" s="15" t="s">
        <v>97</v>
      </c>
      <c r="F770" s="17" t="n">
        <v>1</v>
      </c>
      <c r="G770" s="17" t="n">
        <v>3780</v>
      </c>
      <c r="H770" s="17" t="n">
        <v>15.3</v>
      </c>
      <c r="I770" s="17" t="n">
        <v>3201.66</v>
      </c>
      <c r="J770" s="15" t="s">
        <v>151</v>
      </c>
      <c r="K770" s="15" t="s">
        <v>144</v>
      </c>
    </row>
    <row r="771" customFormat="false" ht="14.25" hidden="false" customHeight="false" outlineLevel="0" collapsed="false">
      <c r="A771" s="15" t="s">
        <v>1251</v>
      </c>
      <c r="B771" s="16" t="n">
        <v>45489</v>
      </c>
      <c r="C771" s="15" t="s">
        <v>885</v>
      </c>
      <c r="D771" s="15" t="s">
        <v>397</v>
      </c>
      <c r="E771" s="15" t="s">
        <v>139</v>
      </c>
      <c r="F771" s="17" t="n">
        <v>10</v>
      </c>
      <c r="G771" s="17" t="n">
        <v>2290</v>
      </c>
      <c r="H771" s="17" t="n">
        <v>2.4</v>
      </c>
      <c r="I771" s="17" t="n">
        <v>22350.4</v>
      </c>
      <c r="J771" s="15" t="s">
        <v>104</v>
      </c>
      <c r="K771" s="15" t="s">
        <v>123</v>
      </c>
    </row>
    <row r="772" customFormat="false" ht="14.25" hidden="false" customHeight="false" outlineLevel="0" collapsed="false">
      <c r="A772" s="15" t="s">
        <v>1252</v>
      </c>
      <c r="B772" s="16" t="n">
        <v>45416</v>
      </c>
      <c r="C772" s="15" t="s">
        <v>1242</v>
      </c>
      <c r="D772" s="15" t="s">
        <v>190</v>
      </c>
      <c r="E772" s="15" t="s">
        <v>249</v>
      </c>
      <c r="F772" s="17" t="n">
        <v>5</v>
      </c>
      <c r="G772" s="17" t="n">
        <v>3350</v>
      </c>
      <c r="H772" s="17" t="n">
        <v>18.5</v>
      </c>
      <c r="I772" s="17" t="n">
        <v>13651.25</v>
      </c>
      <c r="J772" s="15" t="s">
        <v>151</v>
      </c>
      <c r="K772" s="15" t="s">
        <v>99</v>
      </c>
    </row>
    <row r="773" customFormat="false" ht="14.25" hidden="false" customHeight="false" outlineLevel="0" collapsed="false">
      <c r="A773" s="15" t="s">
        <v>1253</v>
      </c>
      <c r="B773" s="16" t="n">
        <v>45347</v>
      </c>
      <c r="C773" s="15" t="s">
        <v>319</v>
      </c>
      <c r="D773" s="15" t="s">
        <v>366</v>
      </c>
      <c r="E773" s="15" t="s">
        <v>169</v>
      </c>
      <c r="F773" s="17" t="n">
        <v>7</v>
      </c>
      <c r="G773" s="17" t="n">
        <v>2510</v>
      </c>
      <c r="H773" s="17" t="n">
        <v>4.2</v>
      </c>
      <c r="I773" s="17" t="n">
        <v>16832.06</v>
      </c>
      <c r="J773" s="15" t="s">
        <v>151</v>
      </c>
      <c r="K773" s="15" t="s">
        <v>99</v>
      </c>
    </row>
    <row r="774" customFormat="false" ht="14.25" hidden="false" customHeight="false" outlineLevel="0" collapsed="false">
      <c r="A774" s="15" t="s">
        <v>1254</v>
      </c>
      <c r="B774" s="16" t="n">
        <v>45652</v>
      </c>
      <c r="C774" s="15" t="s">
        <v>174</v>
      </c>
      <c r="D774" s="15" t="s">
        <v>149</v>
      </c>
      <c r="E774" s="15" t="s">
        <v>314</v>
      </c>
      <c r="F774" s="17" t="n">
        <v>1</v>
      </c>
      <c r="G774" s="17" t="n">
        <v>2600</v>
      </c>
      <c r="H774" s="17" t="n">
        <v>2.2</v>
      </c>
      <c r="I774" s="17" t="n">
        <v>2542.8</v>
      </c>
      <c r="J774" s="15" t="s">
        <v>98</v>
      </c>
      <c r="K774" s="15" t="s">
        <v>105</v>
      </c>
    </row>
    <row r="775" customFormat="false" ht="14.25" hidden="false" customHeight="false" outlineLevel="0" collapsed="false">
      <c r="A775" s="15" t="s">
        <v>1255</v>
      </c>
      <c r="B775" s="16" t="n">
        <v>45467</v>
      </c>
      <c r="C775" s="15" t="s">
        <v>440</v>
      </c>
      <c r="D775" s="15" t="s">
        <v>108</v>
      </c>
      <c r="E775" s="15" t="s">
        <v>159</v>
      </c>
      <c r="F775" s="17" t="n">
        <v>8</v>
      </c>
      <c r="G775" s="17" t="n">
        <v>470</v>
      </c>
      <c r="H775" s="17" t="n">
        <v>25.2</v>
      </c>
      <c r="I775" s="17" t="n">
        <v>2812.48</v>
      </c>
      <c r="J775" s="15" t="s">
        <v>98</v>
      </c>
      <c r="K775" s="15" t="s">
        <v>128</v>
      </c>
    </row>
    <row r="776" customFormat="false" ht="14.25" hidden="false" customHeight="false" outlineLevel="0" collapsed="false">
      <c r="A776" s="15" t="s">
        <v>1256</v>
      </c>
      <c r="B776" s="16" t="n">
        <v>45558</v>
      </c>
      <c r="C776" s="15" t="s">
        <v>208</v>
      </c>
      <c r="D776" s="15" t="s">
        <v>175</v>
      </c>
      <c r="E776" s="15" t="s">
        <v>336</v>
      </c>
      <c r="F776" s="17" t="n">
        <v>6</v>
      </c>
      <c r="G776" s="17" t="n">
        <v>1080</v>
      </c>
      <c r="H776" s="17" t="n">
        <v>25</v>
      </c>
      <c r="I776" s="17" t="n">
        <v>4860</v>
      </c>
      <c r="J776" s="15" t="s">
        <v>98</v>
      </c>
      <c r="K776" s="15" t="s">
        <v>99</v>
      </c>
    </row>
    <row r="777" customFormat="false" ht="14.25" hidden="false" customHeight="false" outlineLevel="0" collapsed="false">
      <c r="A777" s="15" t="s">
        <v>1257</v>
      </c>
      <c r="B777" s="16" t="n">
        <v>45645</v>
      </c>
      <c r="C777" s="15" t="s">
        <v>95</v>
      </c>
      <c r="D777" s="15" t="s">
        <v>193</v>
      </c>
      <c r="E777" s="15" t="s">
        <v>132</v>
      </c>
      <c r="F777" s="17" t="n">
        <v>2</v>
      </c>
      <c r="G777" s="17" t="n">
        <v>1010</v>
      </c>
      <c r="H777" s="17" t="n">
        <v>16.1</v>
      </c>
      <c r="I777" s="17" t="n">
        <v>1694.78</v>
      </c>
      <c r="J777" s="15" t="s">
        <v>98</v>
      </c>
      <c r="K777" s="15" t="s">
        <v>99</v>
      </c>
    </row>
    <row r="778" customFormat="false" ht="14.25" hidden="false" customHeight="false" outlineLevel="0" collapsed="false">
      <c r="A778" s="15" t="s">
        <v>1258</v>
      </c>
      <c r="B778" s="16" t="n">
        <v>45418</v>
      </c>
      <c r="C778" s="15" t="s">
        <v>736</v>
      </c>
      <c r="D778" s="15" t="s">
        <v>259</v>
      </c>
      <c r="E778" s="15" t="s">
        <v>308</v>
      </c>
      <c r="F778" s="17" t="n">
        <v>6</v>
      </c>
      <c r="G778" s="17" t="n">
        <v>3870</v>
      </c>
      <c r="H778" s="17" t="n">
        <v>22.4</v>
      </c>
      <c r="I778" s="17" t="n">
        <v>18018.72</v>
      </c>
      <c r="J778" s="15" t="s">
        <v>151</v>
      </c>
      <c r="K778" s="15" t="s">
        <v>110</v>
      </c>
    </row>
    <row r="779" customFormat="false" ht="14.25" hidden="false" customHeight="false" outlineLevel="0" collapsed="false">
      <c r="A779" s="15" t="s">
        <v>1259</v>
      </c>
      <c r="B779" s="16" t="n">
        <v>45655</v>
      </c>
      <c r="C779" s="15" t="s">
        <v>624</v>
      </c>
      <c r="D779" s="15" t="s">
        <v>306</v>
      </c>
      <c r="E779" s="15" t="s">
        <v>354</v>
      </c>
      <c r="F779" s="17" t="n">
        <v>3</v>
      </c>
      <c r="G779" s="17" t="n">
        <v>2030</v>
      </c>
      <c r="H779" s="17" t="n">
        <v>18.5</v>
      </c>
      <c r="I779" s="17" t="n">
        <v>4963.35</v>
      </c>
      <c r="J779" s="15" t="s">
        <v>98</v>
      </c>
      <c r="K779" s="15" t="s">
        <v>123</v>
      </c>
    </row>
    <row r="780" customFormat="false" ht="14.25" hidden="false" customHeight="false" outlineLevel="0" collapsed="false">
      <c r="A780" s="15" t="s">
        <v>1260</v>
      </c>
      <c r="B780" s="16" t="n">
        <v>45540</v>
      </c>
      <c r="C780" s="15" t="s">
        <v>1261</v>
      </c>
      <c r="D780" s="15" t="s">
        <v>175</v>
      </c>
      <c r="E780" s="15" t="s">
        <v>354</v>
      </c>
      <c r="F780" s="17" t="n">
        <v>7</v>
      </c>
      <c r="G780" s="17" t="n">
        <v>1080</v>
      </c>
      <c r="H780" s="17" t="n">
        <v>6.8</v>
      </c>
      <c r="I780" s="17" t="n">
        <v>7045.92</v>
      </c>
      <c r="J780" s="15" t="s">
        <v>104</v>
      </c>
      <c r="K780" s="15" t="s">
        <v>99</v>
      </c>
    </row>
    <row r="781" customFormat="false" ht="14.25" hidden="false" customHeight="false" outlineLevel="0" collapsed="false">
      <c r="A781" s="15" t="s">
        <v>1262</v>
      </c>
      <c r="B781" s="16" t="n">
        <v>45609</v>
      </c>
      <c r="C781" s="15" t="s">
        <v>373</v>
      </c>
      <c r="D781" s="15" t="s">
        <v>513</v>
      </c>
      <c r="E781" s="15" t="s">
        <v>215</v>
      </c>
      <c r="F781" s="17" t="n">
        <v>1</v>
      </c>
      <c r="G781" s="17" t="n">
        <v>1090</v>
      </c>
      <c r="H781" s="17" t="n">
        <v>20.6</v>
      </c>
      <c r="I781" s="17" t="n">
        <v>865.46</v>
      </c>
      <c r="J781" s="15" t="s">
        <v>98</v>
      </c>
      <c r="K781" s="15" t="s">
        <v>105</v>
      </c>
    </row>
    <row r="782" customFormat="false" ht="14.25" hidden="false" customHeight="false" outlineLevel="0" collapsed="false">
      <c r="A782" s="15" t="s">
        <v>1263</v>
      </c>
      <c r="B782" s="16" t="n">
        <v>45528</v>
      </c>
      <c r="C782" s="15" t="s">
        <v>339</v>
      </c>
      <c r="D782" s="15" t="s">
        <v>121</v>
      </c>
      <c r="E782" s="15" t="s">
        <v>284</v>
      </c>
      <c r="F782" s="17" t="n">
        <v>8</v>
      </c>
      <c r="G782" s="17" t="n">
        <v>370</v>
      </c>
      <c r="H782" s="17" t="n">
        <v>1.7</v>
      </c>
      <c r="I782" s="17" t="n">
        <v>2909.68</v>
      </c>
      <c r="J782" s="15" t="s">
        <v>98</v>
      </c>
      <c r="K782" s="15" t="s">
        <v>105</v>
      </c>
    </row>
    <row r="783" customFormat="false" ht="14.25" hidden="false" customHeight="false" outlineLevel="0" collapsed="false">
      <c r="A783" s="15" t="s">
        <v>1264</v>
      </c>
      <c r="B783" s="16" t="n">
        <v>45625</v>
      </c>
      <c r="C783" s="15" t="s">
        <v>1062</v>
      </c>
      <c r="D783" s="15" t="s">
        <v>670</v>
      </c>
      <c r="E783" s="15" t="s">
        <v>314</v>
      </c>
      <c r="F783" s="17" t="n">
        <v>7</v>
      </c>
      <c r="G783" s="17" t="n">
        <v>3560</v>
      </c>
      <c r="H783" s="17" t="n">
        <v>28.7</v>
      </c>
      <c r="I783" s="17" t="n">
        <v>17767.96</v>
      </c>
      <c r="J783" s="15" t="s">
        <v>98</v>
      </c>
      <c r="K783" s="15" t="s">
        <v>123</v>
      </c>
    </row>
    <row r="784" customFormat="false" ht="14.25" hidden="false" customHeight="false" outlineLevel="0" collapsed="false">
      <c r="A784" s="15" t="s">
        <v>1265</v>
      </c>
      <c r="B784" s="16" t="n">
        <v>45444</v>
      </c>
      <c r="C784" s="15" t="s">
        <v>570</v>
      </c>
      <c r="D784" s="15" t="s">
        <v>252</v>
      </c>
      <c r="E784" s="15" t="s">
        <v>357</v>
      </c>
      <c r="F784" s="17" t="n">
        <v>9</v>
      </c>
      <c r="G784" s="17" t="n">
        <v>6080</v>
      </c>
      <c r="H784" s="17" t="n">
        <v>16.3</v>
      </c>
      <c r="I784" s="17" t="n">
        <v>45800.64</v>
      </c>
      <c r="J784" s="15" t="s">
        <v>151</v>
      </c>
      <c r="K784" s="15" t="s">
        <v>99</v>
      </c>
    </row>
    <row r="785" customFormat="false" ht="14.25" hidden="false" customHeight="false" outlineLevel="0" collapsed="false">
      <c r="A785" s="15" t="s">
        <v>1266</v>
      </c>
      <c r="B785" s="16" t="n">
        <v>45505</v>
      </c>
      <c r="C785" s="15" t="s">
        <v>167</v>
      </c>
      <c r="D785" s="15" t="s">
        <v>172</v>
      </c>
      <c r="E785" s="15" t="s">
        <v>199</v>
      </c>
      <c r="F785" s="17" t="n">
        <v>2</v>
      </c>
      <c r="G785" s="17" t="n">
        <v>3450</v>
      </c>
      <c r="H785" s="17" t="n">
        <v>17.6</v>
      </c>
      <c r="I785" s="17" t="n">
        <v>5685.6</v>
      </c>
      <c r="J785" s="15" t="s">
        <v>104</v>
      </c>
      <c r="K785" s="15" t="s">
        <v>144</v>
      </c>
    </row>
    <row r="786" customFormat="false" ht="14.25" hidden="false" customHeight="false" outlineLevel="0" collapsed="false">
      <c r="A786" s="15" t="s">
        <v>1267</v>
      </c>
      <c r="B786" s="16" t="n">
        <v>45401</v>
      </c>
      <c r="C786" s="15" t="s">
        <v>228</v>
      </c>
      <c r="D786" s="15" t="s">
        <v>454</v>
      </c>
      <c r="E786" s="15" t="s">
        <v>215</v>
      </c>
      <c r="F786" s="17" t="n">
        <v>1</v>
      </c>
      <c r="G786" s="17" t="n">
        <v>5080</v>
      </c>
      <c r="H786" s="17" t="n">
        <v>5.9</v>
      </c>
      <c r="I786" s="17" t="n">
        <v>4780.28</v>
      </c>
      <c r="J786" s="15" t="s">
        <v>98</v>
      </c>
      <c r="K786" s="15" t="s">
        <v>105</v>
      </c>
    </row>
    <row r="787" customFormat="false" ht="14.25" hidden="false" customHeight="false" outlineLevel="0" collapsed="false">
      <c r="A787" s="15" t="s">
        <v>1268</v>
      </c>
      <c r="B787" s="16" t="n">
        <v>45364</v>
      </c>
      <c r="C787" s="15" t="s">
        <v>894</v>
      </c>
      <c r="D787" s="15" t="s">
        <v>463</v>
      </c>
      <c r="E787" s="15" t="s">
        <v>165</v>
      </c>
      <c r="F787" s="17" t="n">
        <v>7</v>
      </c>
      <c r="G787" s="17" t="n">
        <v>3450</v>
      </c>
      <c r="H787" s="17" t="n">
        <v>17.4</v>
      </c>
      <c r="I787" s="17" t="n">
        <v>19947.9</v>
      </c>
      <c r="J787" s="15" t="s">
        <v>98</v>
      </c>
      <c r="K787" s="15" t="s">
        <v>144</v>
      </c>
    </row>
    <row r="788" customFormat="false" ht="14.25" hidden="false" customHeight="false" outlineLevel="0" collapsed="false">
      <c r="A788" s="15" t="s">
        <v>1269</v>
      </c>
      <c r="B788" s="16" t="n">
        <v>45403</v>
      </c>
      <c r="C788" s="15" t="s">
        <v>1183</v>
      </c>
      <c r="D788" s="15" t="s">
        <v>142</v>
      </c>
      <c r="E788" s="15" t="s">
        <v>215</v>
      </c>
      <c r="F788" s="17" t="n">
        <v>8</v>
      </c>
      <c r="G788" s="17" t="n">
        <v>2270</v>
      </c>
      <c r="H788" s="17" t="n">
        <v>24.7</v>
      </c>
      <c r="I788" s="17" t="n">
        <v>13674.48</v>
      </c>
      <c r="J788" s="15" t="s">
        <v>98</v>
      </c>
      <c r="K788" s="15" t="s">
        <v>99</v>
      </c>
    </row>
    <row r="789" customFormat="false" ht="14.25" hidden="false" customHeight="false" outlineLevel="0" collapsed="false">
      <c r="A789" s="15" t="s">
        <v>1270</v>
      </c>
      <c r="B789" s="16" t="n">
        <v>45599</v>
      </c>
      <c r="C789" s="15" t="s">
        <v>95</v>
      </c>
      <c r="D789" s="15" t="s">
        <v>117</v>
      </c>
      <c r="E789" s="15" t="s">
        <v>165</v>
      </c>
      <c r="F789" s="17" t="n">
        <v>3</v>
      </c>
      <c r="G789" s="17" t="n">
        <v>3160</v>
      </c>
      <c r="H789" s="17" t="n">
        <v>1.5</v>
      </c>
      <c r="I789" s="17" t="n">
        <v>9337.8</v>
      </c>
      <c r="J789" s="15" t="s">
        <v>104</v>
      </c>
      <c r="K789" s="15" t="s">
        <v>99</v>
      </c>
    </row>
    <row r="790" customFormat="false" ht="14.25" hidden="false" customHeight="false" outlineLevel="0" collapsed="false">
      <c r="A790" s="15" t="s">
        <v>1271</v>
      </c>
      <c r="B790" s="16" t="n">
        <v>45389</v>
      </c>
      <c r="C790" s="15" t="s">
        <v>1272</v>
      </c>
      <c r="D790" s="15" t="s">
        <v>190</v>
      </c>
      <c r="E790" s="15" t="s">
        <v>240</v>
      </c>
      <c r="F790" s="17" t="n">
        <v>6</v>
      </c>
      <c r="G790" s="17" t="n">
        <v>3350</v>
      </c>
      <c r="H790" s="17" t="n">
        <v>0.9</v>
      </c>
      <c r="I790" s="17" t="n">
        <v>19919.1</v>
      </c>
      <c r="J790" s="15" t="s">
        <v>104</v>
      </c>
      <c r="K790" s="15" t="s">
        <v>128</v>
      </c>
    </row>
    <row r="791" customFormat="false" ht="14.25" hidden="false" customHeight="false" outlineLevel="0" collapsed="false">
      <c r="A791" s="15" t="s">
        <v>1273</v>
      </c>
      <c r="B791" s="16" t="n">
        <v>45506</v>
      </c>
      <c r="C791" s="15" t="s">
        <v>956</v>
      </c>
      <c r="D791" s="15" t="s">
        <v>187</v>
      </c>
      <c r="E791" s="15" t="s">
        <v>240</v>
      </c>
      <c r="F791" s="17" t="n">
        <v>7</v>
      </c>
      <c r="G791" s="17" t="n">
        <v>1650</v>
      </c>
      <c r="H791" s="17" t="n">
        <v>5.6</v>
      </c>
      <c r="I791" s="17" t="n">
        <v>10903.2</v>
      </c>
      <c r="J791" s="15" t="s">
        <v>155</v>
      </c>
      <c r="K791" s="15" t="s">
        <v>99</v>
      </c>
    </row>
    <row r="792" customFormat="false" ht="14.25" hidden="false" customHeight="false" outlineLevel="0" collapsed="false">
      <c r="A792" s="15" t="s">
        <v>1274</v>
      </c>
      <c r="B792" s="16" t="n">
        <v>45402</v>
      </c>
      <c r="C792" s="15" t="s">
        <v>736</v>
      </c>
      <c r="D792" s="15" t="s">
        <v>135</v>
      </c>
      <c r="E792" s="15" t="s">
        <v>159</v>
      </c>
      <c r="F792" s="17" t="n">
        <v>1</v>
      </c>
      <c r="G792" s="17" t="n">
        <v>5490</v>
      </c>
      <c r="H792" s="17" t="n">
        <v>5.8</v>
      </c>
      <c r="I792" s="17" t="n">
        <v>5171.58</v>
      </c>
      <c r="J792" s="15" t="s">
        <v>98</v>
      </c>
      <c r="K792" s="15" t="s">
        <v>110</v>
      </c>
    </row>
    <row r="793" customFormat="false" ht="14.25" hidden="false" customHeight="false" outlineLevel="0" collapsed="false">
      <c r="A793" s="15" t="s">
        <v>1275</v>
      </c>
      <c r="B793" s="16" t="n">
        <v>45405</v>
      </c>
      <c r="C793" s="15" t="s">
        <v>161</v>
      </c>
      <c r="D793" s="15" t="s">
        <v>175</v>
      </c>
      <c r="E793" s="15" t="s">
        <v>127</v>
      </c>
      <c r="F793" s="17" t="n">
        <v>3</v>
      </c>
      <c r="G793" s="17" t="n">
        <v>1080</v>
      </c>
      <c r="H793" s="17" t="n">
        <v>20.9</v>
      </c>
      <c r="I793" s="17" t="n">
        <v>2562.84</v>
      </c>
      <c r="J793" s="15" t="s">
        <v>98</v>
      </c>
      <c r="K793" s="15" t="s">
        <v>99</v>
      </c>
    </row>
    <row r="794" customFormat="false" ht="14.25" hidden="false" customHeight="false" outlineLevel="0" collapsed="false">
      <c r="A794" s="15" t="s">
        <v>1276</v>
      </c>
      <c r="B794" s="16" t="n">
        <v>45434</v>
      </c>
      <c r="C794" s="15" t="s">
        <v>1277</v>
      </c>
      <c r="D794" s="15" t="s">
        <v>245</v>
      </c>
      <c r="E794" s="15" t="s">
        <v>314</v>
      </c>
      <c r="F794" s="17" t="n">
        <v>10</v>
      </c>
      <c r="G794" s="17" t="n">
        <v>3780</v>
      </c>
      <c r="H794" s="17" t="n">
        <v>5.5</v>
      </c>
      <c r="I794" s="17" t="n">
        <v>35721</v>
      </c>
      <c r="J794" s="15" t="s">
        <v>98</v>
      </c>
      <c r="K794" s="15" t="s">
        <v>144</v>
      </c>
    </row>
    <row r="795" customFormat="false" ht="14.25" hidden="false" customHeight="false" outlineLevel="0" collapsed="false">
      <c r="A795" s="15" t="s">
        <v>1278</v>
      </c>
      <c r="B795" s="16" t="n">
        <v>45558</v>
      </c>
      <c r="C795" s="15" t="s">
        <v>219</v>
      </c>
      <c r="D795" s="15" t="s">
        <v>306</v>
      </c>
      <c r="E795" s="15" t="s">
        <v>181</v>
      </c>
      <c r="F795" s="17" t="n">
        <v>2</v>
      </c>
      <c r="G795" s="17" t="n">
        <v>2030</v>
      </c>
      <c r="H795" s="17" t="n">
        <v>2</v>
      </c>
      <c r="I795" s="17" t="n">
        <v>3978.8</v>
      </c>
      <c r="J795" s="15" t="s">
        <v>104</v>
      </c>
      <c r="K795" s="15" t="s">
        <v>144</v>
      </c>
    </row>
    <row r="796" customFormat="false" ht="14.25" hidden="false" customHeight="false" outlineLevel="0" collapsed="false">
      <c r="A796" s="15" t="s">
        <v>1279</v>
      </c>
      <c r="B796" s="16" t="n">
        <v>45582</v>
      </c>
      <c r="C796" s="15" t="s">
        <v>578</v>
      </c>
      <c r="D796" s="15" t="s">
        <v>270</v>
      </c>
      <c r="E796" s="15" t="s">
        <v>132</v>
      </c>
      <c r="F796" s="17" t="n">
        <v>8</v>
      </c>
      <c r="G796" s="17" t="n">
        <v>1540</v>
      </c>
      <c r="H796" s="17" t="n">
        <v>9</v>
      </c>
      <c r="I796" s="17" t="n">
        <v>11211.2</v>
      </c>
      <c r="J796" s="15" t="s">
        <v>151</v>
      </c>
      <c r="K796" s="15" t="s">
        <v>128</v>
      </c>
    </row>
    <row r="797" customFormat="false" ht="14.25" hidden="false" customHeight="false" outlineLevel="0" collapsed="false">
      <c r="A797" s="15" t="s">
        <v>1280</v>
      </c>
      <c r="B797" s="16" t="n">
        <v>45601</v>
      </c>
      <c r="C797" s="15" t="s">
        <v>137</v>
      </c>
      <c r="D797" s="15" t="s">
        <v>154</v>
      </c>
      <c r="E797" s="15" t="s">
        <v>199</v>
      </c>
      <c r="F797" s="17" t="n">
        <v>9</v>
      </c>
      <c r="G797" s="17" t="n">
        <v>3250</v>
      </c>
      <c r="H797" s="17" t="n">
        <v>20.5</v>
      </c>
      <c r="I797" s="17" t="n">
        <v>23253.75</v>
      </c>
      <c r="J797" s="15" t="s">
        <v>98</v>
      </c>
      <c r="K797" s="15" t="s">
        <v>99</v>
      </c>
    </row>
    <row r="798" customFormat="false" ht="14.25" hidden="false" customHeight="false" outlineLevel="0" collapsed="false">
      <c r="A798" s="15" t="s">
        <v>1281</v>
      </c>
      <c r="B798" s="16" t="n">
        <v>45344</v>
      </c>
      <c r="C798" s="15" t="s">
        <v>410</v>
      </c>
      <c r="D798" s="15" t="s">
        <v>168</v>
      </c>
      <c r="E798" s="15" t="s">
        <v>103</v>
      </c>
      <c r="F798" s="17" t="n">
        <v>3</v>
      </c>
      <c r="G798" s="17" t="n">
        <v>3450</v>
      </c>
      <c r="H798" s="17" t="n">
        <v>17.9</v>
      </c>
      <c r="I798" s="17" t="n">
        <v>8497.35</v>
      </c>
      <c r="J798" s="15" t="s">
        <v>98</v>
      </c>
      <c r="K798" s="15" t="s">
        <v>110</v>
      </c>
    </row>
    <row r="799" customFormat="false" ht="14.25" hidden="false" customHeight="false" outlineLevel="0" collapsed="false">
      <c r="A799" s="15" t="s">
        <v>1282</v>
      </c>
      <c r="B799" s="16" t="n">
        <v>45504</v>
      </c>
      <c r="C799" s="15" t="s">
        <v>416</v>
      </c>
      <c r="D799" s="15" t="s">
        <v>135</v>
      </c>
      <c r="E799" s="15" t="s">
        <v>118</v>
      </c>
      <c r="F799" s="17" t="n">
        <v>5</v>
      </c>
      <c r="G799" s="17" t="n">
        <v>5490</v>
      </c>
      <c r="H799" s="17" t="n">
        <v>7.9</v>
      </c>
      <c r="I799" s="17" t="n">
        <v>25281.45</v>
      </c>
      <c r="J799" s="15" t="s">
        <v>98</v>
      </c>
      <c r="K799" s="15" t="s">
        <v>105</v>
      </c>
    </row>
    <row r="800" customFormat="false" ht="14.25" hidden="false" customHeight="false" outlineLevel="0" collapsed="false">
      <c r="A800" s="15" t="s">
        <v>1283</v>
      </c>
      <c r="B800" s="16" t="n">
        <v>45306</v>
      </c>
      <c r="C800" s="15" t="s">
        <v>637</v>
      </c>
      <c r="D800" s="15" t="s">
        <v>121</v>
      </c>
      <c r="E800" s="15" t="s">
        <v>240</v>
      </c>
      <c r="F800" s="17" t="n">
        <v>3</v>
      </c>
      <c r="G800" s="17" t="n">
        <v>370</v>
      </c>
      <c r="H800" s="17" t="n">
        <v>13.4</v>
      </c>
      <c r="I800" s="17" t="n">
        <v>961.26</v>
      </c>
      <c r="J800" s="15" t="s">
        <v>98</v>
      </c>
      <c r="K800" s="15" t="s">
        <v>110</v>
      </c>
    </row>
    <row r="801" customFormat="false" ht="14.25" hidden="false" customHeight="false" outlineLevel="0" collapsed="false">
      <c r="A801" s="15" t="s">
        <v>1284</v>
      </c>
      <c r="B801" s="16" t="n">
        <v>45413</v>
      </c>
      <c r="C801" s="15" t="s">
        <v>389</v>
      </c>
      <c r="D801" s="15" t="s">
        <v>375</v>
      </c>
      <c r="E801" s="15" t="s">
        <v>215</v>
      </c>
      <c r="F801" s="17" t="n">
        <v>7</v>
      </c>
      <c r="G801" s="17" t="n">
        <v>5330</v>
      </c>
      <c r="H801" s="17" t="n">
        <v>29.7</v>
      </c>
      <c r="I801" s="17" t="n">
        <v>26228.93</v>
      </c>
      <c r="J801" s="15" t="s">
        <v>104</v>
      </c>
      <c r="K801" s="15" t="s">
        <v>105</v>
      </c>
    </row>
    <row r="802" customFormat="false" ht="14.25" hidden="false" customHeight="false" outlineLevel="0" collapsed="false">
      <c r="A802" s="15" t="s">
        <v>1285</v>
      </c>
      <c r="B802" s="16" t="n">
        <v>45368</v>
      </c>
      <c r="C802" s="15" t="s">
        <v>1076</v>
      </c>
      <c r="D802" s="15" t="s">
        <v>172</v>
      </c>
      <c r="E802" s="15" t="s">
        <v>357</v>
      </c>
      <c r="F802" s="17" t="n">
        <v>8</v>
      </c>
      <c r="G802" s="17" t="n">
        <v>3450</v>
      </c>
      <c r="H802" s="17" t="n">
        <v>23.7</v>
      </c>
      <c r="I802" s="17" t="n">
        <v>21058.8</v>
      </c>
      <c r="J802" s="15" t="s">
        <v>98</v>
      </c>
      <c r="K802" s="15" t="s">
        <v>105</v>
      </c>
    </row>
    <row r="803" customFormat="false" ht="14.25" hidden="false" customHeight="false" outlineLevel="0" collapsed="false">
      <c r="A803" s="15" t="s">
        <v>1286</v>
      </c>
      <c r="B803" s="16" t="n">
        <v>45316</v>
      </c>
      <c r="C803" s="15" t="s">
        <v>373</v>
      </c>
      <c r="D803" s="15" t="s">
        <v>463</v>
      </c>
      <c r="E803" s="15" t="s">
        <v>354</v>
      </c>
      <c r="F803" s="17" t="n">
        <v>8</v>
      </c>
      <c r="G803" s="17" t="n">
        <v>3450</v>
      </c>
      <c r="H803" s="17" t="n">
        <v>5.4</v>
      </c>
      <c r="I803" s="17" t="n">
        <v>26109.6</v>
      </c>
      <c r="J803" s="15" t="s">
        <v>98</v>
      </c>
      <c r="K803" s="15" t="s">
        <v>105</v>
      </c>
    </row>
    <row r="804" customFormat="false" ht="14.25" hidden="false" customHeight="false" outlineLevel="0" collapsed="false">
      <c r="A804" s="15" t="s">
        <v>1287</v>
      </c>
      <c r="B804" s="16" t="n">
        <v>45652</v>
      </c>
      <c r="C804" s="15" t="s">
        <v>883</v>
      </c>
      <c r="D804" s="15" t="s">
        <v>252</v>
      </c>
      <c r="E804" s="15" t="s">
        <v>240</v>
      </c>
      <c r="F804" s="17" t="n">
        <v>1</v>
      </c>
      <c r="G804" s="17" t="n">
        <v>6080</v>
      </c>
      <c r="H804" s="17" t="n">
        <v>22.3</v>
      </c>
      <c r="I804" s="17" t="n">
        <v>4724.16</v>
      </c>
      <c r="J804" s="15" t="s">
        <v>98</v>
      </c>
      <c r="K804" s="15" t="s">
        <v>123</v>
      </c>
    </row>
    <row r="805" customFormat="false" ht="14.25" hidden="false" customHeight="false" outlineLevel="0" collapsed="false">
      <c r="A805" s="15" t="s">
        <v>1288</v>
      </c>
      <c r="B805" s="16" t="n">
        <v>45597</v>
      </c>
      <c r="C805" s="15" t="s">
        <v>230</v>
      </c>
      <c r="D805" s="15" t="s">
        <v>366</v>
      </c>
      <c r="E805" s="15" t="s">
        <v>284</v>
      </c>
      <c r="F805" s="17" t="n">
        <v>9</v>
      </c>
      <c r="G805" s="17" t="n">
        <v>2510</v>
      </c>
      <c r="H805" s="17" t="n">
        <v>27.4</v>
      </c>
      <c r="I805" s="17" t="n">
        <v>16400.34</v>
      </c>
      <c r="J805" s="15" t="s">
        <v>98</v>
      </c>
      <c r="K805" s="15" t="s">
        <v>110</v>
      </c>
    </row>
    <row r="806" customFormat="false" ht="14.25" hidden="false" customHeight="false" outlineLevel="0" collapsed="false">
      <c r="A806" s="15" t="s">
        <v>1289</v>
      </c>
      <c r="B806" s="16" t="n">
        <v>45392</v>
      </c>
      <c r="C806" s="15" t="s">
        <v>171</v>
      </c>
      <c r="D806" s="15" t="s">
        <v>193</v>
      </c>
      <c r="E806" s="15" t="s">
        <v>336</v>
      </c>
      <c r="F806" s="17" t="n">
        <v>10</v>
      </c>
      <c r="G806" s="17" t="n">
        <v>1010</v>
      </c>
      <c r="H806" s="17" t="n">
        <v>28.4</v>
      </c>
      <c r="I806" s="17" t="n">
        <v>7231.6</v>
      </c>
      <c r="J806" s="15" t="s">
        <v>98</v>
      </c>
      <c r="K806" s="15" t="s">
        <v>123</v>
      </c>
    </row>
    <row r="807" customFormat="false" ht="14.25" hidden="false" customHeight="false" outlineLevel="0" collapsed="false">
      <c r="A807" s="15" t="s">
        <v>1290</v>
      </c>
      <c r="B807" s="16" t="n">
        <v>45401</v>
      </c>
      <c r="C807" s="15" t="s">
        <v>1062</v>
      </c>
      <c r="D807" s="15" t="s">
        <v>670</v>
      </c>
      <c r="E807" s="15" t="s">
        <v>165</v>
      </c>
      <c r="F807" s="17" t="n">
        <v>1</v>
      </c>
      <c r="G807" s="17" t="n">
        <v>3560</v>
      </c>
      <c r="H807" s="17" t="n">
        <v>26</v>
      </c>
      <c r="I807" s="17" t="n">
        <v>2634.4</v>
      </c>
      <c r="J807" s="15" t="s">
        <v>98</v>
      </c>
      <c r="K807" s="15" t="s">
        <v>123</v>
      </c>
    </row>
    <row r="808" customFormat="false" ht="14.25" hidden="false" customHeight="false" outlineLevel="0" collapsed="false">
      <c r="A808" s="15" t="s">
        <v>1291</v>
      </c>
      <c r="B808" s="16" t="n">
        <v>45397</v>
      </c>
      <c r="C808" s="15" t="s">
        <v>465</v>
      </c>
      <c r="D808" s="15" t="s">
        <v>287</v>
      </c>
      <c r="E808" s="15" t="s">
        <v>114</v>
      </c>
      <c r="F808" s="17" t="n">
        <v>8</v>
      </c>
      <c r="G808" s="17" t="n">
        <v>3020</v>
      </c>
      <c r="H808" s="17" t="n">
        <v>6.9</v>
      </c>
      <c r="I808" s="17" t="n">
        <v>22492.96</v>
      </c>
      <c r="J808" s="15" t="s">
        <v>98</v>
      </c>
      <c r="K808" s="15" t="s">
        <v>144</v>
      </c>
    </row>
    <row r="809" customFormat="false" ht="14.25" hidden="false" customHeight="false" outlineLevel="0" collapsed="false">
      <c r="A809" s="15" t="s">
        <v>1292</v>
      </c>
      <c r="B809" s="16" t="n">
        <v>45301</v>
      </c>
      <c r="C809" s="15" t="s">
        <v>596</v>
      </c>
      <c r="D809" s="15" t="s">
        <v>275</v>
      </c>
      <c r="E809" s="15" t="s">
        <v>249</v>
      </c>
      <c r="F809" s="17" t="n">
        <v>1</v>
      </c>
      <c r="G809" s="17" t="n">
        <v>4070</v>
      </c>
      <c r="H809" s="17" t="n">
        <v>8.2</v>
      </c>
      <c r="I809" s="17" t="n">
        <v>3736.26</v>
      </c>
      <c r="J809" s="15" t="s">
        <v>98</v>
      </c>
      <c r="K809" s="15" t="s">
        <v>105</v>
      </c>
    </row>
    <row r="810" customFormat="false" ht="14.25" hidden="false" customHeight="false" outlineLevel="0" collapsed="false">
      <c r="A810" s="15" t="s">
        <v>1293</v>
      </c>
      <c r="B810" s="16" t="n">
        <v>45347</v>
      </c>
      <c r="C810" s="15" t="s">
        <v>1245</v>
      </c>
      <c r="D810" s="15" t="s">
        <v>121</v>
      </c>
      <c r="E810" s="15" t="s">
        <v>203</v>
      </c>
      <c r="F810" s="17" t="n">
        <v>9</v>
      </c>
      <c r="G810" s="17" t="n">
        <v>370</v>
      </c>
      <c r="H810" s="17" t="n">
        <v>19.8</v>
      </c>
      <c r="I810" s="17" t="n">
        <v>2670.66</v>
      </c>
      <c r="J810" s="15" t="s">
        <v>98</v>
      </c>
      <c r="K810" s="15" t="s">
        <v>123</v>
      </c>
    </row>
    <row r="811" customFormat="false" ht="14.25" hidden="false" customHeight="false" outlineLevel="0" collapsed="false">
      <c r="A811" s="15" t="s">
        <v>1294</v>
      </c>
      <c r="B811" s="16" t="n">
        <v>45544</v>
      </c>
      <c r="C811" s="15" t="s">
        <v>894</v>
      </c>
      <c r="D811" s="15" t="s">
        <v>138</v>
      </c>
      <c r="E811" s="15" t="s">
        <v>203</v>
      </c>
      <c r="F811" s="17" t="n">
        <v>6</v>
      </c>
      <c r="G811" s="17" t="n">
        <v>970</v>
      </c>
      <c r="H811" s="17" t="n">
        <v>16.2</v>
      </c>
      <c r="I811" s="17" t="n">
        <v>4877.16</v>
      </c>
      <c r="J811" s="15" t="s">
        <v>98</v>
      </c>
      <c r="K811" s="15" t="s">
        <v>144</v>
      </c>
    </row>
    <row r="812" customFormat="false" ht="14.25" hidden="false" customHeight="false" outlineLevel="0" collapsed="false">
      <c r="A812" s="15" t="s">
        <v>1295</v>
      </c>
      <c r="B812" s="16" t="n">
        <v>45633</v>
      </c>
      <c r="C812" s="15" t="s">
        <v>327</v>
      </c>
      <c r="D812" s="15" t="s">
        <v>184</v>
      </c>
      <c r="E812" s="15" t="s">
        <v>132</v>
      </c>
      <c r="F812" s="17" t="n">
        <v>10</v>
      </c>
      <c r="G812" s="17" t="n">
        <v>2720</v>
      </c>
      <c r="H812" s="17" t="n">
        <v>3</v>
      </c>
      <c r="I812" s="17" t="n">
        <v>26384</v>
      </c>
      <c r="J812" s="15" t="s">
        <v>104</v>
      </c>
      <c r="K812" s="15" t="s">
        <v>99</v>
      </c>
    </row>
    <row r="813" customFormat="false" ht="14.25" hidden="false" customHeight="false" outlineLevel="0" collapsed="false">
      <c r="A813" s="15" t="s">
        <v>1296</v>
      </c>
      <c r="B813" s="16" t="n">
        <v>45293</v>
      </c>
      <c r="C813" s="15" t="s">
        <v>768</v>
      </c>
      <c r="D813" s="15" t="s">
        <v>162</v>
      </c>
      <c r="E813" s="15" t="s">
        <v>109</v>
      </c>
      <c r="F813" s="17" t="n">
        <v>7</v>
      </c>
      <c r="G813" s="17" t="n">
        <v>2400</v>
      </c>
      <c r="H813" s="17" t="n">
        <v>29.4</v>
      </c>
      <c r="I813" s="17" t="n">
        <v>11860.8</v>
      </c>
      <c r="J813" s="15" t="s">
        <v>98</v>
      </c>
      <c r="K813" s="15" t="s">
        <v>128</v>
      </c>
    </row>
    <row r="814" customFormat="false" ht="14.25" hidden="false" customHeight="false" outlineLevel="0" collapsed="false">
      <c r="A814" s="15" t="s">
        <v>1297</v>
      </c>
      <c r="B814" s="16" t="n">
        <v>45564</v>
      </c>
      <c r="C814" s="15" t="s">
        <v>453</v>
      </c>
      <c r="D814" s="15" t="s">
        <v>670</v>
      </c>
      <c r="E814" s="15" t="s">
        <v>336</v>
      </c>
      <c r="F814" s="17" t="n">
        <v>8</v>
      </c>
      <c r="G814" s="17" t="n">
        <v>3560</v>
      </c>
      <c r="H814" s="17" t="n">
        <v>21.7</v>
      </c>
      <c r="I814" s="17" t="n">
        <v>22299.84</v>
      </c>
      <c r="J814" s="15" t="s">
        <v>98</v>
      </c>
      <c r="K814" s="15" t="s">
        <v>99</v>
      </c>
    </row>
    <row r="815" customFormat="false" ht="14.25" hidden="false" customHeight="false" outlineLevel="0" collapsed="false">
      <c r="A815" s="15" t="s">
        <v>1298</v>
      </c>
      <c r="B815" s="16" t="n">
        <v>45385</v>
      </c>
      <c r="C815" s="15" t="s">
        <v>792</v>
      </c>
      <c r="D815" s="15" t="s">
        <v>275</v>
      </c>
      <c r="E815" s="15" t="s">
        <v>199</v>
      </c>
      <c r="F815" s="17" t="n">
        <v>7</v>
      </c>
      <c r="G815" s="17" t="n">
        <v>4070</v>
      </c>
      <c r="H815" s="17" t="n">
        <v>10.5</v>
      </c>
      <c r="I815" s="17" t="n">
        <v>25498.55</v>
      </c>
      <c r="J815" s="15" t="s">
        <v>98</v>
      </c>
      <c r="K815" s="15" t="s">
        <v>110</v>
      </c>
    </row>
    <row r="816" customFormat="false" ht="14.25" hidden="false" customHeight="false" outlineLevel="0" collapsed="false">
      <c r="A816" s="15" t="s">
        <v>1299</v>
      </c>
      <c r="B816" s="16" t="n">
        <v>45299</v>
      </c>
      <c r="C816" s="15" t="s">
        <v>626</v>
      </c>
      <c r="D816" s="15" t="s">
        <v>371</v>
      </c>
      <c r="E816" s="15" t="s">
        <v>118</v>
      </c>
      <c r="F816" s="17" t="n">
        <v>3</v>
      </c>
      <c r="G816" s="17" t="n">
        <v>5410</v>
      </c>
      <c r="H816" s="17" t="n">
        <v>0.2</v>
      </c>
      <c r="I816" s="17" t="n">
        <v>16197.54</v>
      </c>
      <c r="J816" s="15" t="s">
        <v>98</v>
      </c>
      <c r="K816" s="15" t="s">
        <v>123</v>
      </c>
    </row>
    <row r="817" customFormat="false" ht="14.25" hidden="false" customHeight="false" outlineLevel="0" collapsed="false">
      <c r="A817" s="15" t="s">
        <v>1300</v>
      </c>
      <c r="B817" s="16" t="n">
        <v>45651</v>
      </c>
      <c r="C817" s="15" t="s">
        <v>544</v>
      </c>
      <c r="D817" s="15" t="s">
        <v>211</v>
      </c>
      <c r="E817" s="15" t="s">
        <v>139</v>
      </c>
      <c r="F817" s="17" t="n">
        <v>4</v>
      </c>
      <c r="G817" s="17" t="n">
        <v>2760</v>
      </c>
      <c r="H817" s="17" t="n">
        <v>27.5</v>
      </c>
      <c r="I817" s="17" t="n">
        <v>8004</v>
      </c>
      <c r="J817" s="15" t="s">
        <v>151</v>
      </c>
      <c r="K817" s="15" t="s">
        <v>110</v>
      </c>
    </row>
    <row r="818" customFormat="false" ht="14.25" hidden="false" customHeight="false" outlineLevel="0" collapsed="false">
      <c r="A818" s="15" t="s">
        <v>1301</v>
      </c>
      <c r="B818" s="16" t="n">
        <v>45474</v>
      </c>
      <c r="C818" s="15" t="s">
        <v>468</v>
      </c>
      <c r="D818" s="15" t="s">
        <v>454</v>
      </c>
      <c r="E818" s="15" t="s">
        <v>263</v>
      </c>
      <c r="F818" s="17" t="n">
        <v>3</v>
      </c>
      <c r="G818" s="17" t="n">
        <v>5080</v>
      </c>
      <c r="H818" s="17" t="n">
        <v>27.2</v>
      </c>
      <c r="I818" s="17" t="n">
        <v>11094.72</v>
      </c>
      <c r="J818" s="15" t="s">
        <v>98</v>
      </c>
      <c r="K818" s="15" t="s">
        <v>99</v>
      </c>
    </row>
    <row r="819" customFormat="false" ht="14.25" hidden="false" customHeight="false" outlineLevel="0" collapsed="false">
      <c r="A819" s="15" t="s">
        <v>1302</v>
      </c>
      <c r="B819" s="16" t="n">
        <v>45391</v>
      </c>
      <c r="C819" s="15" t="s">
        <v>1183</v>
      </c>
      <c r="D819" s="15" t="s">
        <v>513</v>
      </c>
      <c r="E819" s="15" t="s">
        <v>249</v>
      </c>
      <c r="F819" s="17" t="n">
        <v>5</v>
      </c>
      <c r="G819" s="17" t="n">
        <v>1090</v>
      </c>
      <c r="H819" s="17" t="n">
        <v>3.3</v>
      </c>
      <c r="I819" s="17" t="n">
        <v>5270.15</v>
      </c>
      <c r="J819" s="15" t="s">
        <v>98</v>
      </c>
      <c r="K819" s="15" t="s">
        <v>99</v>
      </c>
    </row>
    <row r="820" customFormat="false" ht="14.25" hidden="false" customHeight="false" outlineLevel="0" collapsed="false">
      <c r="A820" s="15" t="s">
        <v>1303</v>
      </c>
      <c r="B820" s="16" t="n">
        <v>45328</v>
      </c>
      <c r="C820" s="15" t="s">
        <v>852</v>
      </c>
      <c r="D820" s="15" t="s">
        <v>378</v>
      </c>
      <c r="E820" s="15" t="s">
        <v>240</v>
      </c>
      <c r="F820" s="17" t="n">
        <v>10</v>
      </c>
      <c r="G820" s="17" t="n">
        <v>2380</v>
      </c>
      <c r="H820" s="17" t="n">
        <v>7</v>
      </c>
      <c r="I820" s="17" t="n">
        <v>22134</v>
      </c>
      <c r="J820" s="15" t="s">
        <v>98</v>
      </c>
      <c r="K820" s="15" t="s">
        <v>128</v>
      </c>
    </row>
    <row r="821" customFormat="false" ht="14.25" hidden="false" customHeight="false" outlineLevel="0" collapsed="false">
      <c r="A821" s="15" t="s">
        <v>1304</v>
      </c>
      <c r="B821" s="16" t="n">
        <v>45490</v>
      </c>
      <c r="C821" s="15" t="s">
        <v>1305</v>
      </c>
      <c r="D821" s="15" t="s">
        <v>117</v>
      </c>
      <c r="E821" s="15" t="s">
        <v>212</v>
      </c>
      <c r="F821" s="17" t="n">
        <v>5</v>
      </c>
      <c r="G821" s="17" t="n">
        <v>3160</v>
      </c>
      <c r="H821" s="17" t="n">
        <v>25.6</v>
      </c>
      <c r="I821" s="17" t="n">
        <v>11755.2</v>
      </c>
      <c r="J821" s="15" t="s">
        <v>98</v>
      </c>
      <c r="K821" s="15" t="s">
        <v>105</v>
      </c>
    </row>
    <row r="822" customFormat="false" ht="14.25" hidden="false" customHeight="false" outlineLevel="0" collapsed="false">
      <c r="A822" s="15" t="s">
        <v>1306</v>
      </c>
      <c r="B822" s="16" t="n">
        <v>45362</v>
      </c>
      <c r="C822" s="15" t="s">
        <v>916</v>
      </c>
      <c r="D822" s="15" t="s">
        <v>162</v>
      </c>
      <c r="E822" s="15" t="s">
        <v>240</v>
      </c>
      <c r="F822" s="17" t="n">
        <v>9</v>
      </c>
      <c r="G822" s="17" t="n">
        <v>2400</v>
      </c>
      <c r="H822" s="17" t="n">
        <v>8.4</v>
      </c>
      <c r="I822" s="17" t="n">
        <v>19785.6</v>
      </c>
      <c r="J822" s="15" t="s">
        <v>98</v>
      </c>
      <c r="K822" s="15" t="s">
        <v>123</v>
      </c>
    </row>
    <row r="823" customFormat="false" ht="14.25" hidden="false" customHeight="false" outlineLevel="0" collapsed="false">
      <c r="A823" s="15" t="s">
        <v>1307</v>
      </c>
      <c r="B823" s="16" t="n">
        <v>45449</v>
      </c>
      <c r="C823" s="15" t="s">
        <v>1308</v>
      </c>
      <c r="D823" s="15" t="s">
        <v>149</v>
      </c>
      <c r="E823" s="15" t="s">
        <v>203</v>
      </c>
      <c r="F823" s="17" t="n">
        <v>4</v>
      </c>
      <c r="G823" s="17" t="n">
        <v>2600</v>
      </c>
      <c r="H823" s="17" t="n">
        <v>4.2</v>
      </c>
      <c r="I823" s="17" t="n">
        <v>9963.2</v>
      </c>
      <c r="J823" s="15" t="s">
        <v>98</v>
      </c>
      <c r="K823" s="15" t="s">
        <v>123</v>
      </c>
    </row>
    <row r="824" customFormat="false" ht="14.25" hidden="false" customHeight="false" outlineLevel="0" collapsed="false">
      <c r="A824" s="15" t="s">
        <v>1309</v>
      </c>
      <c r="B824" s="16" t="n">
        <v>45409</v>
      </c>
      <c r="C824" s="15" t="s">
        <v>1310</v>
      </c>
      <c r="D824" s="15" t="s">
        <v>142</v>
      </c>
      <c r="E824" s="15" t="s">
        <v>165</v>
      </c>
      <c r="F824" s="17" t="n">
        <v>5</v>
      </c>
      <c r="G824" s="17" t="n">
        <v>2270</v>
      </c>
      <c r="H824" s="17" t="n">
        <v>0.1</v>
      </c>
      <c r="I824" s="17" t="n">
        <v>11338.65</v>
      </c>
      <c r="J824" s="15" t="s">
        <v>98</v>
      </c>
      <c r="K824" s="15" t="s">
        <v>123</v>
      </c>
    </row>
    <row r="825" customFormat="false" ht="14.25" hidden="false" customHeight="false" outlineLevel="0" collapsed="false">
      <c r="A825" s="15" t="s">
        <v>1311</v>
      </c>
      <c r="B825" s="16" t="n">
        <v>45465</v>
      </c>
      <c r="C825" s="15" t="s">
        <v>852</v>
      </c>
      <c r="D825" s="15" t="s">
        <v>135</v>
      </c>
      <c r="E825" s="15" t="s">
        <v>203</v>
      </c>
      <c r="F825" s="17" t="n">
        <v>7</v>
      </c>
      <c r="G825" s="17" t="n">
        <v>5490</v>
      </c>
      <c r="H825" s="17" t="n">
        <v>14.9</v>
      </c>
      <c r="I825" s="17" t="n">
        <v>32703.93</v>
      </c>
      <c r="J825" s="15" t="s">
        <v>98</v>
      </c>
      <c r="K825" s="15" t="s">
        <v>128</v>
      </c>
    </row>
    <row r="826" customFormat="false" ht="14.25" hidden="false" customHeight="false" outlineLevel="0" collapsed="false">
      <c r="A826" s="15" t="s">
        <v>1312</v>
      </c>
      <c r="B826" s="16" t="n">
        <v>45415</v>
      </c>
      <c r="C826" s="15" t="s">
        <v>687</v>
      </c>
      <c r="D826" s="15" t="s">
        <v>259</v>
      </c>
      <c r="E826" s="15" t="s">
        <v>215</v>
      </c>
      <c r="F826" s="17" t="n">
        <v>5</v>
      </c>
      <c r="G826" s="17" t="n">
        <v>3870</v>
      </c>
      <c r="H826" s="17" t="n">
        <v>13.3</v>
      </c>
      <c r="I826" s="17" t="n">
        <v>16776.45</v>
      </c>
      <c r="J826" s="15" t="s">
        <v>151</v>
      </c>
      <c r="K826" s="15" t="s">
        <v>99</v>
      </c>
    </row>
    <row r="827" customFormat="false" ht="14.25" hidden="false" customHeight="false" outlineLevel="0" collapsed="false">
      <c r="A827" s="15" t="s">
        <v>1313</v>
      </c>
      <c r="B827" s="16" t="n">
        <v>45372</v>
      </c>
      <c r="C827" s="15" t="s">
        <v>700</v>
      </c>
      <c r="D827" s="15" t="s">
        <v>391</v>
      </c>
      <c r="E827" s="15" t="s">
        <v>127</v>
      </c>
      <c r="F827" s="17" t="n">
        <v>2</v>
      </c>
      <c r="G827" s="17" t="n">
        <v>960</v>
      </c>
      <c r="H827" s="17" t="n">
        <v>17.5</v>
      </c>
      <c r="I827" s="17" t="n">
        <v>1584</v>
      </c>
      <c r="J827" s="15" t="s">
        <v>98</v>
      </c>
      <c r="K827" s="15" t="s">
        <v>144</v>
      </c>
    </row>
    <row r="828" customFormat="false" ht="14.25" hidden="false" customHeight="false" outlineLevel="0" collapsed="false">
      <c r="A828" s="15" t="s">
        <v>1314</v>
      </c>
      <c r="B828" s="16" t="n">
        <v>45405</v>
      </c>
      <c r="C828" s="15" t="s">
        <v>1066</v>
      </c>
      <c r="D828" s="15" t="s">
        <v>195</v>
      </c>
      <c r="E828" s="15" t="s">
        <v>226</v>
      </c>
      <c r="F828" s="17" t="n">
        <v>4</v>
      </c>
      <c r="G828" s="17" t="n">
        <v>4880</v>
      </c>
      <c r="H828" s="17" t="n">
        <v>12.2</v>
      </c>
      <c r="I828" s="17" t="n">
        <v>17138.56</v>
      </c>
      <c r="J828" s="15" t="s">
        <v>151</v>
      </c>
      <c r="K828" s="15" t="s">
        <v>123</v>
      </c>
    </row>
    <row r="829" customFormat="false" ht="14.25" hidden="false" customHeight="false" outlineLevel="0" collapsed="false">
      <c r="A829" s="15" t="s">
        <v>1315</v>
      </c>
      <c r="B829" s="16" t="n">
        <v>45419</v>
      </c>
      <c r="C829" s="15" t="s">
        <v>654</v>
      </c>
      <c r="D829" s="15" t="s">
        <v>162</v>
      </c>
      <c r="E829" s="15" t="s">
        <v>118</v>
      </c>
      <c r="F829" s="17" t="n">
        <v>5</v>
      </c>
      <c r="G829" s="17" t="n">
        <v>2400</v>
      </c>
      <c r="H829" s="17" t="n">
        <v>15</v>
      </c>
      <c r="I829" s="17" t="n">
        <v>10200</v>
      </c>
      <c r="J829" s="15" t="s">
        <v>98</v>
      </c>
      <c r="K829" s="15" t="s">
        <v>123</v>
      </c>
    </row>
    <row r="830" customFormat="false" ht="14.25" hidden="false" customHeight="false" outlineLevel="0" collapsed="false">
      <c r="A830" s="15" t="s">
        <v>1316</v>
      </c>
      <c r="B830" s="16" t="n">
        <v>45522</v>
      </c>
      <c r="C830" s="15" t="s">
        <v>319</v>
      </c>
      <c r="D830" s="15" t="s">
        <v>303</v>
      </c>
      <c r="E830" s="15" t="s">
        <v>199</v>
      </c>
      <c r="F830" s="17" t="n">
        <v>9</v>
      </c>
      <c r="G830" s="17" t="n">
        <v>620</v>
      </c>
      <c r="H830" s="17" t="n">
        <v>20.4</v>
      </c>
      <c r="I830" s="17" t="n">
        <v>4441.68</v>
      </c>
      <c r="J830" s="15" t="s">
        <v>104</v>
      </c>
      <c r="K830" s="15" t="s">
        <v>99</v>
      </c>
    </row>
    <row r="831" customFormat="false" ht="14.25" hidden="false" customHeight="false" outlineLevel="0" collapsed="false">
      <c r="A831" s="15" t="s">
        <v>1317</v>
      </c>
      <c r="B831" s="16" t="n">
        <v>45513</v>
      </c>
      <c r="C831" s="15" t="s">
        <v>749</v>
      </c>
      <c r="D831" s="15" t="s">
        <v>281</v>
      </c>
      <c r="E831" s="15" t="s">
        <v>263</v>
      </c>
      <c r="F831" s="17" t="n">
        <v>1</v>
      </c>
      <c r="G831" s="17" t="n">
        <v>4610</v>
      </c>
      <c r="H831" s="17" t="n">
        <v>1.8</v>
      </c>
      <c r="I831" s="17" t="n">
        <v>4527.02</v>
      </c>
      <c r="J831" s="15" t="s">
        <v>104</v>
      </c>
      <c r="K831" s="15" t="s">
        <v>99</v>
      </c>
    </row>
    <row r="832" customFormat="false" ht="14.25" hidden="false" customHeight="false" outlineLevel="0" collapsed="false">
      <c r="A832" s="15" t="s">
        <v>1318</v>
      </c>
      <c r="B832" s="16" t="n">
        <v>45500</v>
      </c>
      <c r="C832" s="15" t="s">
        <v>1319</v>
      </c>
      <c r="D832" s="15" t="s">
        <v>281</v>
      </c>
      <c r="E832" s="15" t="s">
        <v>109</v>
      </c>
      <c r="F832" s="17" t="n">
        <v>7</v>
      </c>
      <c r="G832" s="17" t="n">
        <v>4610</v>
      </c>
      <c r="H832" s="17" t="n">
        <v>27</v>
      </c>
      <c r="I832" s="17" t="n">
        <v>23557.1</v>
      </c>
      <c r="J832" s="15" t="s">
        <v>98</v>
      </c>
      <c r="K832" s="15" t="s">
        <v>105</v>
      </c>
    </row>
    <row r="833" customFormat="false" ht="14.25" hidden="false" customHeight="false" outlineLevel="0" collapsed="false">
      <c r="A833" s="15" t="s">
        <v>1320</v>
      </c>
      <c r="B833" s="16" t="n">
        <v>45608</v>
      </c>
      <c r="C833" s="15" t="s">
        <v>977</v>
      </c>
      <c r="D833" s="15" t="s">
        <v>138</v>
      </c>
      <c r="E833" s="15" t="s">
        <v>240</v>
      </c>
      <c r="F833" s="17" t="n">
        <v>6</v>
      </c>
      <c r="G833" s="17" t="n">
        <v>970</v>
      </c>
      <c r="H833" s="17" t="n">
        <v>4.7</v>
      </c>
      <c r="I833" s="17" t="n">
        <v>5546.46</v>
      </c>
      <c r="J833" s="15" t="s">
        <v>151</v>
      </c>
      <c r="K833" s="15" t="s">
        <v>144</v>
      </c>
    </row>
    <row r="834" customFormat="false" ht="14.25" hidden="false" customHeight="false" outlineLevel="0" collapsed="false">
      <c r="A834" s="15" t="s">
        <v>1321</v>
      </c>
      <c r="B834" s="16" t="n">
        <v>45362</v>
      </c>
      <c r="C834" s="15" t="s">
        <v>483</v>
      </c>
      <c r="D834" s="15" t="s">
        <v>131</v>
      </c>
      <c r="E834" s="15" t="s">
        <v>212</v>
      </c>
      <c r="F834" s="17" t="n">
        <v>8</v>
      </c>
      <c r="G834" s="17" t="n">
        <v>1430</v>
      </c>
      <c r="H834" s="17" t="n">
        <v>8.7</v>
      </c>
      <c r="I834" s="17" t="n">
        <v>10444.72</v>
      </c>
      <c r="J834" s="15" t="s">
        <v>98</v>
      </c>
      <c r="K834" s="15" t="s">
        <v>105</v>
      </c>
    </row>
    <row r="835" customFormat="false" ht="14.25" hidden="false" customHeight="false" outlineLevel="0" collapsed="false">
      <c r="A835" s="15" t="s">
        <v>1322</v>
      </c>
      <c r="B835" s="16" t="n">
        <v>45348</v>
      </c>
      <c r="C835" s="15" t="s">
        <v>230</v>
      </c>
      <c r="D835" s="15" t="s">
        <v>245</v>
      </c>
      <c r="E835" s="15" t="s">
        <v>284</v>
      </c>
      <c r="F835" s="17" t="n">
        <v>5</v>
      </c>
      <c r="G835" s="17" t="n">
        <v>3780</v>
      </c>
      <c r="H835" s="17" t="n">
        <v>2.9</v>
      </c>
      <c r="I835" s="17" t="n">
        <v>18351.9</v>
      </c>
      <c r="J835" s="15" t="s">
        <v>98</v>
      </c>
      <c r="K835" s="15" t="s">
        <v>110</v>
      </c>
    </row>
    <row r="836" customFormat="false" ht="14.25" hidden="false" customHeight="false" outlineLevel="0" collapsed="false">
      <c r="A836" s="15" t="s">
        <v>1323</v>
      </c>
      <c r="B836" s="16" t="n">
        <v>45532</v>
      </c>
      <c r="C836" s="15" t="s">
        <v>512</v>
      </c>
      <c r="D836" s="15" t="s">
        <v>270</v>
      </c>
      <c r="E836" s="15" t="s">
        <v>165</v>
      </c>
      <c r="F836" s="17" t="n">
        <v>2</v>
      </c>
      <c r="G836" s="17" t="n">
        <v>1540</v>
      </c>
      <c r="H836" s="17" t="n">
        <v>12.7</v>
      </c>
      <c r="I836" s="17" t="n">
        <v>2688.84</v>
      </c>
      <c r="J836" s="15" t="s">
        <v>98</v>
      </c>
      <c r="K836" s="15" t="s">
        <v>144</v>
      </c>
    </row>
    <row r="837" customFormat="false" ht="14.25" hidden="false" customHeight="false" outlineLevel="0" collapsed="false">
      <c r="A837" s="15" t="s">
        <v>1324</v>
      </c>
      <c r="B837" s="16" t="n">
        <v>45492</v>
      </c>
      <c r="C837" s="15" t="s">
        <v>1183</v>
      </c>
      <c r="D837" s="15" t="s">
        <v>175</v>
      </c>
      <c r="E837" s="15" t="s">
        <v>203</v>
      </c>
      <c r="F837" s="17" t="n">
        <v>9</v>
      </c>
      <c r="G837" s="17" t="n">
        <v>1080</v>
      </c>
      <c r="H837" s="17" t="n">
        <v>11.2</v>
      </c>
      <c r="I837" s="17" t="n">
        <v>8631.36</v>
      </c>
      <c r="J837" s="15" t="s">
        <v>151</v>
      </c>
      <c r="K837" s="15" t="s">
        <v>99</v>
      </c>
    </row>
    <row r="838" customFormat="false" ht="14.25" hidden="false" customHeight="false" outlineLevel="0" collapsed="false">
      <c r="A838" s="15" t="s">
        <v>1325</v>
      </c>
      <c r="B838" s="16" t="n">
        <v>45368</v>
      </c>
      <c r="C838" s="15" t="s">
        <v>959</v>
      </c>
      <c r="D838" s="15" t="s">
        <v>162</v>
      </c>
      <c r="E838" s="15" t="s">
        <v>97</v>
      </c>
      <c r="F838" s="17" t="n">
        <v>3</v>
      </c>
      <c r="G838" s="17" t="n">
        <v>2400</v>
      </c>
      <c r="H838" s="17" t="n">
        <v>28.6</v>
      </c>
      <c r="I838" s="17" t="n">
        <v>5140.8</v>
      </c>
      <c r="J838" s="15" t="s">
        <v>98</v>
      </c>
      <c r="K838" s="15" t="s">
        <v>99</v>
      </c>
    </row>
    <row r="839" customFormat="false" ht="14.25" hidden="false" customHeight="false" outlineLevel="0" collapsed="false">
      <c r="A839" s="15" t="s">
        <v>1326</v>
      </c>
      <c r="B839" s="16" t="n">
        <v>45448</v>
      </c>
      <c r="C839" s="15" t="s">
        <v>164</v>
      </c>
      <c r="D839" s="15" t="s">
        <v>175</v>
      </c>
      <c r="E839" s="15" t="s">
        <v>314</v>
      </c>
      <c r="F839" s="17" t="n">
        <v>5</v>
      </c>
      <c r="G839" s="17" t="n">
        <v>1080</v>
      </c>
      <c r="H839" s="17" t="n">
        <v>18.3</v>
      </c>
      <c r="I839" s="17" t="n">
        <v>4411.8</v>
      </c>
      <c r="J839" s="15" t="s">
        <v>98</v>
      </c>
      <c r="K839" s="15" t="s">
        <v>128</v>
      </c>
    </row>
    <row r="840" customFormat="false" ht="14.25" hidden="false" customHeight="false" outlineLevel="0" collapsed="false">
      <c r="A840" s="15" t="s">
        <v>1327</v>
      </c>
      <c r="B840" s="16" t="n">
        <v>45610</v>
      </c>
      <c r="C840" s="15" t="s">
        <v>412</v>
      </c>
      <c r="D840" s="15" t="s">
        <v>142</v>
      </c>
      <c r="E840" s="15" t="s">
        <v>354</v>
      </c>
      <c r="F840" s="17" t="n">
        <v>7</v>
      </c>
      <c r="G840" s="17" t="n">
        <v>2270</v>
      </c>
      <c r="H840" s="17" t="n">
        <v>1.7</v>
      </c>
      <c r="I840" s="17" t="n">
        <v>15619.87</v>
      </c>
      <c r="J840" s="15" t="s">
        <v>151</v>
      </c>
      <c r="K840" s="15" t="s">
        <v>105</v>
      </c>
    </row>
    <row r="841" customFormat="false" ht="14.25" hidden="false" customHeight="false" outlineLevel="0" collapsed="false">
      <c r="A841" s="15" t="s">
        <v>1328</v>
      </c>
      <c r="B841" s="16" t="n">
        <v>45438</v>
      </c>
      <c r="C841" s="15" t="s">
        <v>654</v>
      </c>
      <c r="D841" s="15" t="s">
        <v>113</v>
      </c>
      <c r="E841" s="15" t="s">
        <v>212</v>
      </c>
      <c r="F841" s="17" t="n">
        <v>8</v>
      </c>
      <c r="G841" s="17" t="n">
        <v>3660</v>
      </c>
      <c r="H841" s="17" t="n">
        <v>19.1</v>
      </c>
      <c r="I841" s="17" t="n">
        <v>23687.52</v>
      </c>
      <c r="J841" s="15" t="s">
        <v>151</v>
      </c>
      <c r="K841" s="15" t="s">
        <v>123</v>
      </c>
    </row>
    <row r="842" customFormat="false" ht="14.25" hidden="false" customHeight="false" outlineLevel="0" collapsed="false">
      <c r="A842" s="15" t="s">
        <v>1329</v>
      </c>
      <c r="B842" s="16" t="n">
        <v>45477</v>
      </c>
      <c r="C842" s="15" t="s">
        <v>544</v>
      </c>
      <c r="D842" s="15" t="s">
        <v>154</v>
      </c>
      <c r="E842" s="15" t="s">
        <v>159</v>
      </c>
      <c r="F842" s="17" t="n">
        <v>5</v>
      </c>
      <c r="G842" s="17" t="n">
        <v>3250</v>
      </c>
      <c r="H842" s="17" t="n">
        <v>12.9</v>
      </c>
      <c r="I842" s="17" t="n">
        <v>14153.75</v>
      </c>
      <c r="J842" s="15" t="s">
        <v>98</v>
      </c>
      <c r="K842" s="15" t="s">
        <v>110</v>
      </c>
    </row>
    <row r="843" customFormat="false" ht="14.25" hidden="false" customHeight="false" outlineLevel="0" collapsed="false">
      <c r="A843" s="15" t="s">
        <v>1330</v>
      </c>
      <c r="B843" s="16" t="n">
        <v>45328</v>
      </c>
      <c r="C843" s="15" t="s">
        <v>574</v>
      </c>
      <c r="D843" s="15" t="s">
        <v>187</v>
      </c>
      <c r="E843" s="15" t="s">
        <v>336</v>
      </c>
      <c r="F843" s="17" t="n">
        <v>4</v>
      </c>
      <c r="G843" s="17" t="n">
        <v>1650</v>
      </c>
      <c r="H843" s="17" t="n">
        <v>4.1</v>
      </c>
      <c r="I843" s="17" t="n">
        <v>6329.4</v>
      </c>
      <c r="J843" s="15" t="s">
        <v>98</v>
      </c>
      <c r="K843" s="15" t="s">
        <v>99</v>
      </c>
    </row>
    <row r="844" customFormat="false" ht="14.25" hidden="false" customHeight="false" outlineLevel="0" collapsed="false">
      <c r="A844" s="15" t="s">
        <v>1331</v>
      </c>
      <c r="B844" s="16" t="n">
        <v>45624</v>
      </c>
      <c r="C844" s="15" t="s">
        <v>305</v>
      </c>
      <c r="D844" s="15" t="s">
        <v>454</v>
      </c>
      <c r="E844" s="15" t="s">
        <v>159</v>
      </c>
      <c r="F844" s="17" t="n">
        <v>6</v>
      </c>
      <c r="G844" s="17" t="n">
        <v>5080</v>
      </c>
      <c r="H844" s="17" t="n">
        <v>3</v>
      </c>
      <c r="I844" s="17" t="n">
        <v>29565.6</v>
      </c>
      <c r="J844" s="15" t="s">
        <v>98</v>
      </c>
      <c r="K844" s="15" t="s">
        <v>144</v>
      </c>
    </row>
    <row r="845" customFormat="false" ht="14.25" hidden="false" customHeight="false" outlineLevel="0" collapsed="false">
      <c r="A845" s="15" t="s">
        <v>1332</v>
      </c>
      <c r="B845" s="16" t="n">
        <v>45614</v>
      </c>
      <c r="C845" s="15" t="s">
        <v>1001</v>
      </c>
      <c r="D845" s="15" t="s">
        <v>172</v>
      </c>
      <c r="E845" s="15" t="s">
        <v>354</v>
      </c>
      <c r="F845" s="17" t="n">
        <v>8</v>
      </c>
      <c r="G845" s="17" t="n">
        <v>3450</v>
      </c>
      <c r="H845" s="17" t="n">
        <v>20.9</v>
      </c>
      <c r="I845" s="17" t="n">
        <v>21831.6</v>
      </c>
      <c r="J845" s="15" t="s">
        <v>98</v>
      </c>
      <c r="K845" s="15" t="s">
        <v>128</v>
      </c>
    </row>
    <row r="846" customFormat="false" ht="14.25" hidden="false" customHeight="false" outlineLevel="0" collapsed="false">
      <c r="A846" s="15" t="s">
        <v>1333</v>
      </c>
      <c r="B846" s="16" t="n">
        <v>45429</v>
      </c>
      <c r="C846" s="15" t="s">
        <v>312</v>
      </c>
      <c r="D846" s="15" t="s">
        <v>190</v>
      </c>
      <c r="E846" s="15" t="s">
        <v>314</v>
      </c>
      <c r="F846" s="17" t="n">
        <v>6</v>
      </c>
      <c r="G846" s="17" t="n">
        <v>3350</v>
      </c>
      <c r="H846" s="17" t="n">
        <v>24.8</v>
      </c>
      <c r="I846" s="17" t="n">
        <v>15115.2</v>
      </c>
      <c r="J846" s="15" t="s">
        <v>98</v>
      </c>
      <c r="K846" s="15" t="s">
        <v>105</v>
      </c>
    </row>
    <row r="847" customFormat="false" ht="14.25" hidden="false" customHeight="false" outlineLevel="0" collapsed="false">
      <c r="A847" s="15" t="s">
        <v>1334</v>
      </c>
      <c r="B847" s="16" t="n">
        <v>45451</v>
      </c>
      <c r="C847" s="15" t="s">
        <v>680</v>
      </c>
      <c r="D847" s="15" t="s">
        <v>349</v>
      </c>
      <c r="E847" s="15" t="s">
        <v>354</v>
      </c>
      <c r="F847" s="17" t="n">
        <v>10</v>
      </c>
      <c r="G847" s="17" t="n">
        <v>2210</v>
      </c>
      <c r="H847" s="17" t="n">
        <v>4.2</v>
      </c>
      <c r="I847" s="17" t="n">
        <v>21171.8</v>
      </c>
      <c r="J847" s="15" t="s">
        <v>98</v>
      </c>
      <c r="K847" s="15" t="s">
        <v>144</v>
      </c>
    </row>
    <row r="848" customFormat="false" ht="14.25" hidden="false" customHeight="false" outlineLevel="0" collapsed="false">
      <c r="A848" s="15" t="s">
        <v>1335</v>
      </c>
      <c r="B848" s="16" t="n">
        <v>45444</v>
      </c>
      <c r="C848" s="15" t="s">
        <v>649</v>
      </c>
      <c r="D848" s="15" t="s">
        <v>195</v>
      </c>
      <c r="E848" s="15" t="s">
        <v>114</v>
      </c>
      <c r="F848" s="17" t="n">
        <v>10</v>
      </c>
      <c r="G848" s="17" t="n">
        <v>4880</v>
      </c>
      <c r="H848" s="17" t="n">
        <v>0.7</v>
      </c>
      <c r="I848" s="17" t="n">
        <v>48458.4</v>
      </c>
      <c r="J848" s="15" t="s">
        <v>98</v>
      </c>
      <c r="K848" s="15" t="s">
        <v>110</v>
      </c>
    </row>
    <row r="849" customFormat="false" ht="14.25" hidden="false" customHeight="false" outlineLevel="0" collapsed="false">
      <c r="A849" s="15" t="s">
        <v>1336</v>
      </c>
      <c r="B849" s="16" t="n">
        <v>45369</v>
      </c>
      <c r="C849" s="15" t="s">
        <v>174</v>
      </c>
      <c r="D849" s="15" t="s">
        <v>206</v>
      </c>
      <c r="E849" s="15" t="s">
        <v>150</v>
      </c>
      <c r="F849" s="17" t="n">
        <v>7</v>
      </c>
      <c r="G849" s="17" t="n">
        <v>2860</v>
      </c>
      <c r="H849" s="17" t="n">
        <v>28.1</v>
      </c>
      <c r="I849" s="17" t="n">
        <v>14394.38</v>
      </c>
      <c r="J849" s="15" t="s">
        <v>104</v>
      </c>
      <c r="K849" s="15" t="s">
        <v>105</v>
      </c>
    </row>
    <row r="850" customFormat="false" ht="14.25" hidden="false" customHeight="false" outlineLevel="0" collapsed="false">
      <c r="A850" s="15" t="s">
        <v>1337</v>
      </c>
      <c r="B850" s="16" t="n">
        <v>45581</v>
      </c>
      <c r="C850" s="15" t="s">
        <v>453</v>
      </c>
      <c r="D850" s="15" t="s">
        <v>138</v>
      </c>
      <c r="E850" s="15" t="s">
        <v>103</v>
      </c>
      <c r="F850" s="17" t="n">
        <v>3</v>
      </c>
      <c r="G850" s="17" t="n">
        <v>970</v>
      </c>
      <c r="H850" s="17" t="n">
        <v>28.3</v>
      </c>
      <c r="I850" s="17" t="n">
        <v>2086.47</v>
      </c>
      <c r="J850" s="15" t="s">
        <v>98</v>
      </c>
      <c r="K850" s="15" t="s">
        <v>99</v>
      </c>
    </row>
    <row r="851" customFormat="false" ht="14.25" hidden="false" customHeight="false" outlineLevel="0" collapsed="false">
      <c r="A851" s="15" t="s">
        <v>1338</v>
      </c>
      <c r="B851" s="16" t="n">
        <v>45494</v>
      </c>
      <c r="C851" s="15" t="s">
        <v>988</v>
      </c>
      <c r="D851" s="15" t="s">
        <v>256</v>
      </c>
      <c r="E851" s="15" t="s">
        <v>118</v>
      </c>
      <c r="F851" s="17" t="n">
        <v>1</v>
      </c>
      <c r="G851" s="17" t="n">
        <v>2270</v>
      </c>
      <c r="H851" s="17" t="n">
        <v>15.1</v>
      </c>
      <c r="I851" s="17" t="n">
        <v>1927.23</v>
      </c>
      <c r="J851" s="15" t="s">
        <v>98</v>
      </c>
      <c r="K851" s="15" t="s">
        <v>99</v>
      </c>
    </row>
    <row r="852" customFormat="false" ht="14.25" hidden="false" customHeight="false" outlineLevel="0" collapsed="false">
      <c r="A852" s="15" t="s">
        <v>1339</v>
      </c>
      <c r="B852" s="16" t="n">
        <v>45324</v>
      </c>
      <c r="C852" s="15" t="s">
        <v>380</v>
      </c>
      <c r="D852" s="15" t="s">
        <v>670</v>
      </c>
      <c r="E852" s="15" t="s">
        <v>199</v>
      </c>
      <c r="F852" s="17" t="n">
        <v>5</v>
      </c>
      <c r="G852" s="17" t="n">
        <v>3560</v>
      </c>
      <c r="H852" s="17" t="n">
        <v>11.5</v>
      </c>
      <c r="I852" s="17" t="n">
        <v>15753</v>
      </c>
      <c r="J852" s="15" t="s">
        <v>98</v>
      </c>
      <c r="K852" s="15" t="s">
        <v>105</v>
      </c>
    </row>
    <row r="853" customFormat="false" ht="14.25" hidden="false" customHeight="false" outlineLevel="0" collapsed="false">
      <c r="A853" s="15" t="s">
        <v>1340</v>
      </c>
      <c r="B853" s="16" t="n">
        <v>45419</v>
      </c>
      <c r="C853" s="15" t="s">
        <v>189</v>
      </c>
      <c r="D853" s="15" t="s">
        <v>371</v>
      </c>
      <c r="E853" s="15" t="s">
        <v>143</v>
      </c>
      <c r="F853" s="17" t="n">
        <v>2</v>
      </c>
      <c r="G853" s="17" t="n">
        <v>5410</v>
      </c>
      <c r="H853" s="17" t="n">
        <v>14.8</v>
      </c>
      <c r="I853" s="17" t="n">
        <v>9218.64</v>
      </c>
      <c r="J853" s="15" t="s">
        <v>104</v>
      </c>
      <c r="K853" s="15" t="s">
        <v>105</v>
      </c>
    </row>
    <row r="854" customFormat="false" ht="14.25" hidden="false" customHeight="false" outlineLevel="0" collapsed="false">
      <c r="A854" s="15" t="s">
        <v>1341</v>
      </c>
      <c r="B854" s="16" t="n">
        <v>45656</v>
      </c>
      <c r="C854" s="15" t="s">
        <v>932</v>
      </c>
      <c r="D854" s="15" t="s">
        <v>178</v>
      </c>
      <c r="E854" s="15" t="s">
        <v>114</v>
      </c>
      <c r="F854" s="17" t="n">
        <v>2</v>
      </c>
      <c r="G854" s="17" t="n">
        <v>2480</v>
      </c>
      <c r="H854" s="17" t="n">
        <v>27.2</v>
      </c>
      <c r="I854" s="17" t="n">
        <v>3610.88</v>
      </c>
      <c r="J854" s="15" t="s">
        <v>98</v>
      </c>
      <c r="K854" s="15" t="s">
        <v>128</v>
      </c>
    </row>
    <row r="855" customFormat="false" ht="14.25" hidden="false" customHeight="false" outlineLevel="0" collapsed="false">
      <c r="A855" s="15" t="s">
        <v>1342</v>
      </c>
      <c r="B855" s="16" t="n">
        <v>45350</v>
      </c>
      <c r="C855" s="15" t="s">
        <v>541</v>
      </c>
      <c r="D855" s="15" t="s">
        <v>102</v>
      </c>
      <c r="E855" s="15" t="s">
        <v>109</v>
      </c>
      <c r="F855" s="17" t="n">
        <v>6</v>
      </c>
      <c r="G855" s="17" t="n">
        <v>820</v>
      </c>
      <c r="H855" s="17" t="n">
        <v>6.6</v>
      </c>
      <c r="I855" s="17" t="n">
        <v>4595.28</v>
      </c>
      <c r="J855" s="15" t="s">
        <v>98</v>
      </c>
      <c r="K855" s="15" t="s">
        <v>110</v>
      </c>
    </row>
    <row r="856" customFormat="false" ht="14.25" hidden="false" customHeight="false" outlineLevel="0" collapsed="false">
      <c r="A856" s="15" t="s">
        <v>1343</v>
      </c>
      <c r="B856" s="16" t="n">
        <v>45434</v>
      </c>
      <c r="C856" s="15" t="s">
        <v>258</v>
      </c>
      <c r="D856" s="15" t="s">
        <v>375</v>
      </c>
      <c r="E856" s="15" t="s">
        <v>199</v>
      </c>
      <c r="F856" s="17" t="n">
        <v>10</v>
      </c>
      <c r="G856" s="17" t="n">
        <v>5330</v>
      </c>
      <c r="H856" s="17" t="n">
        <v>16.1</v>
      </c>
      <c r="I856" s="17" t="n">
        <v>44718.7</v>
      </c>
      <c r="J856" s="15" t="s">
        <v>98</v>
      </c>
      <c r="K856" s="15" t="s">
        <v>128</v>
      </c>
    </row>
    <row r="857" customFormat="false" ht="14.25" hidden="false" customHeight="false" outlineLevel="0" collapsed="false">
      <c r="A857" s="15" t="s">
        <v>1344</v>
      </c>
      <c r="B857" s="16" t="n">
        <v>45438</v>
      </c>
      <c r="C857" s="15" t="s">
        <v>755</v>
      </c>
      <c r="D857" s="15" t="s">
        <v>168</v>
      </c>
      <c r="E857" s="15" t="s">
        <v>150</v>
      </c>
      <c r="F857" s="17" t="n">
        <v>2</v>
      </c>
      <c r="G857" s="17" t="n">
        <v>3450</v>
      </c>
      <c r="H857" s="17" t="n">
        <v>11.3</v>
      </c>
      <c r="I857" s="17" t="n">
        <v>6120.3</v>
      </c>
      <c r="J857" s="15" t="s">
        <v>104</v>
      </c>
      <c r="K857" s="15" t="s">
        <v>144</v>
      </c>
    </row>
    <row r="858" customFormat="false" ht="14.25" hidden="false" customHeight="false" outlineLevel="0" collapsed="false">
      <c r="A858" s="15" t="s">
        <v>1345</v>
      </c>
      <c r="B858" s="16" t="n">
        <v>45486</v>
      </c>
      <c r="C858" s="15" t="s">
        <v>312</v>
      </c>
      <c r="D858" s="15" t="s">
        <v>391</v>
      </c>
      <c r="E858" s="15" t="s">
        <v>165</v>
      </c>
      <c r="F858" s="17" t="n">
        <v>7</v>
      </c>
      <c r="G858" s="17" t="n">
        <v>960</v>
      </c>
      <c r="H858" s="17" t="n">
        <v>17.1</v>
      </c>
      <c r="I858" s="17" t="n">
        <v>5570.88</v>
      </c>
      <c r="J858" s="15" t="s">
        <v>98</v>
      </c>
      <c r="K858" s="15" t="s">
        <v>105</v>
      </c>
    </row>
    <row r="859" customFormat="false" ht="14.25" hidden="false" customHeight="false" outlineLevel="0" collapsed="false">
      <c r="A859" s="15" t="s">
        <v>1346</v>
      </c>
      <c r="B859" s="16" t="n">
        <v>45623</v>
      </c>
      <c r="C859" s="15" t="s">
        <v>305</v>
      </c>
      <c r="D859" s="15" t="s">
        <v>463</v>
      </c>
      <c r="E859" s="15" t="s">
        <v>159</v>
      </c>
      <c r="F859" s="17" t="n">
        <v>5</v>
      </c>
      <c r="G859" s="17" t="n">
        <v>3450</v>
      </c>
      <c r="H859" s="17" t="n">
        <v>22.9</v>
      </c>
      <c r="I859" s="17" t="n">
        <v>13299.75</v>
      </c>
      <c r="J859" s="15" t="s">
        <v>98</v>
      </c>
      <c r="K859" s="15" t="s">
        <v>144</v>
      </c>
    </row>
    <row r="860" customFormat="false" ht="14.25" hidden="false" customHeight="false" outlineLevel="0" collapsed="false">
      <c r="A860" s="15" t="s">
        <v>1347</v>
      </c>
      <c r="B860" s="16" t="n">
        <v>45634</v>
      </c>
      <c r="C860" s="15" t="s">
        <v>867</v>
      </c>
      <c r="D860" s="15" t="s">
        <v>278</v>
      </c>
      <c r="E860" s="15" t="s">
        <v>118</v>
      </c>
      <c r="F860" s="17" t="n">
        <v>5</v>
      </c>
      <c r="G860" s="17" t="n">
        <v>1220</v>
      </c>
      <c r="H860" s="17" t="n">
        <v>0.3</v>
      </c>
      <c r="I860" s="17" t="n">
        <v>6081.7</v>
      </c>
      <c r="J860" s="15" t="s">
        <v>98</v>
      </c>
      <c r="K860" s="15" t="s">
        <v>99</v>
      </c>
    </row>
    <row r="861" customFormat="false" ht="14.25" hidden="false" customHeight="false" outlineLevel="0" collapsed="false">
      <c r="A861" s="15" t="s">
        <v>1348</v>
      </c>
      <c r="B861" s="16" t="n">
        <v>45308</v>
      </c>
      <c r="C861" s="15" t="s">
        <v>1183</v>
      </c>
      <c r="D861" s="15" t="s">
        <v>375</v>
      </c>
      <c r="E861" s="15" t="s">
        <v>97</v>
      </c>
      <c r="F861" s="17" t="n">
        <v>5</v>
      </c>
      <c r="G861" s="17" t="n">
        <v>5330</v>
      </c>
      <c r="H861" s="17" t="n">
        <v>29</v>
      </c>
      <c r="I861" s="17" t="n">
        <v>18921.5</v>
      </c>
      <c r="J861" s="15" t="s">
        <v>98</v>
      </c>
      <c r="K861" s="15" t="s">
        <v>99</v>
      </c>
    </row>
    <row r="862" customFormat="false" ht="14.25" hidden="false" customHeight="false" outlineLevel="0" collapsed="false">
      <c r="A862" s="15" t="s">
        <v>1349</v>
      </c>
      <c r="B862" s="16" t="n">
        <v>45641</v>
      </c>
      <c r="C862" s="15" t="s">
        <v>770</v>
      </c>
      <c r="D862" s="15" t="s">
        <v>198</v>
      </c>
      <c r="E862" s="15" t="s">
        <v>139</v>
      </c>
      <c r="F862" s="17" t="n">
        <v>3</v>
      </c>
      <c r="G862" s="17" t="n">
        <v>3570</v>
      </c>
      <c r="H862" s="17" t="n">
        <v>20</v>
      </c>
      <c r="I862" s="17" t="n">
        <v>8568</v>
      </c>
      <c r="J862" s="15" t="s">
        <v>151</v>
      </c>
      <c r="K862" s="15" t="s">
        <v>128</v>
      </c>
    </row>
    <row r="863" customFormat="false" ht="14.25" hidden="false" customHeight="false" outlineLevel="0" collapsed="false">
      <c r="A863" s="15" t="s">
        <v>1350</v>
      </c>
      <c r="B863" s="16" t="n">
        <v>45396</v>
      </c>
      <c r="C863" s="15" t="s">
        <v>740</v>
      </c>
      <c r="D863" s="15" t="s">
        <v>349</v>
      </c>
      <c r="E863" s="15" t="s">
        <v>212</v>
      </c>
      <c r="F863" s="17" t="n">
        <v>9</v>
      </c>
      <c r="G863" s="17" t="n">
        <v>2210</v>
      </c>
      <c r="H863" s="17" t="n">
        <v>12.4</v>
      </c>
      <c r="I863" s="17" t="n">
        <v>17423.64</v>
      </c>
      <c r="J863" s="15" t="s">
        <v>98</v>
      </c>
      <c r="K863" s="15" t="s">
        <v>123</v>
      </c>
    </row>
    <row r="864" customFormat="false" ht="14.25" hidden="false" customHeight="false" outlineLevel="0" collapsed="false">
      <c r="A864" s="15" t="s">
        <v>1351</v>
      </c>
      <c r="B864" s="16" t="n">
        <v>45302</v>
      </c>
      <c r="C864" s="15" t="s">
        <v>153</v>
      </c>
      <c r="D864" s="15" t="s">
        <v>472</v>
      </c>
      <c r="E864" s="15" t="s">
        <v>240</v>
      </c>
      <c r="F864" s="17" t="n">
        <v>5</v>
      </c>
      <c r="G864" s="17" t="n">
        <v>3780</v>
      </c>
      <c r="H864" s="17" t="n">
        <v>3.9</v>
      </c>
      <c r="I864" s="17" t="n">
        <v>18162.9</v>
      </c>
      <c r="J864" s="15" t="s">
        <v>98</v>
      </c>
      <c r="K864" s="15" t="s">
        <v>99</v>
      </c>
    </row>
    <row r="865" customFormat="false" ht="14.25" hidden="false" customHeight="false" outlineLevel="0" collapsed="false">
      <c r="A865" s="15" t="s">
        <v>1352</v>
      </c>
      <c r="B865" s="16" t="n">
        <v>45626</v>
      </c>
      <c r="C865" s="15" t="s">
        <v>180</v>
      </c>
      <c r="D865" s="15" t="s">
        <v>146</v>
      </c>
      <c r="E865" s="15" t="s">
        <v>118</v>
      </c>
      <c r="F865" s="17" t="n">
        <v>10</v>
      </c>
      <c r="G865" s="17" t="n">
        <v>2640</v>
      </c>
      <c r="H865" s="17" t="n">
        <v>17.8</v>
      </c>
      <c r="I865" s="17" t="n">
        <v>21700.8</v>
      </c>
      <c r="J865" s="15" t="s">
        <v>155</v>
      </c>
      <c r="K865" s="15" t="s">
        <v>123</v>
      </c>
    </row>
    <row r="866" customFormat="false" ht="14.25" hidden="false" customHeight="false" outlineLevel="0" collapsed="false">
      <c r="A866" s="15" t="s">
        <v>1353</v>
      </c>
      <c r="B866" s="16" t="n">
        <v>45352</v>
      </c>
      <c r="C866" s="15" t="s">
        <v>621</v>
      </c>
      <c r="D866" s="15" t="s">
        <v>293</v>
      </c>
      <c r="E866" s="15" t="s">
        <v>127</v>
      </c>
      <c r="F866" s="17" t="n">
        <v>5</v>
      </c>
      <c r="G866" s="17" t="n">
        <v>300</v>
      </c>
      <c r="H866" s="17" t="n">
        <v>12.9</v>
      </c>
      <c r="I866" s="17" t="n">
        <v>1306.5</v>
      </c>
      <c r="J866" s="15" t="s">
        <v>98</v>
      </c>
      <c r="K866" s="15" t="s">
        <v>128</v>
      </c>
    </row>
    <row r="867" customFormat="false" ht="14.25" hidden="false" customHeight="false" outlineLevel="0" collapsed="false">
      <c r="A867" s="15" t="s">
        <v>1354</v>
      </c>
      <c r="B867" s="16" t="n">
        <v>45588</v>
      </c>
      <c r="C867" s="15" t="s">
        <v>305</v>
      </c>
      <c r="D867" s="15" t="s">
        <v>162</v>
      </c>
      <c r="E867" s="15" t="s">
        <v>263</v>
      </c>
      <c r="F867" s="17" t="n">
        <v>2</v>
      </c>
      <c r="G867" s="17" t="n">
        <v>2400</v>
      </c>
      <c r="H867" s="17" t="n">
        <v>17.1</v>
      </c>
      <c r="I867" s="17" t="n">
        <v>3979.2</v>
      </c>
      <c r="J867" s="15" t="s">
        <v>104</v>
      </c>
      <c r="K867" s="15" t="s">
        <v>144</v>
      </c>
    </row>
    <row r="868" customFormat="false" ht="14.25" hidden="false" customHeight="false" outlineLevel="0" collapsed="false">
      <c r="A868" s="15" t="s">
        <v>1355</v>
      </c>
      <c r="B868" s="16" t="n">
        <v>45583</v>
      </c>
      <c r="C868" s="15" t="s">
        <v>310</v>
      </c>
      <c r="D868" s="15" t="s">
        <v>175</v>
      </c>
      <c r="E868" s="15" t="s">
        <v>212</v>
      </c>
      <c r="F868" s="17" t="n">
        <v>5</v>
      </c>
      <c r="G868" s="17" t="n">
        <v>1080</v>
      </c>
      <c r="H868" s="17" t="n">
        <v>15.7</v>
      </c>
      <c r="I868" s="17" t="n">
        <v>4552.2</v>
      </c>
      <c r="J868" s="15" t="s">
        <v>104</v>
      </c>
      <c r="K868" s="15" t="s">
        <v>144</v>
      </c>
    </row>
    <row r="869" customFormat="false" ht="14.25" hidden="false" customHeight="false" outlineLevel="0" collapsed="false">
      <c r="A869" s="15" t="s">
        <v>1356</v>
      </c>
      <c r="B869" s="16" t="n">
        <v>45528</v>
      </c>
      <c r="C869" s="15" t="s">
        <v>725</v>
      </c>
      <c r="D869" s="15" t="s">
        <v>154</v>
      </c>
      <c r="E869" s="15" t="s">
        <v>159</v>
      </c>
      <c r="F869" s="17" t="n">
        <v>1</v>
      </c>
      <c r="G869" s="17" t="n">
        <v>3250</v>
      </c>
      <c r="H869" s="17" t="n">
        <v>14.7</v>
      </c>
      <c r="I869" s="17" t="n">
        <v>2772.25</v>
      </c>
      <c r="J869" s="15" t="s">
        <v>98</v>
      </c>
      <c r="K869" s="15" t="s">
        <v>110</v>
      </c>
    </row>
    <row r="870" customFormat="false" ht="14.25" hidden="false" customHeight="false" outlineLevel="0" collapsed="false">
      <c r="A870" s="15" t="s">
        <v>1357</v>
      </c>
      <c r="B870" s="16" t="n">
        <v>45400</v>
      </c>
      <c r="C870" s="15" t="s">
        <v>427</v>
      </c>
      <c r="D870" s="15" t="s">
        <v>121</v>
      </c>
      <c r="E870" s="15" t="s">
        <v>169</v>
      </c>
      <c r="F870" s="17" t="n">
        <v>7</v>
      </c>
      <c r="G870" s="17" t="n">
        <v>370</v>
      </c>
      <c r="H870" s="17" t="n">
        <v>6</v>
      </c>
      <c r="I870" s="17" t="n">
        <v>2434.6</v>
      </c>
      <c r="J870" s="15" t="s">
        <v>151</v>
      </c>
      <c r="K870" s="15" t="s">
        <v>128</v>
      </c>
    </row>
    <row r="871" customFormat="false" ht="14.25" hidden="false" customHeight="false" outlineLevel="0" collapsed="false">
      <c r="A871" s="15" t="s">
        <v>1358</v>
      </c>
      <c r="B871" s="16" t="n">
        <v>45337</v>
      </c>
      <c r="C871" s="15" t="s">
        <v>1359</v>
      </c>
      <c r="D871" s="15" t="s">
        <v>135</v>
      </c>
      <c r="E871" s="15" t="s">
        <v>240</v>
      </c>
      <c r="F871" s="17" t="n">
        <v>7</v>
      </c>
      <c r="G871" s="17" t="n">
        <v>5490</v>
      </c>
      <c r="H871" s="17" t="n">
        <v>10.2</v>
      </c>
      <c r="I871" s="17" t="n">
        <v>34510.14</v>
      </c>
      <c r="J871" s="15" t="s">
        <v>98</v>
      </c>
      <c r="K871" s="15" t="s">
        <v>99</v>
      </c>
    </row>
    <row r="872" customFormat="false" ht="14.25" hidden="false" customHeight="false" outlineLevel="0" collapsed="false">
      <c r="A872" s="15" t="s">
        <v>1360</v>
      </c>
      <c r="B872" s="16" t="n">
        <v>45482</v>
      </c>
      <c r="C872" s="15" t="s">
        <v>1361</v>
      </c>
      <c r="D872" s="15" t="s">
        <v>419</v>
      </c>
      <c r="E872" s="15" t="s">
        <v>139</v>
      </c>
      <c r="F872" s="17" t="n">
        <v>3</v>
      </c>
      <c r="G872" s="17" t="n">
        <v>3970</v>
      </c>
      <c r="H872" s="17" t="n">
        <v>2.4</v>
      </c>
      <c r="I872" s="17" t="n">
        <v>11624.16</v>
      </c>
      <c r="J872" s="15" t="s">
        <v>98</v>
      </c>
      <c r="K872" s="15" t="s">
        <v>123</v>
      </c>
    </row>
    <row r="873" customFormat="false" ht="14.25" hidden="false" customHeight="false" outlineLevel="0" collapsed="false">
      <c r="A873" s="15" t="s">
        <v>1362</v>
      </c>
      <c r="B873" s="16" t="n">
        <v>45583</v>
      </c>
      <c r="C873" s="15" t="s">
        <v>773</v>
      </c>
      <c r="D873" s="15" t="s">
        <v>278</v>
      </c>
      <c r="E873" s="15" t="s">
        <v>97</v>
      </c>
      <c r="F873" s="17" t="n">
        <v>4</v>
      </c>
      <c r="G873" s="17" t="n">
        <v>1220</v>
      </c>
      <c r="H873" s="17" t="n">
        <v>25.3</v>
      </c>
      <c r="I873" s="17" t="n">
        <v>3645.36</v>
      </c>
      <c r="J873" s="15" t="s">
        <v>98</v>
      </c>
      <c r="K873" s="15" t="s">
        <v>144</v>
      </c>
    </row>
    <row r="874" customFormat="false" ht="14.25" hidden="false" customHeight="false" outlineLevel="0" collapsed="false">
      <c r="A874" s="15" t="s">
        <v>1363</v>
      </c>
      <c r="B874" s="16" t="n">
        <v>45409</v>
      </c>
      <c r="C874" s="15" t="s">
        <v>755</v>
      </c>
      <c r="D874" s="15" t="s">
        <v>117</v>
      </c>
      <c r="E874" s="15" t="s">
        <v>212</v>
      </c>
      <c r="F874" s="17" t="n">
        <v>3</v>
      </c>
      <c r="G874" s="17" t="n">
        <v>3160</v>
      </c>
      <c r="H874" s="17" t="n">
        <v>19.8</v>
      </c>
      <c r="I874" s="17" t="n">
        <v>7602.96</v>
      </c>
      <c r="J874" s="15" t="s">
        <v>98</v>
      </c>
      <c r="K874" s="15" t="s">
        <v>144</v>
      </c>
    </row>
    <row r="875" customFormat="false" ht="14.25" hidden="false" customHeight="false" outlineLevel="0" collapsed="false">
      <c r="A875" s="15" t="s">
        <v>1364</v>
      </c>
      <c r="B875" s="16" t="n">
        <v>45430</v>
      </c>
      <c r="C875" s="15" t="s">
        <v>624</v>
      </c>
      <c r="D875" s="15" t="s">
        <v>293</v>
      </c>
      <c r="E875" s="15" t="s">
        <v>118</v>
      </c>
      <c r="F875" s="17" t="n">
        <v>1</v>
      </c>
      <c r="G875" s="17" t="n">
        <v>300</v>
      </c>
      <c r="H875" s="17" t="n">
        <v>24.5</v>
      </c>
      <c r="I875" s="17" t="n">
        <v>226.5</v>
      </c>
      <c r="J875" s="15" t="s">
        <v>98</v>
      </c>
      <c r="K875" s="15" t="s">
        <v>123</v>
      </c>
    </row>
    <row r="876" customFormat="false" ht="14.25" hidden="false" customHeight="false" outlineLevel="0" collapsed="false">
      <c r="A876" s="15" t="s">
        <v>1365</v>
      </c>
      <c r="B876" s="16" t="n">
        <v>45654</v>
      </c>
      <c r="C876" s="15" t="s">
        <v>1319</v>
      </c>
      <c r="D876" s="15" t="s">
        <v>168</v>
      </c>
      <c r="E876" s="15" t="s">
        <v>240</v>
      </c>
      <c r="F876" s="17" t="n">
        <v>5</v>
      </c>
      <c r="G876" s="17" t="n">
        <v>3450</v>
      </c>
      <c r="H876" s="17" t="n">
        <v>13.4</v>
      </c>
      <c r="I876" s="17" t="n">
        <v>14938.5</v>
      </c>
      <c r="J876" s="15" t="s">
        <v>104</v>
      </c>
      <c r="K876" s="15" t="s">
        <v>105</v>
      </c>
    </row>
    <row r="877" customFormat="false" ht="14.25" hidden="false" customHeight="false" outlineLevel="0" collapsed="false">
      <c r="A877" s="15" t="s">
        <v>1366</v>
      </c>
      <c r="B877" s="16" t="n">
        <v>45397</v>
      </c>
      <c r="C877" s="15" t="s">
        <v>300</v>
      </c>
      <c r="D877" s="15" t="s">
        <v>96</v>
      </c>
      <c r="E877" s="15" t="s">
        <v>354</v>
      </c>
      <c r="F877" s="17" t="n">
        <v>7</v>
      </c>
      <c r="G877" s="17" t="n">
        <v>3620</v>
      </c>
      <c r="H877" s="17" t="n">
        <v>19.2</v>
      </c>
      <c r="I877" s="17" t="n">
        <v>20474.72</v>
      </c>
      <c r="J877" s="15" t="s">
        <v>98</v>
      </c>
      <c r="K877" s="15" t="s">
        <v>105</v>
      </c>
    </row>
    <row r="878" customFormat="false" ht="14.25" hidden="false" customHeight="false" outlineLevel="0" collapsed="false">
      <c r="A878" s="15" t="s">
        <v>1367</v>
      </c>
      <c r="B878" s="16" t="n">
        <v>45505</v>
      </c>
      <c r="C878" s="15" t="s">
        <v>120</v>
      </c>
      <c r="D878" s="15" t="s">
        <v>142</v>
      </c>
      <c r="E878" s="15" t="s">
        <v>143</v>
      </c>
      <c r="F878" s="17" t="n">
        <v>10</v>
      </c>
      <c r="G878" s="17" t="n">
        <v>2270</v>
      </c>
      <c r="H878" s="17" t="n">
        <v>20.5</v>
      </c>
      <c r="I878" s="17" t="n">
        <v>18046.5</v>
      </c>
      <c r="J878" s="15" t="s">
        <v>98</v>
      </c>
      <c r="K878" s="15" t="s">
        <v>123</v>
      </c>
    </row>
    <row r="879" customFormat="false" ht="14.25" hidden="false" customHeight="false" outlineLevel="0" collapsed="false">
      <c r="A879" s="15" t="s">
        <v>1368</v>
      </c>
      <c r="B879" s="16" t="n">
        <v>45386</v>
      </c>
      <c r="C879" s="15" t="s">
        <v>1369</v>
      </c>
      <c r="D879" s="15" t="s">
        <v>184</v>
      </c>
      <c r="E879" s="15" t="s">
        <v>127</v>
      </c>
      <c r="F879" s="17" t="n">
        <v>5</v>
      </c>
      <c r="G879" s="17" t="n">
        <v>2720</v>
      </c>
      <c r="H879" s="17" t="n">
        <v>29.3</v>
      </c>
      <c r="I879" s="17" t="n">
        <v>9615.2</v>
      </c>
      <c r="J879" s="15" t="s">
        <v>98</v>
      </c>
      <c r="K879" s="15" t="s">
        <v>123</v>
      </c>
    </row>
    <row r="880" customFormat="false" ht="14.25" hidden="false" customHeight="false" outlineLevel="0" collapsed="false">
      <c r="A880" s="15" t="s">
        <v>1370</v>
      </c>
      <c r="B880" s="16" t="n">
        <v>45499</v>
      </c>
      <c r="C880" s="15" t="s">
        <v>974</v>
      </c>
      <c r="D880" s="15" t="s">
        <v>245</v>
      </c>
      <c r="E880" s="15" t="s">
        <v>296</v>
      </c>
      <c r="F880" s="17" t="n">
        <v>9</v>
      </c>
      <c r="G880" s="17" t="n">
        <v>3780</v>
      </c>
      <c r="H880" s="17" t="n">
        <v>2.3</v>
      </c>
      <c r="I880" s="17" t="n">
        <v>33237.54</v>
      </c>
      <c r="J880" s="15" t="s">
        <v>98</v>
      </c>
      <c r="K880" s="15" t="s">
        <v>105</v>
      </c>
    </row>
    <row r="881" customFormat="false" ht="14.25" hidden="false" customHeight="false" outlineLevel="0" collapsed="false">
      <c r="A881" s="15" t="s">
        <v>1371</v>
      </c>
      <c r="B881" s="16" t="n">
        <v>45636</v>
      </c>
      <c r="C881" s="15" t="s">
        <v>1372</v>
      </c>
      <c r="D881" s="15" t="s">
        <v>362</v>
      </c>
      <c r="E881" s="15" t="s">
        <v>109</v>
      </c>
      <c r="F881" s="17" t="n">
        <v>9</v>
      </c>
      <c r="G881" s="17" t="n">
        <v>4060</v>
      </c>
      <c r="H881" s="17" t="n">
        <v>11.5</v>
      </c>
      <c r="I881" s="17" t="n">
        <v>32337.9</v>
      </c>
      <c r="J881" s="15" t="s">
        <v>98</v>
      </c>
      <c r="K881" s="15" t="s">
        <v>105</v>
      </c>
    </row>
    <row r="882" customFormat="false" ht="14.25" hidden="false" customHeight="false" outlineLevel="0" collapsed="false">
      <c r="A882" s="15" t="s">
        <v>688</v>
      </c>
      <c r="B882" s="16" t="n">
        <v>45517</v>
      </c>
      <c r="C882" s="15" t="s">
        <v>431</v>
      </c>
      <c r="D882" s="15" t="s">
        <v>211</v>
      </c>
      <c r="E882" s="15" t="s">
        <v>336</v>
      </c>
      <c r="F882" s="17" t="n">
        <v>10</v>
      </c>
      <c r="G882" s="17" t="n">
        <v>2760</v>
      </c>
      <c r="H882" s="17" t="n">
        <v>3.9</v>
      </c>
      <c r="I882" s="17" t="n">
        <v>26523.6</v>
      </c>
      <c r="J882" s="15" t="s">
        <v>155</v>
      </c>
      <c r="K882" s="15" t="s">
        <v>110</v>
      </c>
    </row>
    <row r="883" customFormat="false" ht="14.25" hidden="false" customHeight="false" outlineLevel="0" collapsed="false">
      <c r="A883" s="15" t="s">
        <v>1373</v>
      </c>
      <c r="B883" s="16" t="n">
        <v>45593</v>
      </c>
      <c r="C883" s="15" t="s">
        <v>236</v>
      </c>
      <c r="D883" s="15" t="s">
        <v>175</v>
      </c>
      <c r="E883" s="15" t="s">
        <v>169</v>
      </c>
      <c r="F883" s="17" t="n">
        <v>10</v>
      </c>
      <c r="G883" s="17" t="n">
        <v>1080</v>
      </c>
      <c r="H883" s="17" t="n">
        <v>21.4</v>
      </c>
      <c r="I883" s="17" t="n">
        <v>8488.8</v>
      </c>
      <c r="J883" s="15" t="s">
        <v>98</v>
      </c>
      <c r="K883" s="15" t="s">
        <v>105</v>
      </c>
    </row>
    <row r="884" customFormat="false" ht="14.25" hidden="false" customHeight="false" outlineLevel="0" collapsed="false">
      <c r="A884" s="15" t="s">
        <v>1374</v>
      </c>
      <c r="B884" s="16" t="n">
        <v>45497</v>
      </c>
      <c r="C884" s="15" t="s">
        <v>1369</v>
      </c>
      <c r="D884" s="15" t="s">
        <v>454</v>
      </c>
      <c r="E884" s="15" t="s">
        <v>165</v>
      </c>
      <c r="F884" s="17" t="n">
        <v>6</v>
      </c>
      <c r="G884" s="17" t="n">
        <v>5080</v>
      </c>
      <c r="H884" s="17" t="n">
        <v>29.8</v>
      </c>
      <c r="I884" s="17" t="n">
        <v>21396.96</v>
      </c>
      <c r="J884" s="15" t="s">
        <v>104</v>
      </c>
      <c r="K884" s="15" t="s">
        <v>123</v>
      </c>
    </row>
    <row r="885" customFormat="false" ht="14.25" hidden="false" customHeight="false" outlineLevel="0" collapsed="false">
      <c r="A885" s="15" t="s">
        <v>1375</v>
      </c>
      <c r="B885" s="16" t="n">
        <v>45293</v>
      </c>
      <c r="C885" s="15" t="s">
        <v>137</v>
      </c>
      <c r="D885" s="15" t="s">
        <v>195</v>
      </c>
      <c r="E885" s="15" t="s">
        <v>181</v>
      </c>
      <c r="F885" s="17" t="n">
        <v>1</v>
      </c>
      <c r="G885" s="17" t="n">
        <v>4880</v>
      </c>
      <c r="H885" s="17" t="n">
        <v>28.2</v>
      </c>
      <c r="I885" s="17" t="n">
        <v>3503.84</v>
      </c>
      <c r="J885" s="15" t="s">
        <v>98</v>
      </c>
      <c r="K885" s="15" t="s">
        <v>99</v>
      </c>
    </row>
    <row r="886" customFormat="false" ht="14.25" hidden="false" customHeight="false" outlineLevel="0" collapsed="false">
      <c r="A886" s="15" t="s">
        <v>1376</v>
      </c>
      <c r="B886" s="16" t="n">
        <v>45562</v>
      </c>
      <c r="C886" s="15" t="s">
        <v>223</v>
      </c>
      <c r="D886" s="15" t="s">
        <v>256</v>
      </c>
      <c r="E886" s="15" t="s">
        <v>354</v>
      </c>
      <c r="F886" s="17" t="n">
        <v>1</v>
      </c>
      <c r="G886" s="17" t="n">
        <v>2270</v>
      </c>
      <c r="H886" s="17" t="n">
        <v>27.8</v>
      </c>
      <c r="I886" s="17" t="n">
        <v>1638.94</v>
      </c>
      <c r="J886" s="15" t="s">
        <v>98</v>
      </c>
      <c r="K886" s="15" t="s">
        <v>123</v>
      </c>
    </row>
    <row r="887" customFormat="false" ht="14.25" hidden="false" customHeight="false" outlineLevel="0" collapsed="false">
      <c r="A887" s="15" t="s">
        <v>1377</v>
      </c>
      <c r="B887" s="16" t="n">
        <v>45638</v>
      </c>
      <c r="C887" s="15" t="s">
        <v>533</v>
      </c>
      <c r="D887" s="15" t="s">
        <v>419</v>
      </c>
      <c r="E887" s="15" t="s">
        <v>132</v>
      </c>
      <c r="F887" s="17" t="n">
        <v>9</v>
      </c>
      <c r="G887" s="17" t="n">
        <v>3970</v>
      </c>
      <c r="H887" s="17" t="n">
        <v>7</v>
      </c>
      <c r="I887" s="17" t="n">
        <v>33228.9</v>
      </c>
      <c r="J887" s="15" t="s">
        <v>98</v>
      </c>
      <c r="K887" s="15" t="s">
        <v>110</v>
      </c>
    </row>
    <row r="888" customFormat="false" ht="14.25" hidden="false" customHeight="false" outlineLevel="0" collapsed="false">
      <c r="A888" s="15" t="s">
        <v>1378</v>
      </c>
      <c r="B888" s="16" t="n">
        <v>45408</v>
      </c>
      <c r="C888" s="15" t="s">
        <v>617</v>
      </c>
      <c r="D888" s="15" t="s">
        <v>202</v>
      </c>
      <c r="E888" s="15" t="s">
        <v>159</v>
      </c>
      <c r="F888" s="17" t="n">
        <v>9</v>
      </c>
      <c r="G888" s="17" t="n">
        <v>5100</v>
      </c>
      <c r="H888" s="17" t="n">
        <v>9.7</v>
      </c>
      <c r="I888" s="17" t="n">
        <v>41447.7</v>
      </c>
      <c r="J888" s="15" t="s">
        <v>98</v>
      </c>
      <c r="K888" s="15" t="s">
        <v>123</v>
      </c>
    </row>
    <row r="889" customFormat="false" ht="14.25" hidden="false" customHeight="false" outlineLevel="0" collapsed="false">
      <c r="A889" s="15" t="s">
        <v>1379</v>
      </c>
      <c r="B889" s="16" t="n">
        <v>45498</v>
      </c>
      <c r="C889" s="15" t="s">
        <v>557</v>
      </c>
      <c r="D889" s="15" t="s">
        <v>158</v>
      </c>
      <c r="E889" s="15" t="s">
        <v>103</v>
      </c>
      <c r="F889" s="17" t="n">
        <v>8</v>
      </c>
      <c r="G889" s="17" t="n">
        <v>190</v>
      </c>
      <c r="H889" s="17" t="n">
        <v>10.2</v>
      </c>
      <c r="I889" s="17" t="n">
        <v>1364.96</v>
      </c>
      <c r="J889" s="15" t="s">
        <v>98</v>
      </c>
      <c r="K889" s="15" t="s">
        <v>110</v>
      </c>
    </row>
    <row r="890" customFormat="false" ht="14.25" hidden="false" customHeight="false" outlineLevel="0" collapsed="false">
      <c r="A890" s="15" t="s">
        <v>1380</v>
      </c>
      <c r="B890" s="16" t="n">
        <v>45649</v>
      </c>
      <c r="C890" s="15" t="s">
        <v>382</v>
      </c>
      <c r="D890" s="15" t="s">
        <v>252</v>
      </c>
      <c r="E890" s="15" t="s">
        <v>212</v>
      </c>
      <c r="F890" s="17" t="n">
        <v>1</v>
      </c>
      <c r="G890" s="17" t="n">
        <v>6080</v>
      </c>
      <c r="H890" s="17" t="n">
        <v>5.6</v>
      </c>
      <c r="I890" s="17" t="n">
        <v>5739.52</v>
      </c>
      <c r="J890" s="15" t="s">
        <v>98</v>
      </c>
      <c r="K890" s="15" t="s">
        <v>123</v>
      </c>
    </row>
    <row r="891" customFormat="false" ht="14.25" hidden="false" customHeight="false" outlineLevel="0" collapsed="false">
      <c r="A891" s="15" t="s">
        <v>1381</v>
      </c>
      <c r="B891" s="16" t="n">
        <v>45484</v>
      </c>
      <c r="C891" s="15" t="s">
        <v>608</v>
      </c>
      <c r="D891" s="15" t="s">
        <v>126</v>
      </c>
      <c r="E891" s="15" t="s">
        <v>203</v>
      </c>
      <c r="F891" s="17" t="n">
        <v>6</v>
      </c>
      <c r="G891" s="17" t="n">
        <v>960</v>
      </c>
      <c r="H891" s="17" t="n">
        <v>1.9</v>
      </c>
      <c r="I891" s="17" t="n">
        <v>5650.56</v>
      </c>
      <c r="J891" s="15" t="s">
        <v>98</v>
      </c>
      <c r="K891" s="15" t="s">
        <v>123</v>
      </c>
    </row>
    <row r="892" customFormat="false" ht="14.25" hidden="false" customHeight="false" outlineLevel="0" collapsed="false">
      <c r="A892" s="15" t="s">
        <v>1382</v>
      </c>
      <c r="B892" s="16" t="n">
        <v>45316</v>
      </c>
      <c r="C892" s="15" t="s">
        <v>544</v>
      </c>
      <c r="D892" s="15" t="s">
        <v>270</v>
      </c>
      <c r="E892" s="15" t="s">
        <v>150</v>
      </c>
      <c r="F892" s="17" t="n">
        <v>7</v>
      </c>
      <c r="G892" s="17" t="n">
        <v>1540</v>
      </c>
      <c r="H892" s="17" t="n">
        <v>7.1</v>
      </c>
      <c r="I892" s="17" t="n">
        <v>10014.62</v>
      </c>
      <c r="J892" s="15" t="s">
        <v>98</v>
      </c>
      <c r="K892" s="15" t="s">
        <v>110</v>
      </c>
    </row>
    <row r="893" customFormat="false" ht="14.25" hidden="false" customHeight="false" outlineLevel="0" collapsed="false">
      <c r="A893" s="15" t="s">
        <v>1383</v>
      </c>
      <c r="B893" s="16" t="n">
        <v>45328</v>
      </c>
      <c r="C893" s="15" t="s">
        <v>272</v>
      </c>
      <c r="D893" s="15" t="s">
        <v>293</v>
      </c>
      <c r="E893" s="15" t="s">
        <v>284</v>
      </c>
      <c r="F893" s="17" t="n">
        <v>10</v>
      </c>
      <c r="G893" s="17" t="n">
        <v>300</v>
      </c>
      <c r="H893" s="17" t="n">
        <v>12.8</v>
      </c>
      <c r="I893" s="17" t="n">
        <v>2616</v>
      </c>
      <c r="J893" s="15" t="s">
        <v>151</v>
      </c>
      <c r="K893" s="15" t="s">
        <v>110</v>
      </c>
    </row>
    <row r="894" customFormat="false" ht="14.25" hidden="false" customHeight="false" outlineLevel="0" collapsed="false">
      <c r="A894" s="15" t="s">
        <v>1384</v>
      </c>
      <c r="B894" s="16" t="n">
        <v>45456</v>
      </c>
      <c r="C894" s="15" t="s">
        <v>548</v>
      </c>
      <c r="D894" s="15" t="s">
        <v>195</v>
      </c>
      <c r="E894" s="15" t="s">
        <v>284</v>
      </c>
      <c r="F894" s="17" t="n">
        <v>4</v>
      </c>
      <c r="G894" s="17" t="n">
        <v>4880</v>
      </c>
      <c r="H894" s="17" t="n">
        <v>26.5</v>
      </c>
      <c r="I894" s="17" t="n">
        <v>14347.2</v>
      </c>
      <c r="J894" s="15" t="s">
        <v>98</v>
      </c>
      <c r="K894" s="15" t="s">
        <v>144</v>
      </c>
    </row>
    <row r="895" customFormat="false" ht="14.25" hidden="false" customHeight="false" outlineLevel="0" collapsed="false">
      <c r="A895" s="15" t="s">
        <v>1385</v>
      </c>
      <c r="B895" s="16" t="n">
        <v>45589</v>
      </c>
      <c r="C895" s="15" t="s">
        <v>1272</v>
      </c>
      <c r="D895" s="15" t="s">
        <v>121</v>
      </c>
      <c r="E895" s="15" t="s">
        <v>159</v>
      </c>
      <c r="F895" s="17" t="n">
        <v>2</v>
      </c>
      <c r="G895" s="17" t="n">
        <v>370</v>
      </c>
      <c r="H895" s="17" t="n">
        <v>26.5</v>
      </c>
      <c r="I895" s="17" t="n">
        <v>543.9</v>
      </c>
      <c r="J895" s="15" t="s">
        <v>98</v>
      </c>
      <c r="K895" s="15" t="s">
        <v>128</v>
      </c>
    </row>
    <row r="896" customFormat="false" ht="14.25" hidden="false" customHeight="false" outlineLevel="0" collapsed="false">
      <c r="A896" s="15" t="s">
        <v>1386</v>
      </c>
      <c r="B896" s="16" t="n">
        <v>45593</v>
      </c>
      <c r="C896" s="15" t="s">
        <v>387</v>
      </c>
      <c r="D896" s="15" t="s">
        <v>281</v>
      </c>
      <c r="E896" s="15" t="s">
        <v>308</v>
      </c>
      <c r="F896" s="17" t="n">
        <v>3</v>
      </c>
      <c r="G896" s="17" t="n">
        <v>4610</v>
      </c>
      <c r="H896" s="17" t="n">
        <v>29.7</v>
      </c>
      <c r="I896" s="17" t="n">
        <v>9722.49</v>
      </c>
      <c r="J896" s="15" t="s">
        <v>98</v>
      </c>
      <c r="K896" s="15" t="s">
        <v>128</v>
      </c>
    </row>
    <row r="897" customFormat="false" ht="14.25" hidden="false" customHeight="false" outlineLevel="0" collapsed="false">
      <c r="A897" s="15" t="s">
        <v>1387</v>
      </c>
      <c r="B897" s="16" t="n">
        <v>45539</v>
      </c>
      <c r="C897" s="15" t="s">
        <v>684</v>
      </c>
      <c r="D897" s="15" t="s">
        <v>149</v>
      </c>
      <c r="E897" s="15" t="s">
        <v>263</v>
      </c>
      <c r="F897" s="17" t="n">
        <v>5</v>
      </c>
      <c r="G897" s="17" t="n">
        <v>2600</v>
      </c>
      <c r="H897" s="17" t="n">
        <v>21.4</v>
      </c>
      <c r="I897" s="17" t="n">
        <v>10218</v>
      </c>
      <c r="J897" s="15" t="s">
        <v>98</v>
      </c>
      <c r="K897" s="15" t="s">
        <v>123</v>
      </c>
    </row>
    <row r="898" customFormat="false" ht="14.25" hidden="false" customHeight="false" outlineLevel="0" collapsed="false">
      <c r="A898" s="15" t="s">
        <v>1065</v>
      </c>
      <c r="B898" s="16" t="n">
        <v>45436</v>
      </c>
      <c r="C898" s="15" t="s">
        <v>731</v>
      </c>
      <c r="D898" s="15" t="s">
        <v>278</v>
      </c>
      <c r="E898" s="15" t="s">
        <v>122</v>
      </c>
      <c r="F898" s="17" t="n">
        <v>10</v>
      </c>
      <c r="G898" s="17" t="n">
        <v>1220</v>
      </c>
      <c r="H898" s="17" t="n">
        <v>24.3</v>
      </c>
      <c r="I898" s="17" t="n">
        <v>9235.4</v>
      </c>
      <c r="J898" s="15" t="s">
        <v>98</v>
      </c>
      <c r="K898" s="15" t="s">
        <v>99</v>
      </c>
    </row>
    <row r="899" customFormat="false" ht="14.25" hidden="false" customHeight="false" outlineLevel="0" collapsed="false">
      <c r="A899" s="15" t="s">
        <v>1388</v>
      </c>
      <c r="B899" s="16" t="n">
        <v>45646</v>
      </c>
      <c r="C899" s="15" t="s">
        <v>1389</v>
      </c>
      <c r="D899" s="15" t="s">
        <v>131</v>
      </c>
      <c r="E899" s="15" t="s">
        <v>199</v>
      </c>
      <c r="F899" s="17" t="n">
        <v>10</v>
      </c>
      <c r="G899" s="17" t="n">
        <v>1430</v>
      </c>
      <c r="H899" s="17" t="n">
        <v>5.1</v>
      </c>
      <c r="I899" s="17" t="n">
        <v>13570.7</v>
      </c>
      <c r="J899" s="15" t="s">
        <v>151</v>
      </c>
      <c r="K899" s="15" t="s">
        <v>105</v>
      </c>
    </row>
    <row r="900" customFormat="false" ht="14.25" hidden="false" customHeight="false" outlineLevel="0" collapsed="false">
      <c r="A900" s="15" t="s">
        <v>1390</v>
      </c>
      <c r="B900" s="16" t="n">
        <v>45478</v>
      </c>
      <c r="C900" s="15" t="s">
        <v>312</v>
      </c>
      <c r="D900" s="15" t="s">
        <v>195</v>
      </c>
      <c r="E900" s="15" t="s">
        <v>181</v>
      </c>
      <c r="F900" s="17" t="n">
        <v>10</v>
      </c>
      <c r="G900" s="17" t="n">
        <v>4880</v>
      </c>
      <c r="H900" s="17" t="n">
        <v>25.5</v>
      </c>
      <c r="I900" s="17" t="n">
        <v>36356</v>
      </c>
      <c r="J900" s="15" t="s">
        <v>151</v>
      </c>
      <c r="K900" s="15" t="s">
        <v>105</v>
      </c>
    </row>
    <row r="901" customFormat="false" ht="14.25" hidden="false" customHeight="false" outlineLevel="0" collapsed="false">
      <c r="A901" s="15" t="s">
        <v>1391</v>
      </c>
      <c r="B901" s="16" t="n">
        <v>45518</v>
      </c>
      <c r="C901" s="15" t="s">
        <v>977</v>
      </c>
      <c r="D901" s="15" t="s">
        <v>252</v>
      </c>
      <c r="E901" s="15" t="s">
        <v>139</v>
      </c>
      <c r="F901" s="17" t="n">
        <v>6</v>
      </c>
      <c r="G901" s="17" t="n">
        <v>6080</v>
      </c>
      <c r="H901" s="17" t="n">
        <v>21.6</v>
      </c>
      <c r="I901" s="17" t="n">
        <v>28600.32</v>
      </c>
      <c r="J901" s="15" t="s">
        <v>98</v>
      </c>
      <c r="K901" s="15" t="s">
        <v>144</v>
      </c>
    </row>
    <row r="902" customFormat="false" ht="14.25" hidden="false" customHeight="false" outlineLevel="0" collapsed="false">
      <c r="A902" s="15" t="s">
        <v>1392</v>
      </c>
      <c r="B902" s="16" t="n">
        <v>45319</v>
      </c>
      <c r="C902" s="15" t="s">
        <v>552</v>
      </c>
      <c r="D902" s="15" t="s">
        <v>287</v>
      </c>
      <c r="E902" s="15" t="s">
        <v>263</v>
      </c>
      <c r="F902" s="17" t="n">
        <v>3</v>
      </c>
      <c r="G902" s="17" t="n">
        <v>3020</v>
      </c>
      <c r="H902" s="17" t="n">
        <v>20.7</v>
      </c>
      <c r="I902" s="17" t="n">
        <v>7184.58</v>
      </c>
      <c r="J902" s="15" t="s">
        <v>98</v>
      </c>
      <c r="K902" s="15" t="s">
        <v>105</v>
      </c>
    </row>
    <row r="903" customFormat="false" ht="14.25" hidden="false" customHeight="false" outlineLevel="0" collapsed="false">
      <c r="A903" s="15" t="s">
        <v>1393</v>
      </c>
      <c r="B903" s="16" t="n">
        <v>45445</v>
      </c>
      <c r="C903" s="15" t="s">
        <v>342</v>
      </c>
      <c r="D903" s="15" t="s">
        <v>184</v>
      </c>
      <c r="E903" s="15" t="s">
        <v>263</v>
      </c>
      <c r="F903" s="17" t="n">
        <v>9</v>
      </c>
      <c r="G903" s="17" t="n">
        <v>2720</v>
      </c>
      <c r="H903" s="17" t="n">
        <v>21.4</v>
      </c>
      <c r="I903" s="17" t="n">
        <v>19241.28</v>
      </c>
      <c r="J903" s="15" t="s">
        <v>98</v>
      </c>
      <c r="K903" s="15" t="s">
        <v>128</v>
      </c>
    </row>
    <row r="904" customFormat="false" ht="14.25" hidden="false" customHeight="false" outlineLevel="0" collapsed="false">
      <c r="A904" s="15" t="s">
        <v>1394</v>
      </c>
      <c r="B904" s="16" t="n">
        <v>45417</v>
      </c>
      <c r="C904" s="15" t="s">
        <v>283</v>
      </c>
      <c r="D904" s="15" t="s">
        <v>198</v>
      </c>
      <c r="E904" s="15" t="s">
        <v>122</v>
      </c>
      <c r="F904" s="17" t="n">
        <v>10</v>
      </c>
      <c r="G904" s="17" t="n">
        <v>3570</v>
      </c>
      <c r="H904" s="17" t="n">
        <v>4.4</v>
      </c>
      <c r="I904" s="17" t="n">
        <v>34129.2</v>
      </c>
      <c r="J904" s="15" t="s">
        <v>98</v>
      </c>
      <c r="K904" s="15" t="s">
        <v>105</v>
      </c>
    </row>
    <row r="905" customFormat="false" ht="14.25" hidden="false" customHeight="false" outlineLevel="0" collapsed="false">
      <c r="A905" s="15" t="s">
        <v>1395</v>
      </c>
      <c r="B905" s="16" t="n">
        <v>45309</v>
      </c>
      <c r="C905" s="15" t="s">
        <v>1038</v>
      </c>
      <c r="D905" s="15" t="s">
        <v>175</v>
      </c>
      <c r="E905" s="15" t="s">
        <v>109</v>
      </c>
      <c r="F905" s="17" t="n">
        <v>8</v>
      </c>
      <c r="G905" s="17" t="n">
        <v>1080</v>
      </c>
      <c r="H905" s="17" t="n">
        <v>23.8</v>
      </c>
      <c r="I905" s="17" t="n">
        <v>6583.68</v>
      </c>
      <c r="J905" s="15" t="s">
        <v>98</v>
      </c>
      <c r="K905" s="15" t="s">
        <v>123</v>
      </c>
    </row>
    <row r="906" customFormat="false" ht="14.25" hidden="false" customHeight="false" outlineLevel="0" collapsed="false">
      <c r="A906" s="15" t="s">
        <v>1396</v>
      </c>
      <c r="B906" s="16" t="n">
        <v>45367</v>
      </c>
      <c r="C906" s="15" t="s">
        <v>848</v>
      </c>
      <c r="D906" s="15" t="s">
        <v>513</v>
      </c>
      <c r="E906" s="15" t="s">
        <v>284</v>
      </c>
      <c r="F906" s="17" t="n">
        <v>8</v>
      </c>
      <c r="G906" s="17" t="n">
        <v>1090</v>
      </c>
      <c r="H906" s="17" t="n">
        <v>17.5</v>
      </c>
      <c r="I906" s="17" t="n">
        <v>7194</v>
      </c>
      <c r="J906" s="15" t="s">
        <v>98</v>
      </c>
      <c r="K906" s="15" t="s">
        <v>128</v>
      </c>
    </row>
    <row r="907" customFormat="false" ht="14.25" hidden="false" customHeight="false" outlineLevel="0" collapsed="false">
      <c r="A907" s="15" t="s">
        <v>1397</v>
      </c>
      <c r="B907" s="16" t="n">
        <v>45615</v>
      </c>
      <c r="C907" s="15" t="s">
        <v>1319</v>
      </c>
      <c r="D907" s="15" t="s">
        <v>670</v>
      </c>
      <c r="E907" s="15" t="s">
        <v>354</v>
      </c>
      <c r="F907" s="17" t="n">
        <v>7</v>
      </c>
      <c r="G907" s="17" t="n">
        <v>3560</v>
      </c>
      <c r="H907" s="17" t="n">
        <v>11.1</v>
      </c>
      <c r="I907" s="17" t="n">
        <v>22153.88</v>
      </c>
      <c r="J907" s="15" t="s">
        <v>98</v>
      </c>
      <c r="K907" s="15" t="s">
        <v>105</v>
      </c>
    </row>
    <row r="908" customFormat="false" ht="14.25" hidden="false" customHeight="false" outlineLevel="0" collapsed="false">
      <c r="A908" s="15" t="s">
        <v>1398</v>
      </c>
      <c r="B908" s="16" t="n">
        <v>45499</v>
      </c>
      <c r="C908" s="15" t="s">
        <v>239</v>
      </c>
      <c r="D908" s="15" t="s">
        <v>158</v>
      </c>
      <c r="E908" s="15" t="s">
        <v>296</v>
      </c>
      <c r="F908" s="17" t="n">
        <v>6</v>
      </c>
      <c r="G908" s="17" t="n">
        <v>190</v>
      </c>
      <c r="H908" s="17" t="n">
        <v>17.1</v>
      </c>
      <c r="I908" s="17" t="n">
        <v>945.06</v>
      </c>
      <c r="J908" s="15" t="s">
        <v>151</v>
      </c>
      <c r="K908" s="15" t="s">
        <v>123</v>
      </c>
    </row>
    <row r="909" customFormat="false" ht="14.25" hidden="false" customHeight="false" outlineLevel="0" collapsed="false">
      <c r="A909" s="15" t="s">
        <v>1399</v>
      </c>
      <c r="B909" s="16" t="n">
        <v>45356</v>
      </c>
      <c r="C909" s="15" t="s">
        <v>728</v>
      </c>
      <c r="D909" s="15" t="s">
        <v>362</v>
      </c>
      <c r="E909" s="15" t="s">
        <v>122</v>
      </c>
      <c r="F909" s="17" t="n">
        <v>7</v>
      </c>
      <c r="G909" s="17" t="n">
        <v>4060</v>
      </c>
      <c r="H909" s="17" t="n">
        <v>0.6</v>
      </c>
      <c r="I909" s="17" t="n">
        <v>28249.48</v>
      </c>
      <c r="J909" s="15" t="s">
        <v>98</v>
      </c>
      <c r="K909" s="15" t="s">
        <v>105</v>
      </c>
    </row>
    <row r="910" customFormat="false" ht="14.25" hidden="false" customHeight="false" outlineLevel="0" collapsed="false">
      <c r="A910" s="15" t="s">
        <v>1400</v>
      </c>
      <c r="B910" s="16" t="n">
        <v>45346</v>
      </c>
      <c r="C910" s="15" t="s">
        <v>619</v>
      </c>
      <c r="D910" s="15" t="s">
        <v>281</v>
      </c>
      <c r="E910" s="15" t="s">
        <v>169</v>
      </c>
      <c r="F910" s="17" t="n">
        <v>4</v>
      </c>
      <c r="G910" s="17" t="n">
        <v>4610</v>
      </c>
      <c r="H910" s="17" t="n">
        <v>1.9</v>
      </c>
      <c r="I910" s="17" t="n">
        <v>18089.64</v>
      </c>
      <c r="J910" s="15" t="s">
        <v>104</v>
      </c>
      <c r="K910" s="15" t="s">
        <v>99</v>
      </c>
    </row>
    <row r="911" customFormat="false" ht="14.25" hidden="false" customHeight="false" outlineLevel="0" collapsed="false">
      <c r="A911" s="15" t="s">
        <v>1401</v>
      </c>
      <c r="B911" s="16" t="n">
        <v>45640</v>
      </c>
      <c r="C911" s="15" t="s">
        <v>632</v>
      </c>
      <c r="D911" s="15" t="s">
        <v>275</v>
      </c>
      <c r="E911" s="15" t="s">
        <v>203</v>
      </c>
      <c r="F911" s="17" t="n">
        <v>4</v>
      </c>
      <c r="G911" s="17" t="n">
        <v>4070</v>
      </c>
      <c r="H911" s="17" t="n">
        <v>26.8</v>
      </c>
      <c r="I911" s="17" t="n">
        <v>11916.96</v>
      </c>
      <c r="J911" s="15" t="s">
        <v>98</v>
      </c>
      <c r="K911" s="15" t="s">
        <v>105</v>
      </c>
    </row>
    <row r="912" customFormat="false" ht="14.25" hidden="false" customHeight="false" outlineLevel="0" collapsed="false">
      <c r="A912" s="15" t="s">
        <v>1402</v>
      </c>
      <c r="B912" s="16" t="n">
        <v>45633</v>
      </c>
      <c r="C912" s="15" t="s">
        <v>267</v>
      </c>
      <c r="D912" s="15" t="s">
        <v>96</v>
      </c>
      <c r="E912" s="15" t="s">
        <v>150</v>
      </c>
      <c r="F912" s="17" t="n">
        <v>4</v>
      </c>
      <c r="G912" s="17" t="n">
        <v>3620</v>
      </c>
      <c r="H912" s="17" t="n">
        <v>11.7</v>
      </c>
      <c r="I912" s="17" t="n">
        <v>12785.84</v>
      </c>
      <c r="J912" s="15" t="s">
        <v>98</v>
      </c>
      <c r="K912" s="15" t="s">
        <v>144</v>
      </c>
    </row>
    <row r="913" customFormat="false" ht="14.25" hidden="false" customHeight="false" outlineLevel="0" collapsed="false">
      <c r="A913" s="15" t="s">
        <v>1403</v>
      </c>
      <c r="B913" s="16" t="n">
        <v>45430</v>
      </c>
      <c r="C913" s="15" t="s">
        <v>329</v>
      </c>
      <c r="D913" s="15" t="s">
        <v>419</v>
      </c>
      <c r="E913" s="15" t="s">
        <v>181</v>
      </c>
      <c r="F913" s="17" t="n">
        <v>3</v>
      </c>
      <c r="G913" s="17" t="n">
        <v>3970</v>
      </c>
      <c r="H913" s="17" t="n">
        <v>24.7</v>
      </c>
      <c r="I913" s="17" t="n">
        <v>8968.23</v>
      </c>
      <c r="J913" s="15" t="s">
        <v>98</v>
      </c>
      <c r="K913" s="15" t="s">
        <v>105</v>
      </c>
    </row>
    <row r="914" customFormat="false" ht="14.25" hidden="false" customHeight="false" outlineLevel="0" collapsed="false">
      <c r="A914" s="15" t="s">
        <v>1404</v>
      </c>
      <c r="B914" s="16" t="n">
        <v>45355</v>
      </c>
      <c r="C914" s="15" t="s">
        <v>427</v>
      </c>
      <c r="D914" s="15" t="s">
        <v>138</v>
      </c>
      <c r="E914" s="15" t="s">
        <v>139</v>
      </c>
      <c r="F914" s="17" t="n">
        <v>4</v>
      </c>
      <c r="G914" s="17" t="n">
        <v>970</v>
      </c>
      <c r="H914" s="17" t="n">
        <v>0.4</v>
      </c>
      <c r="I914" s="17" t="n">
        <v>3864.48</v>
      </c>
      <c r="J914" s="15" t="s">
        <v>98</v>
      </c>
      <c r="K914" s="15" t="s">
        <v>128</v>
      </c>
    </row>
    <row r="915" customFormat="false" ht="14.25" hidden="false" customHeight="false" outlineLevel="0" collapsed="false">
      <c r="A915" s="15" t="s">
        <v>1405</v>
      </c>
      <c r="B915" s="16" t="n">
        <v>45379</v>
      </c>
      <c r="C915" s="15" t="s">
        <v>310</v>
      </c>
      <c r="D915" s="15" t="s">
        <v>126</v>
      </c>
      <c r="E915" s="15" t="s">
        <v>165</v>
      </c>
      <c r="F915" s="17" t="n">
        <v>2</v>
      </c>
      <c r="G915" s="17" t="n">
        <v>960</v>
      </c>
      <c r="H915" s="17" t="n">
        <v>1.4</v>
      </c>
      <c r="I915" s="17" t="n">
        <v>1893.12</v>
      </c>
      <c r="J915" s="15" t="s">
        <v>98</v>
      </c>
      <c r="K915" s="15" t="s">
        <v>144</v>
      </c>
    </row>
    <row r="916" customFormat="false" ht="14.25" hidden="false" customHeight="false" outlineLevel="0" collapsed="false">
      <c r="A916" s="15" t="s">
        <v>1406</v>
      </c>
      <c r="B916" s="16" t="n">
        <v>45375</v>
      </c>
      <c r="C916" s="15" t="s">
        <v>171</v>
      </c>
      <c r="D916" s="15" t="s">
        <v>293</v>
      </c>
      <c r="E916" s="15" t="s">
        <v>357</v>
      </c>
      <c r="F916" s="17" t="n">
        <v>7</v>
      </c>
      <c r="G916" s="17" t="n">
        <v>300</v>
      </c>
      <c r="H916" s="17" t="n">
        <v>20.4</v>
      </c>
      <c r="I916" s="17" t="n">
        <v>1671.6</v>
      </c>
      <c r="J916" s="15" t="s">
        <v>98</v>
      </c>
      <c r="K916" s="15" t="s">
        <v>123</v>
      </c>
    </row>
    <row r="917" customFormat="false" ht="14.25" hidden="false" customHeight="false" outlineLevel="0" collapsed="false">
      <c r="A917" s="15" t="s">
        <v>1407</v>
      </c>
      <c r="B917" s="16" t="n">
        <v>45397</v>
      </c>
      <c r="C917" s="15" t="s">
        <v>323</v>
      </c>
      <c r="D917" s="15" t="s">
        <v>149</v>
      </c>
      <c r="E917" s="15" t="s">
        <v>109</v>
      </c>
      <c r="F917" s="17" t="n">
        <v>8</v>
      </c>
      <c r="G917" s="17" t="n">
        <v>2600</v>
      </c>
      <c r="H917" s="17" t="n">
        <v>2.2</v>
      </c>
      <c r="I917" s="17" t="n">
        <v>20342.4</v>
      </c>
      <c r="J917" s="15" t="s">
        <v>151</v>
      </c>
      <c r="K917" s="15" t="s">
        <v>144</v>
      </c>
    </row>
    <row r="918" customFormat="false" ht="14.25" hidden="false" customHeight="false" outlineLevel="0" collapsed="false">
      <c r="A918" s="15" t="s">
        <v>1408</v>
      </c>
      <c r="B918" s="16" t="n">
        <v>45571</v>
      </c>
      <c r="C918" s="15" t="s">
        <v>496</v>
      </c>
      <c r="D918" s="15" t="s">
        <v>121</v>
      </c>
      <c r="E918" s="15" t="s">
        <v>118</v>
      </c>
      <c r="F918" s="17" t="n">
        <v>2</v>
      </c>
      <c r="G918" s="17" t="n">
        <v>370</v>
      </c>
      <c r="H918" s="17" t="n">
        <v>17.7</v>
      </c>
      <c r="I918" s="17" t="n">
        <v>609.02</v>
      </c>
      <c r="J918" s="15" t="s">
        <v>98</v>
      </c>
      <c r="K918" s="15" t="s">
        <v>99</v>
      </c>
    </row>
    <row r="919" customFormat="false" ht="14.25" hidden="false" customHeight="false" outlineLevel="0" collapsed="false">
      <c r="A919" s="15" t="s">
        <v>1409</v>
      </c>
      <c r="B919" s="16" t="n">
        <v>45455</v>
      </c>
      <c r="C919" s="15" t="s">
        <v>189</v>
      </c>
      <c r="D919" s="15" t="s">
        <v>168</v>
      </c>
      <c r="E919" s="15" t="s">
        <v>212</v>
      </c>
      <c r="F919" s="17" t="n">
        <v>4</v>
      </c>
      <c r="G919" s="17" t="n">
        <v>3450</v>
      </c>
      <c r="H919" s="17" t="n">
        <v>9.8</v>
      </c>
      <c r="I919" s="17" t="n">
        <v>12447.6</v>
      </c>
      <c r="J919" s="15" t="s">
        <v>151</v>
      </c>
      <c r="K919" s="15" t="s">
        <v>105</v>
      </c>
    </row>
    <row r="920" customFormat="false" ht="14.25" hidden="false" customHeight="false" outlineLevel="0" collapsed="false">
      <c r="A920" s="15" t="s">
        <v>1410</v>
      </c>
      <c r="B920" s="16" t="n">
        <v>45486</v>
      </c>
      <c r="C920" s="15" t="s">
        <v>792</v>
      </c>
      <c r="D920" s="15" t="s">
        <v>178</v>
      </c>
      <c r="E920" s="15" t="s">
        <v>203</v>
      </c>
      <c r="F920" s="17" t="n">
        <v>1</v>
      </c>
      <c r="G920" s="17" t="n">
        <v>2480</v>
      </c>
      <c r="H920" s="17" t="n">
        <v>5.8</v>
      </c>
      <c r="I920" s="17" t="n">
        <v>2336.16</v>
      </c>
      <c r="J920" s="15" t="s">
        <v>98</v>
      </c>
      <c r="K920" s="15" t="s">
        <v>110</v>
      </c>
    </row>
    <row r="921" customFormat="false" ht="14.25" hidden="false" customHeight="false" outlineLevel="0" collapsed="false">
      <c r="A921" s="15" t="s">
        <v>1411</v>
      </c>
      <c r="B921" s="16" t="n">
        <v>45329</v>
      </c>
      <c r="C921" s="15" t="s">
        <v>562</v>
      </c>
      <c r="D921" s="15" t="s">
        <v>113</v>
      </c>
      <c r="E921" s="15" t="s">
        <v>132</v>
      </c>
      <c r="F921" s="17" t="n">
        <v>5</v>
      </c>
      <c r="G921" s="17" t="n">
        <v>3660</v>
      </c>
      <c r="H921" s="17" t="n">
        <v>4.7</v>
      </c>
      <c r="I921" s="17" t="n">
        <v>17439.9</v>
      </c>
      <c r="J921" s="15" t="s">
        <v>104</v>
      </c>
      <c r="K921" s="15" t="s">
        <v>123</v>
      </c>
    </row>
    <row r="922" customFormat="false" ht="14.25" hidden="false" customHeight="false" outlineLevel="0" collapsed="false">
      <c r="A922" s="15" t="s">
        <v>1412</v>
      </c>
      <c r="B922" s="16" t="n">
        <v>45315</v>
      </c>
      <c r="C922" s="15" t="s">
        <v>353</v>
      </c>
      <c r="D922" s="15" t="s">
        <v>187</v>
      </c>
      <c r="E922" s="15" t="s">
        <v>165</v>
      </c>
      <c r="F922" s="17" t="n">
        <v>7</v>
      </c>
      <c r="G922" s="17" t="n">
        <v>1650</v>
      </c>
      <c r="H922" s="17" t="n">
        <v>8.6</v>
      </c>
      <c r="I922" s="17" t="n">
        <v>10556.7</v>
      </c>
      <c r="J922" s="15" t="s">
        <v>98</v>
      </c>
      <c r="K922" s="15" t="s">
        <v>105</v>
      </c>
    </row>
    <row r="923" customFormat="false" ht="14.25" hidden="false" customHeight="false" outlineLevel="0" collapsed="false">
      <c r="A923" s="15" t="s">
        <v>1413</v>
      </c>
      <c r="B923" s="16" t="n">
        <v>45473</v>
      </c>
      <c r="C923" s="15" t="s">
        <v>201</v>
      </c>
      <c r="D923" s="15" t="s">
        <v>158</v>
      </c>
      <c r="E923" s="15" t="s">
        <v>122</v>
      </c>
      <c r="F923" s="17" t="n">
        <v>6</v>
      </c>
      <c r="G923" s="17" t="n">
        <v>190</v>
      </c>
      <c r="H923" s="17" t="n">
        <v>14.6</v>
      </c>
      <c r="I923" s="17" t="n">
        <v>973.56</v>
      </c>
      <c r="J923" s="15" t="s">
        <v>98</v>
      </c>
      <c r="K923" s="15" t="s">
        <v>144</v>
      </c>
    </row>
    <row r="924" customFormat="false" ht="14.25" hidden="false" customHeight="false" outlineLevel="0" collapsed="false">
      <c r="A924" s="15" t="s">
        <v>1414</v>
      </c>
      <c r="B924" s="16" t="n">
        <v>45546</v>
      </c>
      <c r="C924" s="15" t="s">
        <v>619</v>
      </c>
      <c r="D924" s="15" t="s">
        <v>256</v>
      </c>
      <c r="E924" s="15" t="s">
        <v>226</v>
      </c>
      <c r="F924" s="17" t="n">
        <v>5</v>
      </c>
      <c r="G924" s="17" t="n">
        <v>2270</v>
      </c>
      <c r="H924" s="17" t="n">
        <v>5.9</v>
      </c>
      <c r="I924" s="17" t="n">
        <v>10680.35</v>
      </c>
      <c r="J924" s="15" t="s">
        <v>98</v>
      </c>
      <c r="K924" s="15" t="s">
        <v>99</v>
      </c>
    </row>
    <row r="925" customFormat="false" ht="14.25" hidden="false" customHeight="false" outlineLevel="0" collapsed="false">
      <c r="A925" s="15" t="s">
        <v>1415</v>
      </c>
      <c r="B925" s="16" t="n">
        <v>45625</v>
      </c>
      <c r="C925" s="15" t="s">
        <v>1001</v>
      </c>
      <c r="D925" s="15" t="s">
        <v>142</v>
      </c>
      <c r="E925" s="15" t="s">
        <v>284</v>
      </c>
      <c r="F925" s="17" t="n">
        <v>1</v>
      </c>
      <c r="G925" s="17" t="n">
        <v>2270</v>
      </c>
      <c r="H925" s="17" t="n">
        <v>14.9</v>
      </c>
      <c r="I925" s="17" t="n">
        <v>1931.77</v>
      </c>
      <c r="J925" s="15" t="s">
        <v>98</v>
      </c>
      <c r="K925" s="15" t="s">
        <v>128</v>
      </c>
    </row>
    <row r="926" customFormat="false" ht="14.25" hidden="false" customHeight="false" outlineLevel="0" collapsed="false">
      <c r="A926" s="15" t="s">
        <v>1416</v>
      </c>
      <c r="B926" s="16" t="n">
        <v>45579</v>
      </c>
      <c r="C926" s="15" t="s">
        <v>617</v>
      </c>
      <c r="D926" s="15" t="s">
        <v>463</v>
      </c>
      <c r="E926" s="15" t="s">
        <v>314</v>
      </c>
      <c r="F926" s="17" t="n">
        <v>4</v>
      </c>
      <c r="G926" s="17" t="n">
        <v>3450</v>
      </c>
      <c r="H926" s="17" t="n">
        <v>11.7</v>
      </c>
      <c r="I926" s="17" t="n">
        <v>12185.4</v>
      </c>
      <c r="J926" s="15" t="s">
        <v>151</v>
      </c>
      <c r="K926" s="15" t="s">
        <v>123</v>
      </c>
    </row>
    <row r="927" customFormat="false" ht="14.25" hidden="false" customHeight="false" outlineLevel="0" collapsed="false">
      <c r="A927" s="15" t="s">
        <v>1417</v>
      </c>
      <c r="B927" s="16" t="n">
        <v>45323</v>
      </c>
      <c r="C927" s="15" t="s">
        <v>539</v>
      </c>
      <c r="D927" s="15" t="s">
        <v>287</v>
      </c>
      <c r="E927" s="15" t="s">
        <v>139</v>
      </c>
      <c r="F927" s="17" t="n">
        <v>7</v>
      </c>
      <c r="G927" s="17" t="n">
        <v>3020</v>
      </c>
      <c r="H927" s="17" t="n">
        <v>18.8</v>
      </c>
      <c r="I927" s="17" t="n">
        <v>17165.68</v>
      </c>
      <c r="J927" s="15" t="s">
        <v>98</v>
      </c>
      <c r="K927" s="15" t="s">
        <v>123</v>
      </c>
    </row>
    <row r="928" customFormat="false" ht="14.25" hidden="false" customHeight="false" outlineLevel="0" collapsed="false">
      <c r="A928" s="15" t="s">
        <v>1418</v>
      </c>
      <c r="B928" s="16" t="n">
        <v>45613</v>
      </c>
      <c r="C928" s="15" t="s">
        <v>881</v>
      </c>
      <c r="D928" s="15" t="s">
        <v>306</v>
      </c>
      <c r="E928" s="15" t="s">
        <v>357</v>
      </c>
      <c r="F928" s="17" t="n">
        <v>4</v>
      </c>
      <c r="G928" s="17" t="n">
        <v>2030</v>
      </c>
      <c r="H928" s="17" t="n">
        <v>25.7</v>
      </c>
      <c r="I928" s="17" t="n">
        <v>6033.16</v>
      </c>
      <c r="J928" s="15" t="s">
        <v>98</v>
      </c>
      <c r="K928" s="15" t="s">
        <v>128</v>
      </c>
    </row>
    <row r="929" customFormat="false" ht="14.25" hidden="false" customHeight="false" outlineLevel="0" collapsed="false">
      <c r="A929" s="15" t="s">
        <v>1419</v>
      </c>
      <c r="B929" s="16" t="n">
        <v>45362</v>
      </c>
      <c r="C929" s="15" t="s">
        <v>300</v>
      </c>
      <c r="D929" s="15" t="s">
        <v>463</v>
      </c>
      <c r="E929" s="15" t="s">
        <v>109</v>
      </c>
      <c r="F929" s="17" t="n">
        <v>4</v>
      </c>
      <c r="G929" s="17" t="n">
        <v>3450</v>
      </c>
      <c r="H929" s="17" t="n">
        <v>3.9</v>
      </c>
      <c r="I929" s="17" t="n">
        <v>13261.8</v>
      </c>
      <c r="J929" s="15" t="s">
        <v>98</v>
      </c>
      <c r="K929" s="15" t="s">
        <v>105</v>
      </c>
    </row>
    <row r="930" customFormat="false" ht="14.25" hidden="false" customHeight="false" outlineLevel="0" collapsed="false">
      <c r="A930" s="15" t="s">
        <v>1420</v>
      </c>
      <c r="B930" s="16" t="n">
        <v>45347</v>
      </c>
      <c r="C930" s="15" t="s">
        <v>539</v>
      </c>
      <c r="D930" s="15" t="s">
        <v>391</v>
      </c>
      <c r="E930" s="15" t="s">
        <v>139</v>
      </c>
      <c r="F930" s="17" t="n">
        <v>5</v>
      </c>
      <c r="G930" s="17" t="n">
        <v>960</v>
      </c>
      <c r="H930" s="17" t="n">
        <v>8</v>
      </c>
      <c r="I930" s="17" t="n">
        <v>4416</v>
      </c>
      <c r="J930" s="15" t="s">
        <v>98</v>
      </c>
      <c r="K930" s="15" t="s">
        <v>123</v>
      </c>
    </row>
    <row r="931" customFormat="false" ht="14.25" hidden="false" customHeight="false" outlineLevel="0" collapsed="false">
      <c r="A931" s="15" t="s">
        <v>1421</v>
      </c>
      <c r="B931" s="16" t="n">
        <v>45550</v>
      </c>
      <c r="C931" s="15" t="s">
        <v>107</v>
      </c>
      <c r="D931" s="15" t="s">
        <v>419</v>
      </c>
      <c r="E931" s="15" t="s">
        <v>226</v>
      </c>
      <c r="F931" s="17" t="n">
        <v>7</v>
      </c>
      <c r="G931" s="17" t="n">
        <v>3970</v>
      </c>
      <c r="H931" s="17" t="n">
        <v>11.7</v>
      </c>
      <c r="I931" s="17" t="n">
        <v>24538.57</v>
      </c>
      <c r="J931" s="15" t="s">
        <v>98</v>
      </c>
      <c r="K931" s="15" t="s">
        <v>110</v>
      </c>
    </row>
    <row r="932" customFormat="false" ht="14.25" hidden="false" customHeight="false" outlineLevel="0" collapsed="false">
      <c r="A932" s="15" t="s">
        <v>1422</v>
      </c>
      <c r="B932" s="16" t="n">
        <v>45554</v>
      </c>
      <c r="C932" s="15" t="s">
        <v>316</v>
      </c>
      <c r="D932" s="15" t="s">
        <v>371</v>
      </c>
      <c r="E932" s="15" t="s">
        <v>212</v>
      </c>
      <c r="F932" s="17" t="n">
        <v>3</v>
      </c>
      <c r="G932" s="17" t="n">
        <v>5410</v>
      </c>
      <c r="H932" s="17" t="n">
        <v>10</v>
      </c>
      <c r="I932" s="17" t="n">
        <v>14607</v>
      </c>
      <c r="J932" s="15" t="s">
        <v>98</v>
      </c>
      <c r="K932" s="15" t="s">
        <v>144</v>
      </c>
    </row>
    <row r="933" customFormat="false" ht="14.25" hidden="false" customHeight="false" outlineLevel="0" collapsed="false">
      <c r="A933" s="15" t="s">
        <v>1423</v>
      </c>
      <c r="B933" s="16" t="n">
        <v>45428</v>
      </c>
      <c r="C933" s="15" t="s">
        <v>471</v>
      </c>
      <c r="D933" s="15" t="s">
        <v>198</v>
      </c>
      <c r="E933" s="15" t="s">
        <v>97</v>
      </c>
      <c r="F933" s="17" t="n">
        <v>8</v>
      </c>
      <c r="G933" s="17" t="n">
        <v>3570</v>
      </c>
      <c r="H933" s="17" t="n">
        <v>8.5</v>
      </c>
      <c r="I933" s="17" t="n">
        <v>26132.4</v>
      </c>
      <c r="J933" s="15" t="s">
        <v>98</v>
      </c>
      <c r="K933" s="15" t="s">
        <v>99</v>
      </c>
    </row>
    <row r="934" customFormat="false" ht="14.25" hidden="false" customHeight="false" outlineLevel="0" collapsed="false">
      <c r="A934" s="15" t="s">
        <v>1424</v>
      </c>
      <c r="B934" s="16" t="n">
        <v>45517</v>
      </c>
      <c r="C934" s="15" t="s">
        <v>239</v>
      </c>
      <c r="D934" s="15" t="s">
        <v>149</v>
      </c>
      <c r="E934" s="15" t="s">
        <v>109</v>
      </c>
      <c r="F934" s="17" t="n">
        <v>7</v>
      </c>
      <c r="G934" s="17" t="n">
        <v>2600</v>
      </c>
      <c r="H934" s="17" t="n">
        <v>27.1</v>
      </c>
      <c r="I934" s="17" t="n">
        <v>13267.8</v>
      </c>
      <c r="J934" s="15" t="s">
        <v>98</v>
      </c>
      <c r="K934" s="15" t="s">
        <v>123</v>
      </c>
    </row>
    <row r="935" customFormat="false" ht="14.25" hidden="false" customHeight="false" outlineLevel="0" collapsed="false">
      <c r="A935" s="15" t="s">
        <v>1425</v>
      </c>
      <c r="B935" s="16" t="n">
        <v>45442</v>
      </c>
      <c r="C935" s="15" t="s">
        <v>277</v>
      </c>
      <c r="D935" s="15" t="s">
        <v>108</v>
      </c>
      <c r="E935" s="15" t="s">
        <v>212</v>
      </c>
      <c r="F935" s="17" t="n">
        <v>6</v>
      </c>
      <c r="G935" s="17" t="n">
        <v>470</v>
      </c>
      <c r="H935" s="17" t="n">
        <v>2.4</v>
      </c>
      <c r="I935" s="17" t="n">
        <v>2752.32</v>
      </c>
      <c r="J935" s="15" t="s">
        <v>104</v>
      </c>
      <c r="K935" s="15" t="s">
        <v>110</v>
      </c>
    </row>
    <row r="936" customFormat="false" ht="14.25" hidden="false" customHeight="false" outlineLevel="0" collapsed="false">
      <c r="A936" s="15" t="s">
        <v>1426</v>
      </c>
      <c r="B936" s="16" t="n">
        <v>45371</v>
      </c>
      <c r="C936" s="15" t="s">
        <v>770</v>
      </c>
      <c r="D936" s="15" t="s">
        <v>108</v>
      </c>
      <c r="E936" s="15" t="s">
        <v>122</v>
      </c>
      <c r="F936" s="17" t="n">
        <v>3</v>
      </c>
      <c r="G936" s="17" t="n">
        <v>470</v>
      </c>
      <c r="H936" s="17" t="n">
        <v>6.3</v>
      </c>
      <c r="I936" s="17" t="n">
        <v>1321.17</v>
      </c>
      <c r="J936" s="15" t="s">
        <v>98</v>
      </c>
      <c r="K936" s="15" t="s">
        <v>128</v>
      </c>
    </row>
    <row r="937" customFormat="false" ht="14.25" hidden="false" customHeight="false" outlineLevel="0" collapsed="false">
      <c r="A937" s="15" t="s">
        <v>1427</v>
      </c>
      <c r="B937" s="16" t="n">
        <v>45540</v>
      </c>
      <c r="C937" s="15" t="s">
        <v>1319</v>
      </c>
      <c r="D937" s="15" t="s">
        <v>472</v>
      </c>
      <c r="E937" s="15" t="s">
        <v>150</v>
      </c>
      <c r="F937" s="17" t="n">
        <v>3</v>
      </c>
      <c r="G937" s="17" t="n">
        <v>3780</v>
      </c>
      <c r="H937" s="17" t="n">
        <v>19.4</v>
      </c>
      <c r="I937" s="17" t="n">
        <v>9140.04</v>
      </c>
      <c r="J937" s="15" t="s">
        <v>104</v>
      </c>
      <c r="K937" s="15" t="s">
        <v>105</v>
      </c>
    </row>
    <row r="938" customFormat="false" ht="14.25" hidden="false" customHeight="false" outlineLevel="0" collapsed="false">
      <c r="A938" s="15" t="s">
        <v>1428</v>
      </c>
      <c r="B938" s="16" t="n">
        <v>45392</v>
      </c>
      <c r="C938" s="15" t="s">
        <v>137</v>
      </c>
      <c r="D938" s="15" t="s">
        <v>526</v>
      </c>
      <c r="E938" s="15" t="s">
        <v>132</v>
      </c>
      <c r="F938" s="17" t="n">
        <v>5</v>
      </c>
      <c r="G938" s="17" t="n">
        <v>6940</v>
      </c>
      <c r="H938" s="17" t="n">
        <v>12.6</v>
      </c>
      <c r="I938" s="17" t="n">
        <v>30327.8</v>
      </c>
      <c r="J938" s="15" t="s">
        <v>98</v>
      </c>
      <c r="K938" s="15" t="s">
        <v>99</v>
      </c>
    </row>
    <row r="939" customFormat="false" ht="14.25" hidden="false" customHeight="false" outlineLevel="0" collapsed="false">
      <c r="A939" s="15" t="s">
        <v>1429</v>
      </c>
      <c r="B939" s="16" t="n">
        <v>45386</v>
      </c>
      <c r="C939" s="15" t="s">
        <v>424</v>
      </c>
      <c r="D939" s="15" t="s">
        <v>259</v>
      </c>
      <c r="E939" s="15" t="s">
        <v>181</v>
      </c>
      <c r="F939" s="17" t="n">
        <v>2</v>
      </c>
      <c r="G939" s="17" t="n">
        <v>3870</v>
      </c>
      <c r="H939" s="17" t="n">
        <v>10.5</v>
      </c>
      <c r="I939" s="17" t="n">
        <v>6927.3</v>
      </c>
      <c r="J939" s="15" t="s">
        <v>98</v>
      </c>
      <c r="K939" s="15" t="s">
        <v>99</v>
      </c>
    </row>
    <row r="940" customFormat="false" ht="14.25" hidden="false" customHeight="false" outlineLevel="0" collapsed="false">
      <c r="A940" s="15" t="s">
        <v>1430</v>
      </c>
      <c r="B940" s="16" t="n">
        <v>45516</v>
      </c>
      <c r="C940" s="15" t="s">
        <v>852</v>
      </c>
      <c r="D940" s="15" t="s">
        <v>371</v>
      </c>
      <c r="E940" s="15" t="s">
        <v>109</v>
      </c>
      <c r="F940" s="17" t="n">
        <v>8</v>
      </c>
      <c r="G940" s="17" t="n">
        <v>5410</v>
      </c>
      <c r="H940" s="17" t="n">
        <v>28.4</v>
      </c>
      <c r="I940" s="17" t="n">
        <v>30988.48</v>
      </c>
      <c r="J940" s="15" t="s">
        <v>104</v>
      </c>
      <c r="K940" s="15" t="s">
        <v>128</v>
      </c>
    </row>
    <row r="941" customFormat="false" ht="14.25" hidden="false" customHeight="false" outlineLevel="0" collapsed="false">
      <c r="A941" s="15" t="s">
        <v>1431</v>
      </c>
      <c r="B941" s="16" t="n">
        <v>45618</v>
      </c>
      <c r="C941" s="15" t="s">
        <v>208</v>
      </c>
      <c r="D941" s="15" t="s">
        <v>419</v>
      </c>
      <c r="E941" s="15" t="s">
        <v>181</v>
      </c>
      <c r="F941" s="17" t="n">
        <v>7</v>
      </c>
      <c r="G941" s="17" t="n">
        <v>3970</v>
      </c>
      <c r="H941" s="17" t="n">
        <v>12.3</v>
      </c>
      <c r="I941" s="17" t="n">
        <v>24371.83</v>
      </c>
      <c r="J941" s="15" t="s">
        <v>98</v>
      </c>
      <c r="K941" s="15" t="s">
        <v>99</v>
      </c>
    </row>
    <row r="942" customFormat="false" ht="14.25" hidden="false" customHeight="false" outlineLevel="0" collapsed="false">
      <c r="A942" s="15" t="s">
        <v>1432</v>
      </c>
      <c r="B942" s="16" t="n">
        <v>45610</v>
      </c>
      <c r="C942" s="15" t="s">
        <v>626</v>
      </c>
      <c r="D942" s="15" t="s">
        <v>526</v>
      </c>
      <c r="E942" s="15" t="s">
        <v>226</v>
      </c>
      <c r="F942" s="17" t="n">
        <v>5</v>
      </c>
      <c r="G942" s="17" t="n">
        <v>6940</v>
      </c>
      <c r="H942" s="17" t="n">
        <v>1.5</v>
      </c>
      <c r="I942" s="17" t="n">
        <v>34179.5</v>
      </c>
      <c r="J942" s="15" t="s">
        <v>98</v>
      </c>
      <c r="K942" s="15" t="s">
        <v>123</v>
      </c>
    </row>
    <row r="943" customFormat="false" ht="14.25" hidden="false" customHeight="false" outlineLevel="0" collapsed="false">
      <c r="A943" s="15" t="s">
        <v>1433</v>
      </c>
      <c r="B943" s="16" t="n">
        <v>45541</v>
      </c>
      <c r="C943" s="15" t="s">
        <v>1049</v>
      </c>
      <c r="D943" s="15" t="s">
        <v>117</v>
      </c>
      <c r="E943" s="15" t="s">
        <v>114</v>
      </c>
      <c r="F943" s="17" t="n">
        <v>7</v>
      </c>
      <c r="G943" s="17" t="n">
        <v>3160</v>
      </c>
      <c r="H943" s="17" t="n">
        <v>2.4</v>
      </c>
      <c r="I943" s="17" t="n">
        <v>21589.12</v>
      </c>
      <c r="J943" s="15" t="s">
        <v>155</v>
      </c>
      <c r="K943" s="15" t="s">
        <v>128</v>
      </c>
    </row>
    <row r="944" customFormat="false" ht="14.25" hidden="false" customHeight="false" outlineLevel="0" collapsed="false">
      <c r="A944" s="15" t="s">
        <v>1434</v>
      </c>
      <c r="B944" s="16" t="n">
        <v>45497</v>
      </c>
      <c r="C944" s="15" t="s">
        <v>768</v>
      </c>
      <c r="D944" s="15" t="s">
        <v>102</v>
      </c>
      <c r="E944" s="15" t="s">
        <v>127</v>
      </c>
      <c r="F944" s="17" t="n">
        <v>2</v>
      </c>
      <c r="G944" s="17" t="n">
        <v>820</v>
      </c>
      <c r="H944" s="17" t="n">
        <v>8.1</v>
      </c>
      <c r="I944" s="17" t="n">
        <v>1507.16</v>
      </c>
      <c r="J944" s="15" t="s">
        <v>98</v>
      </c>
      <c r="K944" s="15" t="s">
        <v>128</v>
      </c>
    </row>
    <row r="945" customFormat="false" ht="14.25" hidden="false" customHeight="false" outlineLevel="0" collapsed="false">
      <c r="A945" s="15" t="s">
        <v>1435</v>
      </c>
      <c r="B945" s="16" t="n">
        <v>45567</v>
      </c>
      <c r="C945" s="15" t="s">
        <v>261</v>
      </c>
      <c r="D945" s="15" t="s">
        <v>270</v>
      </c>
      <c r="E945" s="15" t="s">
        <v>181</v>
      </c>
      <c r="F945" s="17" t="n">
        <v>2</v>
      </c>
      <c r="G945" s="17" t="n">
        <v>1540</v>
      </c>
      <c r="H945" s="17" t="n">
        <v>17.7</v>
      </c>
      <c r="I945" s="17" t="n">
        <v>2534.84</v>
      </c>
      <c r="J945" s="15" t="s">
        <v>98</v>
      </c>
      <c r="K945" s="15" t="s">
        <v>128</v>
      </c>
    </row>
    <row r="946" customFormat="false" ht="14.25" hidden="false" customHeight="false" outlineLevel="0" collapsed="false">
      <c r="A946" s="15" t="s">
        <v>1436</v>
      </c>
      <c r="B946" s="16" t="n">
        <v>45451</v>
      </c>
      <c r="C946" s="15" t="s">
        <v>770</v>
      </c>
      <c r="D946" s="15" t="s">
        <v>259</v>
      </c>
      <c r="E946" s="15" t="s">
        <v>226</v>
      </c>
      <c r="F946" s="17" t="n">
        <v>10</v>
      </c>
      <c r="G946" s="17" t="n">
        <v>3870</v>
      </c>
      <c r="H946" s="17" t="n">
        <v>12.2</v>
      </c>
      <c r="I946" s="17" t="n">
        <v>33978.6</v>
      </c>
      <c r="J946" s="15" t="s">
        <v>155</v>
      </c>
      <c r="K946" s="15" t="s">
        <v>128</v>
      </c>
    </row>
    <row r="947" customFormat="false" ht="14.25" hidden="false" customHeight="false" outlineLevel="0" collapsed="false">
      <c r="A947" s="15" t="s">
        <v>1437</v>
      </c>
      <c r="B947" s="16" t="n">
        <v>45488</v>
      </c>
      <c r="C947" s="15" t="s">
        <v>403</v>
      </c>
      <c r="D947" s="15" t="s">
        <v>290</v>
      </c>
      <c r="E947" s="15" t="s">
        <v>308</v>
      </c>
      <c r="F947" s="17" t="n">
        <v>7</v>
      </c>
      <c r="G947" s="17" t="n">
        <v>2660</v>
      </c>
      <c r="H947" s="17" t="n">
        <v>4.7</v>
      </c>
      <c r="I947" s="17" t="n">
        <v>17744.86</v>
      </c>
      <c r="J947" s="15" t="s">
        <v>98</v>
      </c>
      <c r="K947" s="15" t="s">
        <v>123</v>
      </c>
    </row>
    <row r="948" customFormat="false" ht="14.25" hidden="false" customHeight="false" outlineLevel="0" collapsed="false">
      <c r="A948" s="15" t="s">
        <v>1438</v>
      </c>
      <c r="B948" s="16" t="n">
        <v>45431</v>
      </c>
      <c r="C948" s="15" t="s">
        <v>412</v>
      </c>
      <c r="D948" s="15" t="s">
        <v>198</v>
      </c>
      <c r="E948" s="15" t="s">
        <v>215</v>
      </c>
      <c r="F948" s="17" t="n">
        <v>4</v>
      </c>
      <c r="G948" s="17" t="n">
        <v>3570</v>
      </c>
      <c r="H948" s="17" t="n">
        <v>19.3</v>
      </c>
      <c r="I948" s="17" t="n">
        <v>11523.96</v>
      </c>
      <c r="J948" s="15" t="s">
        <v>98</v>
      </c>
      <c r="K948" s="15" t="s">
        <v>105</v>
      </c>
    </row>
    <row r="949" customFormat="false" ht="14.25" hidden="false" customHeight="false" outlineLevel="0" collapsed="false">
      <c r="A949" s="15" t="s">
        <v>1439</v>
      </c>
      <c r="B949" s="16" t="n">
        <v>45393</v>
      </c>
      <c r="C949" s="15" t="s">
        <v>197</v>
      </c>
      <c r="D949" s="15" t="s">
        <v>306</v>
      </c>
      <c r="E949" s="15" t="s">
        <v>308</v>
      </c>
      <c r="F949" s="17" t="n">
        <v>2</v>
      </c>
      <c r="G949" s="17" t="n">
        <v>2030</v>
      </c>
      <c r="H949" s="17" t="n">
        <v>2.6</v>
      </c>
      <c r="I949" s="17" t="n">
        <v>3954.44</v>
      </c>
      <c r="J949" s="15" t="s">
        <v>98</v>
      </c>
      <c r="K949" s="15" t="s">
        <v>105</v>
      </c>
    </row>
    <row r="950" customFormat="false" ht="14.25" hidden="false" customHeight="false" outlineLevel="0" collapsed="false">
      <c r="A950" s="15" t="s">
        <v>1440</v>
      </c>
      <c r="B950" s="16" t="n">
        <v>45427</v>
      </c>
      <c r="C950" s="15" t="s">
        <v>465</v>
      </c>
      <c r="D950" s="15" t="s">
        <v>117</v>
      </c>
      <c r="E950" s="15" t="s">
        <v>263</v>
      </c>
      <c r="F950" s="17" t="n">
        <v>6</v>
      </c>
      <c r="G950" s="17" t="n">
        <v>3160</v>
      </c>
      <c r="H950" s="17" t="n">
        <v>25.8</v>
      </c>
      <c r="I950" s="17" t="n">
        <v>14068.32</v>
      </c>
      <c r="J950" s="15" t="s">
        <v>98</v>
      </c>
      <c r="K950" s="15" t="s">
        <v>144</v>
      </c>
    </row>
    <row r="951" customFormat="false" ht="14.25" hidden="false" customHeight="false" outlineLevel="0" collapsed="false">
      <c r="A951" s="15" t="s">
        <v>1441</v>
      </c>
      <c r="B951" s="16" t="n">
        <v>45591</v>
      </c>
      <c r="C951" s="15" t="s">
        <v>533</v>
      </c>
      <c r="D951" s="15" t="s">
        <v>454</v>
      </c>
      <c r="E951" s="15" t="s">
        <v>109</v>
      </c>
      <c r="F951" s="17" t="n">
        <v>4</v>
      </c>
      <c r="G951" s="17" t="n">
        <v>5080</v>
      </c>
      <c r="H951" s="17" t="n">
        <v>2</v>
      </c>
      <c r="I951" s="17" t="n">
        <v>19913.6</v>
      </c>
      <c r="J951" s="15" t="s">
        <v>98</v>
      </c>
      <c r="K951" s="15" t="s">
        <v>1442</v>
      </c>
    </row>
    <row r="952" customFormat="false" ht="14.25" hidden="false" customHeight="false" outlineLevel="0" collapsed="false">
      <c r="A952" s="15" t="s">
        <v>1443</v>
      </c>
      <c r="B952" s="16" t="n">
        <v>45327</v>
      </c>
      <c r="C952" s="15" t="s">
        <v>471</v>
      </c>
      <c r="D952" s="15" t="s">
        <v>168</v>
      </c>
      <c r="E952" s="15" t="s">
        <v>143</v>
      </c>
      <c r="F952" s="17" t="n">
        <v>6</v>
      </c>
      <c r="G952" s="17" t="n">
        <v>3450</v>
      </c>
      <c r="H952" s="17" t="n">
        <v>1.8</v>
      </c>
      <c r="I952" s="17" t="n">
        <v>20327.4</v>
      </c>
      <c r="J952" s="15" t="s">
        <v>151</v>
      </c>
      <c r="K952" s="15" t="s">
        <v>99</v>
      </c>
    </row>
    <row r="953" customFormat="false" ht="14.25" hidden="false" customHeight="false" outlineLevel="0" collapsed="false">
      <c r="A953" s="15" t="s">
        <v>1444</v>
      </c>
      <c r="B953" s="16" t="n">
        <v>45575</v>
      </c>
      <c r="C953" s="15" t="s">
        <v>608</v>
      </c>
      <c r="D953" s="15" t="s">
        <v>172</v>
      </c>
      <c r="E953" s="15" t="s">
        <v>357</v>
      </c>
      <c r="F953" s="17" t="n">
        <v>3</v>
      </c>
      <c r="G953" s="17" t="n">
        <v>3450</v>
      </c>
      <c r="H953" s="17" t="n">
        <v>4.7</v>
      </c>
      <c r="I953" s="17" t="n">
        <v>9863.55</v>
      </c>
      <c r="J953" s="15" t="s">
        <v>104</v>
      </c>
      <c r="K953" s="15" t="s">
        <v>123</v>
      </c>
    </row>
    <row r="954" customFormat="false" ht="14.25" hidden="false" customHeight="false" outlineLevel="0" collapsed="false">
      <c r="A954" s="15" t="s">
        <v>1445</v>
      </c>
      <c r="B954" s="16" t="n">
        <v>45367</v>
      </c>
      <c r="C954" s="15" t="s">
        <v>219</v>
      </c>
      <c r="D954" s="15" t="s">
        <v>375</v>
      </c>
      <c r="E954" s="15" t="s">
        <v>354</v>
      </c>
      <c r="F954" s="17" t="n">
        <v>7</v>
      </c>
      <c r="G954" s="17" t="n">
        <v>5330</v>
      </c>
      <c r="H954" s="17" t="n">
        <v>16.4</v>
      </c>
      <c r="I954" s="17" t="n">
        <v>31191.16</v>
      </c>
      <c r="J954" s="15" t="s">
        <v>98</v>
      </c>
      <c r="K954" s="15" t="s">
        <v>144</v>
      </c>
    </row>
    <row r="955" customFormat="false" ht="14.25" hidden="false" customHeight="false" outlineLevel="0" collapsed="false">
      <c r="A955" s="15" t="s">
        <v>1446</v>
      </c>
      <c r="B955" s="16" t="n">
        <v>45522</v>
      </c>
      <c r="C955" s="15" t="s">
        <v>617</v>
      </c>
      <c r="D955" s="15" t="s">
        <v>349</v>
      </c>
      <c r="E955" s="15" t="s">
        <v>159</v>
      </c>
      <c r="F955" s="17" t="n">
        <v>6</v>
      </c>
      <c r="G955" s="17" t="n">
        <v>2210</v>
      </c>
      <c r="H955" s="17" t="n">
        <v>13.1</v>
      </c>
      <c r="I955" s="17" t="n">
        <v>11522.94</v>
      </c>
      <c r="J955" s="15" t="s">
        <v>98</v>
      </c>
      <c r="K955" s="15" t="s">
        <v>123</v>
      </c>
    </row>
    <row r="956" customFormat="false" ht="14.25" hidden="false" customHeight="false" outlineLevel="0" collapsed="false">
      <c r="A956" s="15" t="s">
        <v>1447</v>
      </c>
      <c r="B956" s="16" t="n">
        <v>45579</v>
      </c>
      <c r="C956" s="15" t="s">
        <v>458</v>
      </c>
      <c r="D956" s="15" t="s">
        <v>175</v>
      </c>
      <c r="E956" s="15" t="s">
        <v>212</v>
      </c>
      <c r="F956" s="17" t="n">
        <v>8</v>
      </c>
      <c r="G956" s="17" t="n">
        <v>1080</v>
      </c>
      <c r="H956" s="17" t="n">
        <v>8.7</v>
      </c>
      <c r="I956" s="17" t="n">
        <v>7888.32</v>
      </c>
      <c r="J956" s="15" t="s">
        <v>98</v>
      </c>
      <c r="K956" s="15" t="s">
        <v>123</v>
      </c>
    </row>
    <row r="957" customFormat="false" ht="14.25" hidden="false" customHeight="false" outlineLevel="0" collapsed="false">
      <c r="A957" s="15" t="s">
        <v>1448</v>
      </c>
      <c r="B957" s="16" t="n">
        <v>45495</v>
      </c>
      <c r="C957" s="15" t="s">
        <v>387</v>
      </c>
      <c r="D957" s="15" t="s">
        <v>96</v>
      </c>
      <c r="E957" s="15" t="s">
        <v>199</v>
      </c>
      <c r="F957" s="17" t="n">
        <v>5</v>
      </c>
      <c r="G957" s="17" t="n">
        <v>3620</v>
      </c>
      <c r="H957" s="17" t="n">
        <v>16.1</v>
      </c>
      <c r="I957" s="17" t="n">
        <v>15185.9</v>
      </c>
      <c r="J957" s="15" t="s">
        <v>98</v>
      </c>
      <c r="K957" s="15" t="s">
        <v>128</v>
      </c>
    </row>
    <row r="958" customFormat="false" ht="14.25" hidden="false" customHeight="false" outlineLevel="0" collapsed="false">
      <c r="A958" s="15" t="s">
        <v>1449</v>
      </c>
      <c r="B958" s="16" t="n">
        <v>45483</v>
      </c>
      <c r="C958" s="15" t="s">
        <v>120</v>
      </c>
      <c r="D958" s="15" t="s">
        <v>670</v>
      </c>
      <c r="E958" s="15" t="s">
        <v>284</v>
      </c>
      <c r="F958" s="17" t="n">
        <v>7</v>
      </c>
      <c r="G958" s="17" t="n">
        <v>3560</v>
      </c>
      <c r="H958" s="17" t="n">
        <v>8.5</v>
      </c>
      <c r="I958" s="17" t="n">
        <v>22801.8</v>
      </c>
      <c r="J958" s="15" t="s">
        <v>98</v>
      </c>
      <c r="K958" s="15" t="s">
        <v>123</v>
      </c>
    </row>
    <row r="959" customFormat="false" ht="14.25" hidden="false" customHeight="false" outlineLevel="0" collapsed="false">
      <c r="A959" s="15" t="s">
        <v>1450</v>
      </c>
      <c r="B959" s="16" t="n">
        <v>45496</v>
      </c>
      <c r="C959" s="15" t="s">
        <v>312</v>
      </c>
      <c r="D959" s="15" t="s">
        <v>306</v>
      </c>
      <c r="E959" s="15" t="s">
        <v>122</v>
      </c>
      <c r="F959" s="17" t="n">
        <v>8</v>
      </c>
      <c r="G959" s="17" t="n">
        <v>2030</v>
      </c>
      <c r="H959" s="17" t="n">
        <v>18.1</v>
      </c>
      <c r="I959" s="17" t="n">
        <v>13300.56</v>
      </c>
      <c r="J959" s="15" t="s">
        <v>98</v>
      </c>
      <c r="K959" s="15" t="s">
        <v>105</v>
      </c>
    </row>
    <row r="960" customFormat="false" ht="14.25" hidden="false" customHeight="false" outlineLevel="0" collapsed="false">
      <c r="A960" s="15" t="s">
        <v>1451</v>
      </c>
      <c r="B960" s="16" t="n">
        <v>45350</v>
      </c>
      <c r="C960" s="15" t="s">
        <v>1319</v>
      </c>
      <c r="D960" s="15" t="s">
        <v>187</v>
      </c>
      <c r="E960" s="15" t="s">
        <v>284</v>
      </c>
      <c r="F960" s="17" t="n">
        <v>10</v>
      </c>
      <c r="G960" s="17" t="n">
        <v>1650</v>
      </c>
      <c r="H960" s="17" t="n">
        <v>7.1</v>
      </c>
      <c r="I960" s="17" t="n">
        <v>15328.5</v>
      </c>
      <c r="J960" s="15" t="s">
        <v>98</v>
      </c>
      <c r="K960" s="15" t="s">
        <v>105</v>
      </c>
    </row>
    <row r="961" customFormat="false" ht="14.25" hidden="false" customHeight="false" outlineLevel="0" collapsed="false">
      <c r="A961" s="15" t="s">
        <v>1452</v>
      </c>
      <c r="B961" s="16" t="n">
        <v>45517</v>
      </c>
      <c r="C961" s="15" t="s">
        <v>512</v>
      </c>
      <c r="D961" s="15" t="s">
        <v>211</v>
      </c>
      <c r="E961" s="15" t="s">
        <v>249</v>
      </c>
      <c r="F961" s="17" t="n">
        <v>4</v>
      </c>
      <c r="G961" s="17" t="n">
        <v>2760</v>
      </c>
      <c r="H961" s="17" t="n">
        <v>17.6</v>
      </c>
      <c r="I961" s="17" t="n">
        <v>9096.96</v>
      </c>
      <c r="J961" s="15" t="s">
        <v>151</v>
      </c>
      <c r="K961" s="15" t="s">
        <v>144</v>
      </c>
    </row>
    <row r="962" customFormat="false" ht="14.25" hidden="false" customHeight="false" outlineLevel="0" collapsed="false">
      <c r="A962" s="15" t="s">
        <v>1453</v>
      </c>
      <c r="B962" s="16" t="n">
        <v>45460</v>
      </c>
      <c r="C962" s="15" t="s">
        <v>581</v>
      </c>
      <c r="D962" s="15" t="s">
        <v>419</v>
      </c>
      <c r="E962" s="15" t="s">
        <v>215</v>
      </c>
      <c r="F962" s="17" t="n">
        <v>4</v>
      </c>
      <c r="G962" s="17" t="n">
        <v>3970</v>
      </c>
      <c r="H962" s="17" t="n">
        <v>4.3</v>
      </c>
      <c r="I962" s="17" t="n">
        <v>15197.16</v>
      </c>
      <c r="J962" s="15" t="s">
        <v>98</v>
      </c>
      <c r="K962" s="15" t="s">
        <v>110</v>
      </c>
    </row>
    <row r="963" customFormat="false" ht="14.25" hidden="false" customHeight="false" outlineLevel="0" collapsed="false">
      <c r="A963" s="15" t="s">
        <v>1454</v>
      </c>
      <c r="B963" s="16" t="n">
        <v>45509</v>
      </c>
      <c r="C963" s="15" t="s">
        <v>490</v>
      </c>
      <c r="D963" s="15" t="s">
        <v>252</v>
      </c>
      <c r="E963" s="15" t="s">
        <v>143</v>
      </c>
      <c r="F963" s="17" t="n">
        <v>2</v>
      </c>
      <c r="G963" s="17" t="n">
        <v>6080</v>
      </c>
      <c r="H963" s="17" t="n">
        <v>23.8</v>
      </c>
      <c r="I963" s="17" t="n">
        <v>9265.92</v>
      </c>
      <c r="J963" s="15" t="s">
        <v>98</v>
      </c>
      <c r="K963" s="15" t="s">
        <v>99</v>
      </c>
    </row>
    <row r="964" customFormat="false" ht="14.25" hidden="false" customHeight="false" outlineLevel="0" collapsed="false">
      <c r="A964" s="15" t="s">
        <v>1455</v>
      </c>
      <c r="B964" s="16" t="n">
        <v>45602</v>
      </c>
      <c r="C964" s="15" t="s">
        <v>384</v>
      </c>
      <c r="D964" s="15" t="s">
        <v>142</v>
      </c>
      <c r="E964" s="15" t="s">
        <v>150</v>
      </c>
      <c r="F964" s="17" t="n">
        <v>4</v>
      </c>
      <c r="G964" s="17" t="n">
        <v>2270</v>
      </c>
      <c r="H964" s="17" t="n">
        <v>28.9</v>
      </c>
      <c r="I964" s="17" t="n">
        <v>6455.88</v>
      </c>
      <c r="J964" s="15" t="s">
        <v>98</v>
      </c>
      <c r="K964" s="15" t="s">
        <v>99</v>
      </c>
    </row>
    <row r="965" customFormat="false" ht="14.25" hidden="false" customHeight="false" outlineLevel="0" collapsed="false">
      <c r="A965" s="15" t="s">
        <v>1456</v>
      </c>
      <c r="B965" s="16" t="n">
        <v>45441</v>
      </c>
      <c r="C965" s="15" t="s">
        <v>208</v>
      </c>
      <c r="D965" s="15" t="s">
        <v>419</v>
      </c>
      <c r="E965" s="15" t="s">
        <v>150</v>
      </c>
      <c r="F965" s="17" t="n">
        <v>10</v>
      </c>
      <c r="G965" s="17" t="n">
        <v>3970</v>
      </c>
      <c r="H965" s="17" t="n">
        <v>26.2</v>
      </c>
      <c r="I965" s="17" t="n">
        <v>29298.6</v>
      </c>
      <c r="J965" s="15" t="s">
        <v>98</v>
      </c>
      <c r="K965" s="15" t="s">
        <v>99</v>
      </c>
    </row>
    <row r="966" customFormat="false" ht="14.25" hidden="false" customHeight="false" outlineLevel="0" collapsed="false">
      <c r="A966" s="15" t="s">
        <v>1457</v>
      </c>
      <c r="B966" s="16" t="n">
        <v>45378</v>
      </c>
      <c r="C966" s="15" t="s">
        <v>353</v>
      </c>
      <c r="D966" s="15" t="s">
        <v>202</v>
      </c>
      <c r="E966" s="15" t="s">
        <v>263</v>
      </c>
      <c r="F966" s="17" t="n">
        <v>4</v>
      </c>
      <c r="G966" s="17" t="n">
        <v>5100</v>
      </c>
      <c r="H966" s="17" t="n">
        <v>2.1</v>
      </c>
      <c r="I966" s="17" t="n">
        <v>19971.6</v>
      </c>
      <c r="J966" s="15" t="s">
        <v>98</v>
      </c>
      <c r="K966" s="15" t="s">
        <v>105</v>
      </c>
    </row>
    <row r="967" customFormat="false" ht="14.25" hidden="false" customHeight="false" outlineLevel="0" collapsed="false">
      <c r="A967" s="15" t="s">
        <v>1458</v>
      </c>
      <c r="B967" s="16" t="n">
        <v>45428</v>
      </c>
      <c r="C967" s="15" t="s">
        <v>325</v>
      </c>
      <c r="D967" s="15" t="s">
        <v>287</v>
      </c>
      <c r="E967" s="15" t="s">
        <v>127</v>
      </c>
      <c r="F967" s="17" t="n">
        <v>5</v>
      </c>
      <c r="G967" s="17" t="n">
        <v>3020</v>
      </c>
      <c r="H967" s="17" t="n">
        <v>17.3</v>
      </c>
      <c r="I967" s="17" t="n">
        <v>12487.7</v>
      </c>
      <c r="J967" s="15" t="s">
        <v>98</v>
      </c>
      <c r="K967" s="15" t="s">
        <v>99</v>
      </c>
    </row>
    <row r="968" customFormat="false" ht="14.25" hidden="false" customHeight="false" outlineLevel="0" collapsed="false">
      <c r="A968" s="15" t="s">
        <v>1459</v>
      </c>
      <c r="B968" s="16" t="n">
        <v>45521</v>
      </c>
      <c r="C968" s="15" t="s">
        <v>913</v>
      </c>
      <c r="D968" s="15" t="s">
        <v>126</v>
      </c>
      <c r="E968" s="15" t="s">
        <v>357</v>
      </c>
      <c r="F968" s="17" t="n">
        <v>8</v>
      </c>
      <c r="G968" s="17" t="n">
        <v>960</v>
      </c>
      <c r="H968" s="17" t="n">
        <v>1.3</v>
      </c>
      <c r="I968" s="17" t="n">
        <v>7580.16</v>
      </c>
      <c r="J968" s="15" t="s">
        <v>151</v>
      </c>
      <c r="K968" s="15" t="s">
        <v>123</v>
      </c>
    </row>
    <row r="969" customFormat="false" ht="14.25" hidden="false" customHeight="false" outlineLevel="0" collapsed="false">
      <c r="A969" s="15" t="s">
        <v>1460</v>
      </c>
      <c r="B969" s="16" t="n">
        <v>45612</v>
      </c>
      <c r="C969" s="15" t="s">
        <v>970</v>
      </c>
      <c r="D969" s="15" t="s">
        <v>178</v>
      </c>
      <c r="E969" s="15" t="s">
        <v>118</v>
      </c>
      <c r="F969" s="17" t="n">
        <v>9</v>
      </c>
      <c r="G969" s="17" t="n">
        <v>2480</v>
      </c>
      <c r="H969" s="17" t="n">
        <v>15.6</v>
      </c>
      <c r="I969" s="17" t="n">
        <v>18838.08</v>
      </c>
      <c r="J969" s="15" t="s">
        <v>98</v>
      </c>
      <c r="K969" s="15" t="s">
        <v>123</v>
      </c>
    </row>
    <row r="970" customFormat="false" ht="14.25" hidden="false" customHeight="false" outlineLevel="0" collapsed="false">
      <c r="A970" s="15" t="s">
        <v>1461</v>
      </c>
      <c r="B970" s="16" t="n">
        <v>45566</v>
      </c>
      <c r="C970" s="15" t="s">
        <v>1462</v>
      </c>
      <c r="D970" s="15" t="s">
        <v>138</v>
      </c>
      <c r="E970" s="15" t="s">
        <v>336</v>
      </c>
      <c r="F970" s="17" t="n">
        <v>1</v>
      </c>
      <c r="G970" s="17" t="n">
        <v>970</v>
      </c>
      <c r="H970" s="17" t="n">
        <v>24.9</v>
      </c>
      <c r="I970" s="17" t="n">
        <v>728.47</v>
      </c>
      <c r="J970" s="15" t="s">
        <v>98</v>
      </c>
      <c r="K970" s="15" t="s">
        <v>128</v>
      </c>
    </row>
    <row r="971" customFormat="false" ht="14.25" hidden="false" customHeight="false" outlineLevel="0" collapsed="false">
      <c r="A971" s="15" t="s">
        <v>1463</v>
      </c>
      <c r="B971" s="16" t="n">
        <v>45606</v>
      </c>
      <c r="C971" s="15" t="s">
        <v>418</v>
      </c>
      <c r="D971" s="15" t="s">
        <v>378</v>
      </c>
      <c r="E971" s="15" t="s">
        <v>296</v>
      </c>
      <c r="F971" s="17" t="n">
        <v>4</v>
      </c>
      <c r="G971" s="17" t="n">
        <v>2380</v>
      </c>
      <c r="H971" s="17" t="n">
        <v>9.5</v>
      </c>
      <c r="I971" s="17" t="n">
        <v>8615.6</v>
      </c>
      <c r="J971" s="15" t="s">
        <v>151</v>
      </c>
      <c r="K971" s="15" t="s">
        <v>99</v>
      </c>
    </row>
    <row r="972" customFormat="false" ht="14.25" hidden="false" customHeight="false" outlineLevel="0" collapsed="false">
      <c r="A972" s="15" t="s">
        <v>1464</v>
      </c>
      <c r="B972" s="16" t="n">
        <v>45423</v>
      </c>
      <c r="C972" s="15" t="s">
        <v>141</v>
      </c>
      <c r="D972" s="15" t="s">
        <v>371</v>
      </c>
      <c r="E972" s="15" t="s">
        <v>103</v>
      </c>
      <c r="F972" s="17" t="n">
        <v>4</v>
      </c>
      <c r="G972" s="17" t="n">
        <v>5410</v>
      </c>
      <c r="H972" s="17" t="n">
        <v>18.7</v>
      </c>
      <c r="I972" s="17" t="n">
        <v>17593.32</v>
      </c>
      <c r="J972" s="15" t="s">
        <v>98</v>
      </c>
      <c r="K972" s="15" t="s">
        <v>144</v>
      </c>
    </row>
    <row r="973" customFormat="false" ht="14.25" hidden="false" customHeight="false" outlineLevel="0" collapsed="false">
      <c r="A973" s="15" t="s">
        <v>1465</v>
      </c>
      <c r="B973" s="16" t="n">
        <v>45573</v>
      </c>
      <c r="C973" s="15" t="s">
        <v>295</v>
      </c>
      <c r="D973" s="15" t="s">
        <v>454</v>
      </c>
      <c r="E973" s="15" t="s">
        <v>296</v>
      </c>
      <c r="F973" s="17" t="n">
        <v>7</v>
      </c>
      <c r="G973" s="17" t="n">
        <v>5080</v>
      </c>
      <c r="H973" s="17" t="n">
        <v>6.5</v>
      </c>
      <c r="I973" s="17" t="n">
        <v>33248.6</v>
      </c>
      <c r="J973" s="15" t="s">
        <v>98</v>
      </c>
      <c r="K973" s="15" t="s">
        <v>105</v>
      </c>
    </row>
    <row r="974" customFormat="false" ht="14.25" hidden="false" customHeight="false" outlineLevel="0" collapsed="false">
      <c r="A974" s="15" t="s">
        <v>1466</v>
      </c>
      <c r="B974" s="16" t="n">
        <v>45339</v>
      </c>
      <c r="C974" s="15" t="s">
        <v>1183</v>
      </c>
      <c r="D974" s="15" t="s">
        <v>131</v>
      </c>
      <c r="E974" s="15" t="s">
        <v>122</v>
      </c>
      <c r="F974" s="17" t="n">
        <v>5</v>
      </c>
      <c r="G974" s="17" t="n">
        <v>1430</v>
      </c>
      <c r="H974" s="17" t="n">
        <v>19.8</v>
      </c>
      <c r="I974" s="17" t="n">
        <v>5734.3</v>
      </c>
      <c r="J974" s="15" t="s">
        <v>98</v>
      </c>
      <c r="K974" s="15" t="s">
        <v>99</v>
      </c>
    </row>
    <row r="975" customFormat="false" ht="14.25" hidden="false" customHeight="false" outlineLevel="0" collapsed="false">
      <c r="A975" s="15" t="s">
        <v>1467</v>
      </c>
      <c r="B975" s="16" t="n">
        <v>45611</v>
      </c>
      <c r="C975" s="15" t="s">
        <v>879</v>
      </c>
      <c r="D975" s="15" t="s">
        <v>214</v>
      </c>
      <c r="E975" s="15" t="s">
        <v>284</v>
      </c>
      <c r="F975" s="17" t="n">
        <v>7</v>
      </c>
      <c r="G975" s="17" t="n">
        <v>660</v>
      </c>
      <c r="H975" s="17" t="n">
        <v>17.3</v>
      </c>
      <c r="I975" s="17" t="n">
        <v>3820.74</v>
      </c>
      <c r="J975" s="15" t="s">
        <v>98</v>
      </c>
      <c r="K975" s="15" t="s">
        <v>110</v>
      </c>
    </row>
    <row r="976" customFormat="false" ht="14.25" hidden="false" customHeight="false" outlineLevel="0" collapsed="false">
      <c r="A976" s="15" t="s">
        <v>1468</v>
      </c>
      <c r="B976" s="16" t="n">
        <v>45505</v>
      </c>
      <c r="C976" s="15" t="s">
        <v>827</v>
      </c>
      <c r="D976" s="15" t="s">
        <v>270</v>
      </c>
      <c r="E976" s="15" t="s">
        <v>150</v>
      </c>
      <c r="F976" s="17" t="n">
        <v>10</v>
      </c>
      <c r="G976" s="17" t="n">
        <v>1540</v>
      </c>
      <c r="H976" s="17" t="n">
        <v>17.5</v>
      </c>
      <c r="I976" s="17" t="n">
        <v>12705</v>
      </c>
      <c r="J976" s="15" t="s">
        <v>98</v>
      </c>
      <c r="K976" s="15" t="s">
        <v>99</v>
      </c>
    </row>
    <row r="977" customFormat="false" ht="14.25" hidden="false" customHeight="false" outlineLevel="0" collapsed="false">
      <c r="A977" s="15" t="s">
        <v>1469</v>
      </c>
      <c r="B977" s="16" t="n">
        <v>45358</v>
      </c>
      <c r="C977" s="15" t="s">
        <v>544</v>
      </c>
      <c r="D977" s="15" t="s">
        <v>349</v>
      </c>
      <c r="E977" s="15" t="s">
        <v>159</v>
      </c>
      <c r="F977" s="17" t="n">
        <v>10</v>
      </c>
      <c r="G977" s="17" t="n">
        <v>2210</v>
      </c>
      <c r="H977" s="17" t="n">
        <v>24.1</v>
      </c>
      <c r="I977" s="17" t="n">
        <v>16773.9</v>
      </c>
      <c r="J977" s="15" t="s">
        <v>104</v>
      </c>
      <c r="K977" s="15" t="s">
        <v>110</v>
      </c>
    </row>
    <row r="978" customFormat="false" ht="14.25" hidden="false" customHeight="false" outlineLevel="0" collapsed="false">
      <c r="A978" s="15" t="s">
        <v>1470</v>
      </c>
      <c r="B978" s="16" t="n">
        <v>45519</v>
      </c>
      <c r="C978" s="15" t="s">
        <v>539</v>
      </c>
      <c r="D978" s="15" t="s">
        <v>126</v>
      </c>
      <c r="E978" s="15" t="s">
        <v>296</v>
      </c>
      <c r="F978" s="17" t="n">
        <v>4</v>
      </c>
      <c r="G978" s="17" t="n">
        <v>960</v>
      </c>
      <c r="H978" s="17" t="n">
        <v>13.4</v>
      </c>
      <c r="I978" s="17" t="n">
        <v>3325.44</v>
      </c>
      <c r="J978" s="15" t="s">
        <v>98</v>
      </c>
      <c r="K978" s="15" t="s">
        <v>123</v>
      </c>
    </row>
    <row r="979" customFormat="false" ht="14.25" hidden="false" customHeight="false" outlineLevel="0" collapsed="false">
      <c r="A979" s="15" t="s">
        <v>1471</v>
      </c>
      <c r="B979" s="16" t="n">
        <v>45628</v>
      </c>
      <c r="C979" s="15" t="s">
        <v>1361</v>
      </c>
      <c r="D979" s="15" t="s">
        <v>168</v>
      </c>
      <c r="E979" s="15" t="s">
        <v>296</v>
      </c>
      <c r="F979" s="17" t="n">
        <v>8</v>
      </c>
      <c r="G979" s="17" t="n">
        <v>3450</v>
      </c>
      <c r="H979" s="17" t="n">
        <v>3.7</v>
      </c>
      <c r="I979" s="17" t="n">
        <v>26578.8</v>
      </c>
      <c r="J979" s="15" t="s">
        <v>98</v>
      </c>
      <c r="K979" s="15" t="s">
        <v>123</v>
      </c>
    </row>
    <row r="980" customFormat="false" ht="14.25" hidden="false" customHeight="false" outlineLevel="0" collapsed="false">
      <c r="A980" s="15" t="s">
        <v>1472</v>
      </c>
      <c r="B980" s="16" t="n">
        <v>45481</v>
      </c>
      <c r="C980" s="15" t="s">
        <v>1473</v>
      </c>
      <c r="D980" s="15" t="s">
        <v>306</v>
      </c>
      <c r="E980" s="15" t="s">
        <v>103</v>
      </c>
      <c r="F980" s="17" t="n">
        <v>6</v>
      </c>
      <c r="G980" s="17" t="n">
        <v>2030</v>
      </c>
      <c r="H980" s="17" t="n">
        <v>9.5</v>
      </c>
      <c r="I980" s="17" t="n">
        <v>11022.9</v>
      </c>
      <c r="J980" s="15" t="s">
        <v>98</v>
      </c>
      <c r="K980" s="15" t="s">
        <v>123</v>
      </c>
    </row>
    <row r="981" customFormat="false" ht="14.25" hidden="false" customHeight="false" outlineLevel="0" collapsed="false">
      <c r="A981" s="15" t="s">
        <v>1474</v>
      </c>
      <c r="B981" s="16" t="n">
        <v>45399</v>
      </c>
      <c r="C981" s="15" t="s">
        <v>574</v>
      </c>
      <c r="D981" s="15" t="s">
        <v>463</v>
      </c>
      <c r="E981" s="15" t="s">
        <v>215</v>
      </c>
      <c r="F981" s="17" t="n">
        <v>7</v>
      </c>
      <c r="G981" s="17" t="n">
        <v>3450</v>
      </c>
      <c r="H981" s="17" t="n">
        <v>28.2</v>
      </c>
      <c r="I981" s="17" t="n">
        <v>17339.7</v>
      </c>
      <c r="J981" s="15" t="s">
        <v>98</v>
      </c>
      <c r="K981" s="15" t="s">
        <v>99</v>
      </c>
    </row>
    <row r="982" customFormat="false" ht="14.25" hidden="false" customHeight="false" outlineLevel="0" collapsed="false">
      <c r="A982" s="15" t="s">
        <v>1475</v>
      </c>
      <c r="B982" s="16" t="n">
        <v>45531</v>
      </c>
      <c r="C982" s="15" t="s">
        <v>496</v>
      </c>
      <c r="D982" s="15" t="s">
        <v>245</v>
      </c>
      <c r="E982" s="15" t="s">
        <v>284</v>
      </c>
      <c r="F982" s="17" t="n">
        <v>7</v>
      </c>
      <c r="G982" s="17" t="n">
        <v>3780</v>
      </c>
      <c r="H982" s="17" t="n">
        <v>15.1</v>
      </c>
      <c r="I982" s="17" t="n">
        <v>22464.54</v>
      </c>
      <c r="J982" s="15" t="s">
        <v>98</v>
      </c>
      <c r="K982" s="15" t="s">
        <v>99</v>
      </c>
    </row>
    <row r="983" customFormat="false" ht="14.25" hidden="false" customHeight="false" outlineLevel="0" collapsed="false">
      <c r="A983" s="15" t="s">
        <v>1438</v>
      </c>
      <c r="B983" s="16" t="n">
        <v>45417</v>
      </c>
      <c r="C983" s="15" t="s">
        <v>183</v>
      </c>
      <c r="D983" s="15" t="s">
        <v>211</v>
      </c>
      <c r="E983" s="15" t="s">
        <v>308</v>
      </c>
      <c r="F983" s="17" t="n">
        <v>4</v>
      </c>
      <c r="G983" s="17" t="n">
        <v>2760</v>
      </c>
      <c r="H983" s="17" t="n">
        <v>14.8</v>
      </c>
      <c r="I983" s="17" t="n">
        <v>9406.08</v>
      </c>
      <c r="J983" s="15" t="s">
        <v>98</v>
      </c>
      <c r="K983" s="15" t="s">
        <v>99</v>
      </c>
    </row>
    <row r="984" customFormat="false" ht="14.25" hidden="false" customHeight="false" outlineLevel="0" collapsed="false">
      <c r="A984" s="15" t="s">
        <v>1476</v>
      </c>
      <c r="B984" s="16" t="n">
        <v>45327</v>
      </c>
      <c r="C984" s="15" t="s">
        <v>796</v>
      </c>
      <c r="D984" s="15" t="s">
        <v>270</v>
      </c>
      <c r="E984" s="15" t="s">
        <v>240</v>
      </c>
      <c r="F984" s="17" t="n">
        <v>4</v>
      </c>
      <c r="G984" s="17" t="n">
        <v>1540</v>
      </c>
      <c r="H984" s="17" t="n">
        <v>13.9</v>
      </c>
      <c r="I984" s="17" t="n">
        <v>5303.76</v>
      </c>
      <c r="J984" s="15" t="s">
        <v>98</v>
      </c>
      <c r="K984" s="15" t="s">
        <v>99</v>
      </c>
    </row>
    <row r="985" customFormat="false" ht="14.25" hidden="false" customHeight="false" outlineLevel="0" collapsed="false">
      <c r="A985" s="15" t="s">
        <v>1477</v>
      </c>
      <c r="B985" s="16" t="n">
        <v>45438</v>
      </c>
      <c r="C985" s="15" t="s">
        <v>790</v>
      </c>
      <c r="D985" s="15" t="s">
        <v>237</v>
      </c>
      <c r="E985" s="15" t="s">
        <v>97</v>
      </c>
      <c r="F985" s="17" t="n">
        <v>2</v>
      </c>
      <c r="G985" s="17" t="n">
        <v>3730</v>
      </c>
      <c r="H985" s="17" t="n">
        <v>15.7</v>
      </c>
      <c r="I985" s="17" t="n">
        <v>6288.78</v>
      </c>
      <c r="J985" s="15" t="s">
        <v>151</v>
      </c>
      <c r="K985" s="15" t="s">
        <v>128</v>
      </c>
    </row>
    <row r="986" customFormat="false" ht="14.25" hidden="false" customHeight="false" outlineLevel="0" collapsed="false">
      <c r="A986" s="15" t="s">
        <v>1478</v>
      </c>
      <c r="B986" s="16" t="n">
        <v>45577</v>
      </c>
      <c r="C986" s="15" t="s">
        <v>846</v>
      </c>
      <c r="D986" s="15" t="s">
        <v>237</v>
      </c>
      <c r="E986" s="15" t="s">
        <v>354</v>
      </c>
      <c r="F986" s="17" t="n">
        <v>4</v>
      </c>
      <c r="G986" s="17" t="n">
        <v>3730</v>
      </c>
      <c r="H986" s="17" t="n">
        <v>2.1</v>
      </c>
      <c r="I986" s="17" t="n">
        <v>14606.68</v>
      </c>
      <c r="J986" s="15" t="s">
        <v>98</v>
      </c>
      <c r="K986" s="15" t="s">
        <v>128</v>
      </c>
    </row>
    <row r="987" customFormat="false" ht="14.25" hidden="false" customHeight="false" outlineLevel="0" collapsed="false">
      <c r="A987" s="15" t="s">
        <v>1479</v>
      </c>
      <c r="B987" s="16" t="n">
        <v>45457</v>
      </c>
      <c r="C987" s="15" t="s">
        <v>570</v>
      </c>
      <c r="D987" s="15" t="s">
        <v>117</v>
      </c>
      <c r="E987" s="15" t="s">
        <v>263</v>
      </c>
      <c r="F987" s="17" t="n">
        <v>1</v>
      </c>
      <c r="G987" s="17" t="n">
        <v>3160</v>
      </c>
      <c r="H987" s="17" t="n">
        <v>29.8</v>
      </c>
      <c r="I987" s="17" t="n">
        <v>2218.32</v>
      </c>
      <c r="J987" s="15" t="s">
        <v>98</v>
      </c>
      <c r="K987" s="15" t="s">
        <v>99</v>
      </c>
    </row>
    <row r="988" customFormat="false" ht="14.25" hidden="false" customHeight="false" outlineLevel="0" collapsed="false">
      <c r="A988" s="15" t="s">
        <v>1480</v>
      </c>
      <c r="B988" s="16" t="n">
        <v>45544</v>
      </c>
      <c r="C988" s="15" t="s">
        <v>626</v>
      </c>
      <c r="D988" s="15" t="s">
        <v>397</v>
      </c>
      <c r="E988" s="15" t="s">
        <v>296</v>
      </c>
      <c r="F988" s="17" t="n">
        <v>9</v>
      </c>
      <c r="G988" s="17" t="n">
        <v>2290</v>
      </c>
      <c r="H988" s="17" t="n">
        <v>8.3</v>
      </c>
      <c r="I988" s="17" t="n">
        <v>18899.37</v>
      </c>
      <c r="J988" s="15" t="s">
        <v>104</v>
      </c>
      <c r="K988" s="15" t="s">
        <v>123</v>
      </c>
    </row>
    <row r="989" customFormat="false" ht="14.25" hidden="false" customHeight="false" outlineLevel="0" collapsed="false">
      <c r="A989" s="15" t="s">
        <v>1481</v>
      </c>
      <c r="B989" s="16" t="n">
        <v>45632</v>
      </c>
      <c r="C989" s="15" t="s">
        <v>438</v>
      </c>
      <c r="D989" s="15" t="s">
        <v>259</v>
      </c>
      <c r="E989" s="15" t="s">
        <v>263</v>
      </c>
      <c r="F989" s="17" t="n">
        <v>2</v>
      </c>
      <c r="G989" s="17" t="n">
        <v>3870</v>
      </c>
      <c r="H989" s="17" t="n">
        <v>5.2</v>
      </c>
      <c r="I989" s="17" t="n">
        <v>7337.52</v>
      </c>
      <c r="J989" s="15" t="s">
        <v>98</v>
      </c>
      <c r="K989" s="15" t="s">
        <v>99</v>
      </c>
    </row>
    <row r="990" customFormat="false" ht="14.25" hidden="false" customHeight="false" outlineLevel="0" collapsed="false">
      <c r="A990" s="15" t="s">
        <v>1482</v>
      </c>
      <c r="B990" s="16" t="n">
        <v>45465</v>
      </c>
      <c r="C990" s="15" t="s">
        <v>440</v>
      </c>
      <c r="D990" s="15" t="s">
        <v>198</v>
      </c>
      <c r="E990" s="15" t="s">
        <v>97</v>
      </c>
      <c r="F990" s="17" t="n">
        <v>5</v>
      </c>
      <c r="G990" s="17" t="n">
        <v>3570</v>
      </c>
      <c r="H990" s="17" t="n">
        <v>19.9</v>
      </c>
      <c r="I990" s="17" t="n">
        <v>14297.85</v>
      </c>
      <c r="J990" s="15" t="s">
        <v>98</v>
      </c>
      <c r="K990" s="15" t="s">
        <v>128</v>
      </c>
    </row>
    <row r="991" customFormat="false" ht="14.25" hidden="false" customHeight="false" outlineLevel="0" collapsed="false">
      <c r="A991" s="15" t="s">
        <v>1483</v>
      </c>
      <c r="B991" s="16" t="n">
        <v>45342</v>
      </c>
      <c r="C991" s="15" t="s">
        <v>300</v>
      </c>
      <c r="D991" s="15" t="s">
        <v>193</v>
      </c>
      <c r="E991" s="15" t="s">
        <v>226</v>
      </c>
      <c r="F991" s="17" t="n">
        <v>5</v>
      </c>
      <c r="G991" s="17" t="n">
        <v>1010</v>
      </c>
      <c r="H991" s="17" t="n">
        <v>2.2</v>
      </c>
      <c r="I991" s="17" t="n">
        <v>4938.9</v>
      </c>
      <c r="J991" s="15" t="s">
        <v>98</v>
      </c>
      <c r="K991" s="15" t="s">
        <v>105</v>
      </c>
    </row>
    <row r="992" customFormat="false" ht="14.25" hidden="false" customHeight="false" outlineLevel="0" collapsed="false">
      <c r="A992" s="15" t="s">
        <v>1484</v>
      </c>
      <c r="B992" s="16" t="n">
        <v>45309</v>
      </c>
      <c r="C992" s="15" t="s">
        <v>373</v>
      </c>
      <c r="D992" s="15" t="s">
        <v>397</v>
      </c>
      <c r="E992" s="15" t="s">
        <v>150</v>
      </c>
      <c r="F992" s="17" t="n">
        <v>10</v>
      </c>
      <c r="G992" s="17" t="n">
        <v>2290</v>
      </c>
      <c r="H992" s="17" t="n">
        <v>16.8</v>
      </c>
      <c r="I992" s="17" t="n">
        <v>19052.8</v>
      </c>
      <c r="J992" s="15" t="s">
        <v>151</v>
      </c>
      <c r="K992" s="15" t="s">
        <v>105</v>
      </c>
    </row>
    <row r="993" customFormat="false" ht="14.25" hidden="false" customHeight="false" outlineLevel="0" collapsed="false">
      <c r="A993" s="15" t="s">
        <v>1485</v>
      </c>
      <c r="B993" s="16" t="n">
        <v>45493</v>
      </c>
      <c r="C993" s="15" t="s">
        <v>493</v>
      </c>
      <c r="D993" s="15" t="s">
        <v>281</v>
      </c>
      <c r="E993" s="15" t="s">
        <v>132</v>
      </c>
      <c r="F993" s="17" t="n">
        <v>3</v>
      </c>
      <c r="G993" s="17" t="n">
        <v>4610</v>
      </c>
      <c r="H993" s="17" t="n">
        <v>13.2</v>
      </c>
      <c r="I993" s="17" t="n">
        <v>12004.44</v>
      </c>
      <c r="J993" s="15" t="s">
        <v>104</v>
      </c>
      <c r="K993" s="15" t="s">
        <v>144</v>
      </c>
    </row>
    <row r="994" customFormat="false" ht="14.25" hidden="false" customHeight="false" outlineLevel="0" collapsed="false">
      <c r="A994" s="15" t="s">
        <v>1486</v>
      </c>
      <c r="B994" s="16" t="n">
        <v>45356</v>
      </c>
      <c r="C994" s="15" t="s">
        <v>471</v>
      </c>
      <c r="D994" s="15" t="s">
        <v>366</v>
      </c>
      <c r="E994" s="15" t="s">
        <v>159</v>
      </c>
      <c r="F994" s="17" t="n">
        <v>1</v>
      </c>
      <c r="G994" s="17" t="n">
        <v>2510</v>
      </c>
      <c r="H994" s="17" t="n">
        <v>16.9</v>
      </c>
      <c r="I994" s="17" t="n">
        <v>2085.81</v>
      </c>
      <c r="J994" s="15" t="s">
        <v>98</v>
      </c>
      <c r="K994" s="15" t="s">
        <v>99</v>
      </c>
    </row>
    <row r="995" customFormat="false" ht="14.25" hidden="false" customHeight="false" outlineLevel="0" collapsed="false">
      <c r="A995" s="15" t="s">
        <v>1487</v>
      </c>
      <c r="B995" s="16" t="n">
        <v>45367</v>
      </c>
      <c r="C995" s="15" t="s">
        <v>654</v>
      </c>
      <c r="D995" s="15" t="s">
        <v>287</v>
      </c>
      <c r="E995" s="15" t="s">
        <v>215</v>
      </c>
      <c r="F995" s="17" t="n">
        <v>1</v>
      </c>
      <c r="G995" s="17" t="n">
        <v>3020</v>
      </c>
      <c r="H995" s="17" t="n">
        <v>26.7</v>
      </c>
      <c r="I995" s="17" t="n">
        <v>2213.66</v>
      </c>
      <c r="J995" s="15" t="s">
        <v>98</v>
      </c>
      <c r="K995" s="15" t="s">
        <v>123</v>
      </c>
    </row>
    <row r="996" customFormat="false" ht="14.25" hidden="false" customHeight="false" outlineLevel="0" collapsed="false">
      <c r="A996" s="15" t="s">
        <v>1488</v>
      </c>
      <c r="B996" s="16" t="n">
        <v>45313</v>
      </c>
      <c r="C996" s="15" t="s">
        <v>570</v>
      </c>
      <c r="D996" s="15" t="s">
        <v>158</v>
      </c>
      <c r="E996" s="15" t="s">
        <v>336</v>
      </c>
      <c r="F996" s="17" t="n">
        <v>6</v>
      </c>
      <c r="G996" s="17" t="n">
        <v>190</v>
      </c>
      <c r="H996" s="17" t="n">
        <v>7.1</v>
      </c>
      <c r="I996" s="17" t="n">
        <v>1059.06</v>
      </c>
      <c r="J996" s="15" t="s">
        <v>98</v>
      </c>
      <c r="K996" s="15" t="s">
        <v>99</v>
      </c>
    </row>
    <row r="997" customFormat="false" ht="14.25" hidden="false" customHeight="false" outlineLevel="0" collapsed="false">
      <c r="A997" s="15" t="s">
        <v>1489</v>
      </c>
      <c r="B997" s="16" t="n">
        <v>45529</v>
      </c>
      <c r="C997" s="15" t="s">
        <v>1202</v>
      </c>
      <c r="D997" s="15" t="s">
        <v>306</v>
      </c>
      <c r="E997" s="15" t="s">
        <v>308</v>
      </c>
      <c r="F997" s="17" t="n">
        <v>6</v>
      </c>
      <c r="G997" s="17" t="n">
        <v>2030</v>
      </c>
      <c r="H997" s="17" t="n">
        <v>13.5</v>
      </c>
      <c r="I997" s="17" t="n">
        <v>10535.7</v>
      </c>
      <c r="J997" s="15" t="s">
        <v>151</v>
      </c>
      <c r="K997" s="15" t="s">
        <v>128</v>
      </c>
    </row>
    <row r="998" customFormat="false" ht="14.25" hidden="false" customHeight="false" outlineLevel="0" collapsed="false">
      <c r="A998" s="15" t="s">
        <v>1490</v>
      </c>
      <c r="B998" s="16" t="n">
        <v>45547</v>
      </c>
      <c r="C998" s="15" t="s">
        <v>839</v>
      </c>
      <c r="D998" s="15" t="s">
        <v>154</v>
      </c>
      <c r="E998" s="15" t="s">
        <v>336</v>
      </c>
      <c r="F998" s="17" t="n">
        <v>10</v>
      </c>
      <c r="G998" s="17" t="n">
        <v>3250</v>
      </c>
      <c r="H998" s="17" t="n">
        <v>8.7</v>
      </c>
      <c r="I998" s="17" t="n">
        <v>29672.5</v>
      </c>
      <c r="J998" s="15" t="s">
        <v>98</v>
      </c>
      <c r="K998" s="15" t="s">
        <v>144</v>
      </c>
    </row>
    <row r="999" customFormat="false" ht="14.25" hidden="false" customHeight="false" outlineLevel="0" collapsed="false">
      <c r="A999" s="15" t="s">
        <v>1491</v>
      </c>
      <c r="B999" s="16" t="n">
        <v>45299</v>
      </c>
      <c r="C999" s="15" t="s">
        <v>453</v>
      </c>
      <c r="D999" s="15" t="s">
        <v>306</v>
      </c>
      <c r="E999" s="15" t="s">
        <v>240</v>
      </c>
      <c r="F999" s="17" t="n">
        <v>9</v>
      </c>
      <c r="G999" s="17" t="n">
        <v>2030</v>
      </c>
      <c r="H999" s="17" t="n">
        <v>29.3</v>
      </c>
      <c r="I999" s="17" t="n">
        <v>12916.89</v>
      </c>
      <c r="J999" s="15" t="s">
        <v>98</v>
      </c>
      <c r="K999" s="15" t="s">
        <v>99</v>
      </c>
    </row>
    <row r="1000" customFormat="false" ht="14.25" hidden="false" customHeight="false" outlineLevel="0" collapsed="false">
      <c r="A1000" s="15" t="s">
        <v>1492</v>
      </c>
      <c r="B1000" s="16" t="n">
        <v>45380</v>
      </c>
      <c r="C1000" s="15" t="s">
        <v>1038</v>
      </c>
      <c r="D1000" s="15" t="s">
        <v>378</v>
      </c>
      <c r="E1000" s="15" t="s">
        <v>122</v>
      </c>
      <c r="F1000" s="17" t="n">
        <v>1</v>
      </c>
      <c r="G1000" s="17" t="n">
        <v>2380</v>
      </c>
      <c r="H1000" s="17" t="n">
        <v>12.9</v>
      </c>
      <c r="I1000" s="17" t="n">
        <v>2072.98</v>
      </c>
      <c r="J1000" s="15" t="s">
        <v>98</v>
      </c>
      <c r="K1000" s="15" t="s">
        <v>123</v>
      </c>
    </row>
    <row r="1001" customFormat="false" ht="14.25" hidden="false" customHeight="false" outlineLevel="0" collapsed="false">
      <c r="A1001" s="15" t="s">
        <v>1493</v>
      </c>
      <c r="B1001" s="16" t="n">
        <v>45521</v>
      </c>
      <c r="C1001" s="15" t="s">
        <v>550</v>
      </c>
      <c r="D1001" s="15" t="s">
        <v>463</v>
      </c>
      <c r="E1001" s="15" t="s">
        <v>127</v>
      </c>
      <c r="F1001" s="17" t="n">
        <v>10</v>
      </c>
      <c r="G1001" s="17" t="n">
        <v>3450</v>
      </c>
      <c r="H1001" s="17" t="n">
        <v>18.5</v>
      </c>
      <c r="I1001" s="17" t="n">
        <v>28117.5</v>
      </c>
      <c r="J1001" s="15" t="s">
        <v>98</v>
      </c>
      <c r="K1001" s="15" t="s">
        <v>144</v>
      </c>
    </row>
    <row r="1002" customFormat="false" ht="14.25" hidden="false" customHeight="false" outlineLevel="0" collapsed="false">
      <c r="A1002" s="15" t="s">
        <v>1494</v>
      </c>
      <c r="B1002" s="16" t="n">
        <v>45500</v>
      </c>
      <c r="C1002" s="15" t="s">
        <v>289</v>
      </c>
      <c r="D1002" s="15" t="s">
        <v>117</v>
      </c>
      <c r="E1002" s="15" t="s">
        <v>308</v>
      </c>
      <c r="F1002" s="17" t="n">
        <v>10</v>
      </c>
      <c r="G1002" s="17" t="n">
        <v>3160</v>
      </c>
      <c r="H1002" s="17" t="n">
        <v>26.3</v>
      </c>
      <c r="I1002" s="17" t="n">
        <v>23289.2</v>
      </c>
      <c r="J1002" s="15" t="s">
        <v>98</v>
      </c>
      <c r="K1002" s="15" t="s">
        <v>144</v>
      </c>
    </row>
    <row r="1003" customFormat="false" ht="14.25" hidden="false" customHeight="false" outlineLevel="0" collapsed="false">
      <c r="A1003" s="15" t="s">
        <v>1495</v>
      </c>
      <c r="B1003" s="16" t="n">
        <v>45531</v>
      </c>
      <c r="C1003" s="15" t="s">
        <v>364</v>
      </c>
      <c r="D1003" s="15" t="s">
        <v>135</v>
      </c>
      <c r="E1003" s="15" t="s">
        <v>212</v>
      </c>
      <c r="F1003" s="17" t="n">
        <v>10</v>
      </c>
      <c r="G1003" s="17" t="n">
        <v>5490</v>
      </c>
      <c r="H1003" s="17" t="n">
        <v>22.7</v>
      </c>
      <c r="I1003" s="17" t="n">
        <v>42437.7</v>
      </c>
      <c r="J1003" s="15" t="s">
        <v>98</v>
      </c>
      <c r="K1003" s="15" t="s">
        <v>105</v>
      </c>
    </row>
    <row r="1004" customFormat="false" ht="14.25" hidden="false" customHeight="false" outlineLevel="0" collapsed="false">
      <c r="A1004" s="15" t="s">
        <v>1496</v>
      </c>
      <c r="B1004" s="16" t="n">
        <v>45563</v>
      </c>
      <c r="C1004" s="15" t="s">
        <v>711</v>
      </c>
      <c r="D1004" s="15" t="s">
        <v>206</v>
      </c>
      <c r="E1004" s="15" t="s">
        <v>114</v>
      </c>
      <c r="F1004" s="17" t="n">
        <v>8</v>
      </c>
      <c r="G1004" s="17" t="n">
        <v>2860</v>
      </c>
      <c r="H1004" s="17" t="n">
        <v>14.3</v>
      </c>
      <c r="I1004" s="17" t="n">
        <v>19608.16</v>
      </c>
      <c r="J1004" s="15" t="s">
        <v>98</v>
      </c>
      <c r="K1004" s="15" t="s">
        <v>105</v>
      </c>
    </row>
    <row r="1005" customFormat="false" ht="14.25" hidden="false" customHeight="false" outlineLevel="0" collapsed="false">
      <c r="A1005" s="15" t="s">
        <v>1497</v>
      </c>
      <c r="B1005" s="16" t="n">
        <v>45416</v>
      </c>
      <c r="C1005" s="15" t="s">
        <v>258</v>
      </c>
      <c r="D1005" s="15" t="s">
        <v>391</v>
      </c>
      <c r="E1005" s="15" t="s">
        <v>284</v>
      </c>
      <c r="F1005" s="17" t="n">
        <v>1</v>
      </c>
      <c r="G1005" s="17" t="n">
        <v>960</v>
      </c>
      <c r="H1005" s="17" t="n">
        <v>11.9</v>
      </c>
      <c r="I1005" s="17" t="n">
        <v>845.76</v>
      </c>
      <c r="J1005" s="15" t="s">
        <v>98</v>
      </c>
      <c r="K1005" s="15" t="s">
        <v>128</v>
      </c>
    </row>
    <row r="1006" customFormat="false" ht="14.25" hidden="false" customHeight="false" outlineLevel="0" collapsed="false">
      <c r="A1006" s="15" t="s">
        <v>1498</v>
      </c>
      <c r="B1006" s="16" t="n">
        <v>45430</v>
      </c>
      <c r="C1006" s="15" t="s">
        <v>763</v>
      </c>
      <c r="D1006" s="15" t="s">
        <v>175</v>
      </c>
      <c r="E1006" s="15" t="s">
        <v>97</v>
      </c>
      <c r="F1006" s="17" t="n">
        <v>3</v>
      </c>
      <c r="G1006" s="17" t="n">
        <v>1080</v>
      </c>
      <c r="H1006" s="17" t="n">
        <v>26</v>
      </c>
      <c r="I1006" s="17" t="n">
        <v>2397.6</v>
      </c>
      <c r="J1006" s="15" t="s">
        <v>98</v>
      </c>
      <c r="K1006" s="15" t="s">
        <v>128</v>
      </c>
    </row>
    <row r="1007" customFormat="false" ht="14.25" hidden="false" customHeight="false" outlineLevel="0" collapsed="false">
      <c r="A1007" s="15" t="s">
        <v>1499</v>
      </c>
      <c r="B1007" s="16" t="n">
        <v>45585</v>
      </c>
      <c r="C1007" s="15" t="s">
        <v>401</v>
      </c>
      <c r="D1007" s="15" t="s">
        <v>206</v>
      </c>
      <c r="E1007" s="15" t="s">
        <v>226</v>
      </c>
      <c r="F1007" s="17" t="n">
        <v>10</v>
      </c>
      <c r="G1007" s="17" t="n">
        <v>2860</v>
      </c>
      <c r="H1007" s="17" t="n">
        <v>13.1</v>
      </c>
      <c r="I1007" s="17" t="n">
        <v>24853.4</v>
      </c>
      <c r="J1007" s="15" t="s">
        <v>155</v>
      </c>
      <c r="K1007" s="15" t="s">
        <v>99</v>
      </c>
    </row>
    <row r="1008" customFormat="false" ht="14.25" hidden="false" customHeight="false" outlineLevel="0" collapsed="false">
      <c r="A1008" s="15" t="s">
        <v>1500</v>
      </c>
      <c r="B1008" s="16" t="n">
        <v>45630</v>
      </c>
      <c r="C1008" s="15" t="s">
        <v>1372</v>
      </c>
      <c r="D1008" s="15" t="s">
        <v>248</v>
      </c>
      <c r="E1008" s="15" t="s">
        <v>226</v>
      </c>
      <c r="F1008" s="17" t="n">
        <v>3</v>
      </c>
      <c r="G1008" s="17" t="n">
        <v>3640</v>
      </c>
      <c r="H1008" s="17" t="n">
        <v>18.2</v>
      </c>
      <c r="I1008" s="17" t="n">
        <v>8932.56</v>
      </c>
      <c r="J1008" s="15" t="s">
        <v>98</v>
      </c>
      <c r="K1008" s="15" t="s">
        <v>105</v>
      </c>
    </row>
    <row r="1009" customFormat="false" ht="14.25" hidden="false" customHeight="false" outlineLevel="0" collapsed="false">
      <c r="A1009" s="15" t="s">
        <v>1501</v>
      </c>
      <c r="B1009" s="16" t="n">
        <v>45405</v>
      </c>
      <c r="C1009" s="15" t="s">
        <v>217</v>
      </c>
      <c r="D1009" s="15" t="s">
        <v>184</v>
      </c>
      <c r="E1009" s="15" t="s">
        <v>314</v>
      </c>
      <c r="F1009" s="17" t="n">
        <v>3</v>
      </c>
      <c r="G1009" s="17" t="n">
        <v>2720</v>
      </c>
      <c r="H1009" s="17" t="n">
        <v>3.6</v>
      </c>
      <c r="I1009" s="17" t="n">
        <v>7866.24</v>
      </c>
      <c r="J1009" s="15" t="s">
        <v>98</v>
      </c>
      <c r="K1009" s="15" t="s">
        <v>144</v>
      </c>
    </row>
    <row r="1010" customFormat="false" ht="14.25" hidden="false" customHeight="false" outlineLevel="0" collapsed="false">
      <c r="A1010" s="15" t="s">
        <v>1502</v>
      </c>
      <c r="B1010" s="16" t="n">
        <v>45630</v>
      </c>
      <c r="C1010" s="15" t="s">
        <v>548</v>
      </c>
      <c r="D1010" s="15" t="s">
        <v>142</v>
      </c>
      <c r="E1010" s="15" t="s">
        <v>118</v>
      </c>
      <c r="F1010" s="17" t="n">
        <v>4</v>
      </c>
      <c r="G1010" s="17" t="n">
        <v>2270</v>
      </c>
      <c r="H1010" s="17" t="n">
        <v>18.4</v>
      </c>
      <c r="I1010" s="17" t="n">
        <v>7409.28</v>
      </c>
      <c r="J1010" s="15" t="s">
        <v>98</v>
      </c>
      <c r="K1010" s="15" t="s">
        <v>144</v>
      </c>
    </row>
    <row r="1011" customFormat="false" ht="14.25" hidden="false" customHeight="false" outlineLevel="0" collapsed="false">
      <c r="A1011" s="15" t="s">
        <v>1503</v>
      </c>
      <c r="B1011" s="16" t="n">
        <v>45483</v>
      </c>
      <c r="C1011" s="15" t="s">
        <v>1204</v>
      </c>
      <c r="D1011" s="15" t="s">
        <v>278</v>
      </c>
      <c r="E1011" s="15" t="s">
        <v>240</v>
      </c>
      <c r="F1011" s="17" t="n">
        <v>5</v>
      </c>
      <c r="G1011" s="17" t="n">
        <v>1220</v>
      </c>
      <c r="H1011" s="17" t="n">
        <v>13.9</v>
      </c>
      <c r="I1011" s="17" t="n">
        <v>5252.1</v>
      </c>
      <c r="J1011" s="15" t="s">
        <v>98</v>
      </c>
      <c r="K1011" s="15" t="s">
        <v>144</v>
      </c>
    </row>
    <row r="1012" customFormat="false" ht="14.25" hidden="false" customHeight="false" outlineLevel="0" collapsed="false">
      <c r="A1012" s="15" t="s">
        <v>1504</v>
      </c>
      <c r="B1012" s="16" t="n">
        <v>45530</v>
      </c>
      <c r="C1012" s="15" t="s">
        <v>310</v>
      </c>
      <c r="D1012" s="15" t="s">
        <v>146</v>
      </c>
      <c r="E1012" s="15" t="s">
        <v>199</v>
      </c>
      <c r="F1012" s="17" t="n">
        <v>8</v>
      </c>
      <c r="G1012" s="17" t="n">
        <v>2640</v>
      </c>
      <c r="H1012" s="17" t="n">
        <v>17.3</v>
      </c>
      <c r="I1012" s="17" t="n">
        <v>17466.24</v>
      </c>
      <c r="J1012" s="15" t="s">
        <v>98</v>
      </c>
      <c r="K1012" s="15" t="s">
        <v>144</v>
      </c>
    </row>
    <row r="1013" customFormat="false" ht="14.25" hidden="false" customHeight="false" outlineLevel="0" collapsed="false">
      <c r="A1013" s="15" t="s">
        <v>1505</v>
      </c>
      <c r="B1013" s="16" t="n">
        <v>45500</v>
      </c>
      <c r="C1013" s="15" t="s">
        <v>387</v>
      </c>
      <c r="D1013" s="15" t="s">
        <v>138</v>
      </c>
      <c r="E1013" s="15" t="s">
        <v>199</v>
      </c>
      <c r="F1013" s="17" t="n">
        <v>1</v>
      </c>
      <c r="G1013" s="17" t="n">
        <v>970</v>
      </c>
      <c r="H1013" s="17" t="n">
        <v>28</v>
      </c>
      <c r="I1013" s="17" t="n">
        <v>698.4</v>
      </c>
      <c r="J1013" s="15" t="s">
        <v>151</v>
      </c>
      <c r="K1013" s="15" t="s">
        <v>128</v>
      </c>
    </row>
    <row r="1014" customFormat="false" ht="14.25" hidden="false" customHeight="false" outlineLevel="0" collapsed="false">
      <c r="A1014" s="15" t="s">
        <v>1506</v>
      </c>
      <c r="B1014" s="16" t="n">
        <v>45358</v>
      </c>
      <c r="C1014" s="15" t="s">
        <v>286</v>
      </c>
      <c r="D1014" s="15" t="s">
        <v>237</v>
      </c>
      <c r="E1014" s="15" t="s">
        <v>122</v>
      </c>
      <c r="F1014" s="17" t="n">
        <v>8</v>
      </c>
      <c r="G1014" s="17" t="n">
        <v>3730</v>
      </c>
      <c r="H1014" s="17" t="n">
        <v>2.1</v>
      </c>
      <c r="I1014" s="17" t="n">
        <v>29213.36</v>
      </c>
      <c r="J1014" s="15" t="s">
        <v>155</v>
      </c>
      <c r="K1014" s="15" t="s">
        <v>99</v>
      </c>
    </row>
    <row r="1015" customFormat="false" ht="14.25" hidden="false" customHeight="false" outlineLevel="0" collapsed="false">
      <c r="A1015" s="15" t="s">
        <v>1507</v>
      </c>
      <c r="B1015" s="16" t="n">
        <v>45598</v>
      </c>
      <c r="C1015" s="15" t="s">
        <v>796</v>
      </c>
      <c r="D1015" s="15" t="s">
        <v>138</v>
      </c>
      <c r="E1015" s="15" t="s">
        <v>127</v>
      </c>
      <c r="F1015" s="17" t="n">
        <v>7</v>
      </c>
      <c r="G1015" s="17" t="n">
        <v>970</v>
      </c>
      <c r="H1015" s="17" t="n">
        <v>25.5</v>
      </c>
      <c r="I1015" s="17" t="n">
        <v>5058.55</v>
      </c>
      <c r="J1015" s="15" t="s">
        <v>98</v>
      </c>
      <c r="K1015" s="15" t="s">
        <v>99</v>
      </c>
    </row>
    <row r="1016" customFormat="false" ht="14.25" hidden="false" customHeight="false" outlineLevel="0" collapsed="false">
      <c r="A1016" s="15" t="s">
        <v>1508</v>
      </c>
      <c r="B1016" s="16" t="n">
        <v>45318</v>
      </c>
      <c r="C1016" s="15" t="s">
        <v>370</v>
      </c>
      <c r="D1016" s="15" t="s">
        <v>198</v>
      </c>
      <c r="E1016" s="15" t="s">
        <v>296</v>
      </c>
      <c r="F1016" s="17" t="n">
        <v>6</v>
      </c>
      <c r="G1016" s="17" t="n">
        <v>3570</v>
      </c>
      <c r="H1016" s="17" t="n">
        <v>9.9</v>
      </c>
      <c r="I1016" s="17" t="n">
        <v>19299.42</v>
      </c>
      <c r="J1016" s="15" t="s">
        <v>98</v>
      </c>
      <c r="K1016" s="15" t="s">
        <v>110</v>
      </c>
    </row>
    <row r="1017" customFormat="false" ht="14.25" hidden="false" customHeight="false" outlineLevel="0" collapsed="false">
      <c r="A1017" s="15" t="s">
        <v>1509</v>
      </c>
      <c r="B1017" s="16" t="n">
        <v>45524</v>
      </c>
      <c r="C1017" s="15" t="s">
        <v>1510</v>
      </c>
      <c r="D1017" s="15" t="s">
        <v>138</v>
      </c>
      <c r="E1017" s="15" t="s">
        <v>357</v>
      </c>
      <c r="F1017" s="17" t="n">
        <v>6</v>
      </c>
      <c r="G1017" s="17" t="n">
        <v>970</v>
      </c>
      <c r="H1017" s="17" t="n">
        <v>19.6</v>
      </c>
      <c r="I1017" s="17" t="n">
        <v>4679.28</v>
      </c>
      <c r="J1017" s="15" t="s">
        <v>98</v>
      </c>
      <c r="K1017" s="15" t="s">
        <v>105</v>
      </c>
    </row>
    <row r="1018" customFormat="false" ht="14.25" hidden="false" customHeight="false" outlineLevel="0" collapsed="false">
      <c r="A1018" s="15" t="s">
        <v>1511</v>
      </c>
      <c r="B1018" s="16" t="n">
        <v>45554</v>
      </c>
      <c r="C1018" s="15" t="s">
        <v>230</v>
      </c>
      <c r="D1018" s="15" t="s">
        <v>472</v>
      </c>
      <c r="E1018" s="15" t="s">
        <v>284</v>
      </c>
      <c r="F1018" s="17" t="n">
        <v>8</v>
      </c>
      <c r="G1018" s="17" t="n">
        <v>3780</v>
      </c>
      <c r="H1018" s="17" t="n">
        <v>26.5</v>
      </c>
      <c r="I1018" s="17" t="n">
        <v>22226.4</v>
      </c>
      <c r="J1018" s="15" t="s">
        <v>98</v>
      </c>
      <c r="K1018" s="15" t="s">
        <v>110</v>
      </c>
    </row>
    <row r="1019" customFormat="false" ht="14.25" hidden="false" customHeight="false" outlineLevel="0" collapsed="false">
      <c r="A1019" s="15" t="s">
        <v>1512</v>
      </c>
      <c r="B1019" s="16" t="n">
        <v>45528</v>
      </c>
      <c r="C1019" s="15" t="s">
        <v>932</v>
      </c>
      <c r="D1019" s="15" t="s">
        <v>162</v>
      </c>
      <c r="E1019" s="15" t="s">
        <v>284</v>
      </c>
      <c r="F1019" s="17" t="n">
        <v>6</v>
      </c>
      <c r="G1019" s="17" t="n">
        <v>2400</v>
      </c>
      <c r="H1019" s="17" t="n">
        <v>1.4</v>
      </c>
      <c r="I1019" s="17" t="n">
        <v>14198.4</v>
      </c>
      <c r="J1019" s="15" t="s">
        <v>98</v>
      </c>
      <c r="K1019" s="15" t="s">
        <v>128</v>
      </c>
    </row>
    <row r="1020" customFormat="false" ht="14.25" hidden="false" customHeight="false" outlineLevel="0" collapsed="false">
      <c r="A1020" s="15" t="s">
        <v>1513</v>
      </c>
      <c r="B1020" s="16" t="n">
        <v>45486</v>
      </c>
      <c r="C1020" s="15" t="s">
        <v>368</v>
      </c>
      <c r="D1020" s="15" t="s">
        <v>154</v>
      </c>
      <c r="E1020" s="15" t="s">
        <v>169</v>
      </c>
      <c r="F1020" s="17" t="n">
        <v>10</v>
      </c>
      <c r="G1020" s="17" t="n">
        <v>3250</v>
      </c>
      <c r="H1020" s="17" t="n">
        <v>19.3</v>
      </c>
      <c r="I1020" s="17" t="n">
        <v>26227.5</v>
      </c>
      <c r="J1020" s="15" t="s">
        <v>98</v>
      </c>
      <c r="K1020" s="15" t="s">
        <v>110</v>
      </c>
    </row>
    <row r="1021" customFormat="false" ht="14.25" hidden="false" customHeight="false" outlineLevel="0" collapsed="false">
      <c r="A1021" s="15" t="s">
        <v>1514</v>
      </c>
      <c r="B1021" s="16" t="n">
        <v>45336</v>
      </c>
      <c r="C1021" s="15" t="s">
        <v>399</v>
      </c>
      <c r="D1021" s="15" t="s">
        <v>211</v>
      </c>
      <c r="E1021" s="15" t="s">
        <v>109</v>
      </c>
      <c r="F1021" s="17" t="n">
        <v>7</v>
      </c>
      <c r="G1021" s="17" t="n">
        <v>2760</v>
      </c>
      <c r="H1021" s="17" t="n">
        <v>23.6</v>
      </c>
      <c r="I1021" s="17" t="n">
        <v>14760.48</v>
      </c>
      <c r="J1021" s="15" t="s">
        <v>104</v>
      </c>
      <c r="K1021" s="15" t="s">
        <v>144</v>
      </c>
    </row>
    <row r="1022" customFormat="false" ht="14.25" hidden="false" customHeight="false" outlineLevel="0" collapsed="false">
      <c r="A1022" s="15" t="s">
        <v>1515</v>
      </c>
      <c r="B1022" s="16" t="n">
        <v>45463</v>
      </c>
      <c r="C1022" s="15" t="s">
        <v>242</v>
      </c>
      <c r="D1022" s="15" t="s">
        <v>198</v>
      </c>
      <c r="E1022" s="15" t="s">
        <v>226</v>
      </c>
      <c r="F1022" s="17" t="n">
        <v>3</v>
      </c>
      <c r="G1022" s="17" t="n">
        <v>3570</v>
      </c>
      <c r="H1022" s="17" t="n">
        <v>26.3</v>
      </c>
      <c r="I1022" s="17" t="n">
        <v>7893.27</v>
      </c>
      <c r="J1022" s="15" t="s">
        <v>98</v>
      </c>
      <c r="K1022" s="15" t="s">
        <v>128</v>
      </c>
    </row>
    <row r="1023" customFormat="false" ht="14.25" hidden="false" customHeight="false" outlineLevel="0" collapsed="false">
      <c r="A1023" s="15" t="s">
        <v>1516</v>
      </c>
      <c r="B1023" s="16" t="n">
        <v>45392</v>
      </c>
      <c r="C1023" s="15" t="s">
        <v>596</v>
      </c>
      <c r="D1023" s="15" t="s">
        <v>245</v>
      </c>
      <c r="E1023" s="15" t="s">
        <v>199</v>
      </c>
      <c r="F1023" s="17" t="n">
        <v>4</v>
      </c>
      <c r="G1023" s="17" t="n">
        <v>3780</v>
      </c>
      <c r="H1023" s="17" t="n">
        <v>10.1</v>
      </c>
      <c r="I1023" s="17" t="n">
        <v>13592.88</v>
      </c>
      <c r="J1023" s="15" t="s">
        <v>98</v>
      </c>
      <c r="K1023" s="15" t="s">
        <v>105</v>
      </c>
    </row>
    <row r="1024" customFormat="false" ht="14.25" hidden="false" customHeight="false" outlineLevel="0" collapsed="false">
      <c r="A1024" s="15" t="s">
        <v>1517</v>
      </c>
      <c r="B1024" s="16" t="n">
        <v>45600</v>
      </c>
      <c r="C1024" s="15" t="s">
        <v>613</v>
      </c>
      <c r="D1024" s="15" t="s">
        <v>131</v>
      </c>
      <c r="E1024" s="15" t="s">
        <v>132</v>
      </c>
      <c r="F1024" s="17" t="n">
        <v>10</v>
      </c>
      <c r="G1024" s="17" t="n">
        <v>1430</v>
      </c>
      <c r="H1024" s="17" t="n">
        <v>3.7</v>
      </c>
      <c r="I1024" s="17" t="n">
        <v>13770.9</v>
      </c>
      <c r="J1024" s="15" t="s">
        <v>98</v>
      </c>
      <c r="K1024" s="15" t="s">
        <v>105</v>
      </c>
    </row>
    <row r="1025" customFormat="false" ht="14.25" hidden="false" customHeight="false" outlineLevel="0" collapsed="false">
      <c r="A1025" s="15" t="s">
        <v>1518</v>
      </c>
      <c r="B1025" s="16" t="n">
        <v>45411</v>
      </c>
      <c r="C1025" s="15" t="s">
        <v>752</v>
      </c>
      <c r="D1025" s="15" t="s">
        <v>256</v>
      </c>
      <c r="E1025" s="15" t="s">
        <v>284</v>
      </c>
      <c r="F1025" s="17" t="n">
        <v>6</v>
      </c>
      <c r="G1025" s="17" t="n">
        <v>2270</v>
      </c>
      <c r="H1025" s="17" t="n">
        <v>7.9</v>
      </c>
      <c r="I1025" s="17" t="n">
        <v>12544.02</v>
      </c>
      <c r="J1025" s="15" t="s">
        <v>155</v>
      </c>
      <c r="K1025" s="15" t="s">
        <v>144</v>
      </c>
    </row>
    <row r="1026" customFormat="false" ht="14.25" hidden="false" customHeight="false" outlineLevel="0" collapsed="false">
      <c r="A1026" s="15" t="s">
        <v>1519</v>
      </c>
      <c r="B1026" s="16" t="n">
        <v>45406</v>
      </c>
      <c r="C1026" s="15" t="s">
        <v>493</v>
      </c>
      <c r="D1026" s="15" t="s">
        <v>193</v>
      </c>
      <c r="E1026" s="15" t="s">
        <v>263</v>
      </c>
      <c r="F1026" s="17" t="n">
        <v>1</v>
      </c>
      <c r="G1026" s="17" t="n">
        <v>1010</v>
      </c>
      <c r="H1026" s="17" t="n">
        <v>6.9</v>
      </c>
      <c r="I1026" s="17" t="n">
        <v>940.31</v>
      </c>
      <c r="J1026" s="15" t="s">
        <v>104</v>
      </c>
      <c r="K1026" s="15" t="s">
        <v>144</v>
      </c>
    </row>
    <row r="1027" customFormat="false" ht="14.25" hidden="false" customHeight="false" outlineLevel="0" collapsed="false">
      <c r="A1027" s="15" t="s">
        <v>1520</v>
      </c>
      <c r="B1027" s="16" t="n">
        <v>45411</v>
      </c>
      <c r="C1027" s="15" t="s">
        <v>186</v>
      </c>
      <c r="D1027" s="15" t="s">
        <v>206</v>
      </c>
      <c r="E1027" s="15" t="s">
        <v>109</v>
      </c>
      <c r="F1027" s="17" t="n">
        <v>2</v>
      </c>
      <c r="G1027" s="17" t="n">
        <v>2860</v>
      </c>
      <c r="H1027" s="17" t="n">
        <v>20.1</v>
      </c>
      <c r="I1027" s="17" t="n">
        <v>4570.28</v>
      </c>
      <c r="J1027" s="15" t="s">
        <v>98</v>
      </c>
      <c r="K1027" s="15" t="s">
        <v>144</v>
      </c>
    </row>
    <row r="1028" customFormat="false" ht="14.25" hidden="false" customHeight="false" outlineLevel="0" collapsed="false">
      <c r="A1028" s="15" t="s">
        <v>1521</v>
      </c>
      <c r="B1028" s="16" t="n">
        <v>45461</v>
      </c>
      <c r="C1028" s="15" t="s">
        <v>897</v>
      </c>
      <c r="D1028" s="15" t="s">
        <v>149</v>
      </c>
      <c r="E1028" s="15" t="s">
        <v>132</v>
      </c>
      <c r="F1028" s="17" t="n">
        <v>9</v>
      </c>
      <c r="G1028" s="17" t="n">
        <v>2600</v>
      </c>
      <c r="H1028" s="17" t="n">
        <v>15.9</v>
      </c>
      <c r="I1028" s="17" t="n">
        <v>19679.4</v>
      </c>
      <c r="J1028" s="15" t="s">
        <v>151</v>
      </c>
      <c r="K1028" s="15" t="s">
        <v>105</v>
      </c>
    </row>
    <row r="1029" customFormat="false" ht="14.25" hidden="false" customHeight="false" outlineLevel="0" collapsed="false">
      <c r="A1029" s="15" t="s">
        <v>1522</v>
      </c>
      <c r="B1029" s="16" t="n">
        <v>45409</v>
      </c>
      <c r="C1029" s="15" t="s">
        <v>504</v>
      </c>
      <c r="D1029" s="15" t="s">
        <v>108</v>
      </c>
      <c r="E1029" s="15" t="s">
        <v>127</v>
      </c>
      <c r="F1029" s="17" t="n">
        <v>10</v>
      </c>
      <c r="G1029" s="17" t="n">
        <v>470</v>
      </c>
      <c r="H1029" s="17" t="n">
        <v>23.1</v>
      </c>
      <c r="I1029" s="17" t="n">
        <v>3614.3</v>
      </c>
      <c r="J1029" s="15" t="s">
        <v>104</v>
      </c>
      <c r="K1029" s="15" t="s">
        <v>99</v>
      </c>
    </row>
    <row r="1030" customFormat="false" ht="14.25" hidden="false" customHeight="false" outlineLevel="0" collapsed="false">
      <c r="A1030" s="15" t="s">
        <v>1523</v>
      </c>
      <c r="B1030" s="16" t="n">
        <v>45495</v>
      </c>
      <c r="C1030" s="15" t="s">
        <v>177</v>
      </c>
      <c r="D1030" s="15" t="s">
        <v>214</v>
      </c>
      <c r="E1030" s="15" t="s">
        <v>263</v>
      </c>
      <c r="F1030" s="17" t="n">
        <v>10</v>
      </c>
      <c r="G1030" s="17" t="n">
        <v>660</v>
      </c>
      <c r="H1030" s="17" t="n">
        <v>9.4</v>
      </c>
      <c r="I1030" s="17" t="n">
        <v>5979.6</v>
      </c>
      <c r="J1030" s="15" t="s">
        <v>98</v>
      </c>
      <c r="K1030" s="15" t="s">
        <v>144</v>
      </c>
    </row>
    <row r="1031" customFormat="false" ht="14.25" hidden="false" customHeight="false" outlineLevel="0" collapsed="false">
      <c r="A1031" s="15" t="s">
        <v>1524</v>
      </c>
      <c r="B1031" s="16" t="n">
        <v>45307</v>
      </c>
      <c r="C1031" s="15" t="s">
        <v>490</v>
      </c>
      <c r="D1031" s="15" t="s">
        <v>278</v>
      </c>
      <c r="E1031" s="15" t="s">
        <v>165</v>
      </c>
      <c r="F1031" s="17" t="n">
        <v>5</v>
      </c>
      <c r="G1031" s="17" t="n">
        <v>1220</v>
      </c>
      <c r="H1031" s="17" t="n">
        <v>23.3</v>
      </c>
      <c r="I1031" s="17" t="n">
        <v>4678.7</v>
      </c>
      <c r="J1031" s="15" t="s">
        <v>98</v>
      </c>
      <c r="K1031" s="15" t="s">
        <v>99</v>
      </c>
    </row>
    <row r="1032" customFormat="false" ht="14.25" hidden="false" customHeight="false" outlineLevel="0" collapsed="false">
      <c r="A1032" s="15" t="s">
        <v>1525</v>
      </c>
      <c r="B1032" s="16" t="n">
        <v>45294</v>
      </c>
      <c r="C1032" s="15" t="s">
        <v>606</v>
      </c>
      <c r="D1032" s="15" t="s">
        <v>154</v>
      </c>
      <c r="E1032" s="15" t="s">
        <v>284</v>
      </c>
      <c r="F1032" s="17" t="n">
        <v>9</v>
      </c>
      <c r="G1032" s="17" t="n">
        <v>3250</v>
      </c>
      <c r="H1032" s="17" t="n">
        <v>19.6</v>
      </c>
      <c r="I1032" s="17" t="n">
        <v>23517</v>
      </c>
      <c r="J1032" s="15" t="s">
        <v>104</v>
      </c>
      <c r="K1032" s="15" t="s">
        <v>110</v>
      </c>
    </row>
    <row r="1033" customFormat="false" ht="14.25" hidden="false" customHeight="false" outlineLevel="0" collapsed="false">
      <c r="A1033" s="15" t="s">
        <v>1526</v>
      </c>
      <c r="B1033" s="16" t="n">
        <v>45542</v>
      </c>
      <c r="C1033" s="15" t="s">
        <v>1202</v>
      </c>
      <c r="D1033" s="15" t="s">
        <v>303</v>
      </c>
      <c r="E1033" s="15" t="s">
        <v>314</v>
      </c>
      <c r="F1033" s="17" t="n">
        <v>7</v>
      </c>
      <c r="G1033" s="17" t="n">
        <v>620</v>
      </c>
      <c r="H1033" s="17" t="n">
        <v>29</v>
      </c>
      <c r="I1033" s="17" t="n">
        <v>3081.4</v>
      </c>
      <c r="J1033" s="15" t="s">
        <v>98</v>
      </c>
      <c r="K1033" s="15" t="s">
        <v>128</v>
      </c>
    </row>
    <row r="1034" customFormat="false" ht="14.25" hidden="false" customHeight="false" outlineLevel="0" collapsed="false">
      <c r="A1034" s="15" t="s">
        <v>1527</v>
      </c>
      <c r="B1034" s="16" t="n">
        <v>45453</v>
      </c>
      <c r="C1034" s="15" t="s">
        <v>174</v>
      </c>
      <c r="D1034" s="15" t="s">
        <v>275</v>
      </c>
      <c r="E1034" s="15" t="s">
        <v>114</v>
      </c>
      <c r="F1034" s="17" t="n">
        <v>9</v>
      </c>
      <c r="G1034" s="17" t="n">
        <v>4070</v>
      </c>
      <c r="H1034" s="17" t="n">
        <v>16.2</v>
      </c>
      <c r="I1034" s="17" t="n">
        <v>30695.94</v>
      </c>
      <c r="J1034" s="15" t="s">
        <v>98</v>
      </c>
      <c r="K1034" s="15" t="s">
        <v>105</v>
      </c>
    </row>
    <row r="1035" customFormat="false" ht="14.25" hidden="false" customHeight="false" outlineLevel="0" collapsed="false">
      <c r="A1035" s="15" t="s">
        <v>1528</v>
      </c>
      <c r="B1035" s="16" t="n">
        <v>45351</v>
      </c>
      <c r="C1035" s="15" t="s">
        <v>1011</v>
      </c>
      <c r="D1035" s="15" t="s">
        <v>117</v>
      </c>
      <c r="E1035" s="15" t="s">
        <v>97</v>
      </c>
      <c r="F1035" s="17" t="n">
        <v>8</v>
      </c>
      <c r="G1035" s="17" t="n">
        <v>3160</v>
      </c>
      <c r="H1035" s="17" t="n">
        <v>23.8</v>
      </c>
      <c r="I1035" s="17" t="n">
        <v>19263.36</v>
      </c>
      <c r="J1035" s="15" t="s">
        <v>98</v>
      </c>
      <c r="K1035" s="15" t="s">
        <v>128</v>
      </c>
    </row>
    <row r="1036" customFormat="false" ht="14.25" hidden="false" customHeight="false" outlineLevel="0" collapsed="false">
      <c r="A1036" s="15" t="s">
        <v>1529</v>
      </c>
      <c r="B1036" s="16" t="n">
        <v>45422</v>
      </c>
      <c r="C1036" s="15" t="s">
        <v>116</v>
      </c>
      <c r="D1036" s="15" t="s">
        <v>349</v>
      </c>
      <c r="E1036" s="15" t="s">
        <v>296</v>
      </c>
      <c r="F1036" s="17" t="n">
        <v>3</v>
      </c>
      <c r="G1036" s="17" t="n">
        <v>2210</v>
      </c>
      <c r="H1036" s="17" t="n">
        <v>29.7</v>
      </c>
      <c r="I1036" s="17" t="n">
        <v>4660.89</v>
      </c>
      <c r="J1036" s="15" t="s">
        <v>98</v>
      </c>
      <c r="K1036" s="15" t="s">
        <v>105</v>
      </c>
    </row>
    <row r="1037" customFormat="false" ht="14.25" hidden="false" customHeight="false" outlineLevel="0" collapsed="false">
      <c r="A1037" s="15" t="s">
        <v>1530</v>
      </c>
      <c r="B1037" s="16" t="n">
        <v>45361</v>
      </c>
      <c r="C1037" s="15" t="s">
        <v>613</v>
      </c>
      <c r="D1037" s="15" t="s">
        <v>108</v>
      </c>
      <c r="E1037" s="15" t="s">
        <v>122</v>
      </c>
      <c r="F1037" s="17" t="n">
        <v>9</v>
      </c>
      <c r="G1037" s="17" t="n">
        <v>470</v>
      </c>
      <c r="H1037" s="17" t="n">
        <v>27.1</v>
      </c>
      <c r="I1037" s="17" t="n">
        <v>3083.67</v>
      </c>
      <c r="J1037" s="15" t="s">
        <v>98</v>
      </c>
      <c r="K1037" s="15" t="s">
        <v>105</v>
      </c>
    </row>
    <row r="1038" customFormat="false" ht="14.25" hidden="false" customHeight="false" outlineLevel="0" collapsed="false">
      <c r="A1038" s="15" t="s">
        <v>1531</v>
      </c>
      <c r="B1038" s="16" t="n">
        <v>45622</v>
      </c>
      <c r="C1038" s="15" t="s">
        <v>300</v>
      </c>
      <c r="D1038" s="15" t="s">
        <v>121</v>
      </c>
      <c r="E1038" s="15" t="s">
        <v>203</v>
      </c>
      <c r="F1038" s="17" t="n">
        <v>6</v>
      </c>
      <c r="G1038" s="17" t="n">
        <v>370</v>
      </c>
      <c r="H1038" s="17" t="n">
        <v>5.4</v>
      </c>
      <c r="I1038" s="17" t="n">
        <v>2100.12</v>
      </c>
      <c r="J1038" s="15" t="s">
        <v>98</v>
      </c>
      <c r="K1038" s="15" t="s">
        <v>105</v>
      </c>
    </row>
    <row r="1039" customFormat="false" ht="14.25" hidden="false" customHeight="false" outlineLevel="0" collapsed="false">
      <c r="A1039" s="15" t="s">
        <v>1532</v>
      </c>
      <c r="B1039" s="16" t="n">
        <v>45496</v>
      </c>
      <c r="C1039" s="15" t="s">
        <v>624</v>
      </c>
      <c r="D1039" s="15" t="s">
        <v>472</v>
      </c>
      <c r="E1039" s="15" t="s">
        <v>314</v>
      </c>
      <c r="F1039" s="17" t="n">
        <v>10</v>
      </c>
      <c r="G1039" s="17" t="n">
        <v>3780</v>
      </c>
      <c r="H1039" s="17" t="n">
        <v>21.5</v>
      </c>
      <c r="I1039" s="17" t="n">
        <v>29673</v>
      </c>
      <c r="J1039" s="15" t="s">
        <v>104</v>
      </c>
      <c r="K1039" s="15" t="s">
        <v>123</v>
      </c>
    </row>
    <row r="1040" customFormat="false" ht="14.25" hidden="false" customHeight="false" outlineLevel="0" collapsed="false">
      <c r="A1040" s="15" t="s">
        <v>1533</v>
      </c>
      <c r="B1040" s="16" t="n">
        <v>45578</v>
      </c>
      <c r="C1040" s="15" t="s">
        <v>501</v>
      </c>
      <c r="D1040" s="15" t="s">
        <v>526</v>
      </c>
      <c r="E1040" s="15" t="s">
        <v>215</v>
      </c>
      <c r="F1040" s="17" t="n">
        <v>4</v>
      </c>
      <c r="G1040" s="17" t="n">
        <v>6940</v>
      </c>
      <c r="H1040" s="17" t="n">
        <v>3.9</v>
      </c>
      <c r="I1040" s="17" t="n">
        <v>26677.36</v>
      </c>
      <c r="J1040" s="15" t="s">
        <v>151</v>
      </c>
      <c r="K1040" s="15" t="s">
        <v>110</v>
      </c>
    </row>
    <row r="1041" customFormat="false" ht="14.25" hidden="false" customHeight="false" outlineLevel="0" collapsed="false">
      <c r="A1041" s="15" t="s">
        <v>1534</v>
      </c>
      <c r="B1041" s="16" t="n">
        <v>45476</v>
      </c>
      <c r="C1041" s="15" t="s">
        <v>544</v>
      </c>
      <c r="D1041" s="15" t="s">
        <v>237</v>
      </c>
      <c r="E1041" s="15" t="s">
        <v>296</v>
      </c>
      <c r="F1041" s="17" t="n">
        <v>3</v>
      </c>
      <c r="G1041" s="17" t="n">
        <v>3730</v>
      </c>
      <c r="H1041" s="17" t="n">
        <v>20.7</v>
      </c>
      <c r="I1041" s="17" t="n">
        <v>8873.67</v>
      </c>
      <c r="J1041" s="15" t="s">
        <v>98</v>
      </c>
      <c r="K1041" s="15" t="s">
        <v>110</v>
      </c>
    </row>
    <row r="1042" customFormat="false" ht="14.25" hidden="false" customHeight="false" outlineLevel="0" collapsed="false">
      <c r="A1042" s="15" t="s">
        <v>1535</v>
      </c>
      <c r="B1042" s="16" t="n">
        <v>45300</v>
      </c>
      <c r="C1042" s="15" t="s">
        <v>1066</v>
      </c>
      <c r="D1042" s="15" t="s">
        <v>454</v>
      </c>
      <c r="E1042" s="15" t="s">
        <v>122</v>
      </c>
      <c r="F1042" s="17" t="n">
        <v>8</v>
      </c>
      <c r="G1042" s="17" t="n">
        <v>5080</v>
      </c>
      <c r="H1042" s="17" t="n">
        <v>6.2</v>
      </c>
      <c r="I1042" s="17" t="n">
        <v>38120.32</v>
      </c>
      <c r="J1042" s="15" t="s">
        <v>98</v>
      </c>
      <c r="K1042" s="15" t="s">
        <v>123</v>
      </c>
    </row>
    <row r="1043" customFormat="false" ht="14.25" hidden="false" customHeight="false" outlineLevel="0" collapsed="false">
      <c r="A1043" s="15" t="s">
        <v>1536</v>
      </c>
      <c r="B1043" s="16" t="n">
        <v>45455</v>
      </c>
      <c r="C1043" s="15" t="s">
        <v>177</v>
      </c>
      <c r="D1043" s="15" t="s">
        <v>371</v>
      </c>
      <c r="E1043" s="15" t="s">
        <v>226</v>
      </c>
      <c r="F1043" s="17" t="n">
        <v>5</v>
      </c>
      <c r="G1043" s="17" t="n">
        <v>5410</v>
      </c>
      <c r="H1043" s="17" t="n">
        <v>5.2</v>
      </c>
      <c r="I1043" s="17" t="n">
        <v>25643.4</v>
      </c>
      <c r="J1043" s="15" t="s">
        <v>98</v>
      </c>
      <c r="K1043" s="15" t="s">
        <v>144</v>
      </c>
    </row>
    <row r="1044" customFormat="false" ht="14.25" hidden="false" customHeight="false" outlineLevel="0" collapsed="false">
      <c r="A1044" s="15" t="s">
        <v>1537</v>
      </c>
      <c r="B1044" s="16" t="n">
        <v>45404</v>
      </c>
      <c r="C1044" s="15" t="s">
        <v>431</v>
      </c>
      <c r="D1044" s="15" t="s">
        <v>184</v>
      </c>
      <c r="E1044" s="15" t="s">
        <v>212</v>
      </c>
      <c r="F1044" s="17" t="n">
        <v>6</v>
      </c>
      <c r="G1044" s="17" t="n">
        <v>2720</v>
      </c>
      <c r="H1044" s="17" t="n">
        <v>29.8</v>
      </c>
      <c r="I1044" s="17" t="n">
        <v>11456.64</v>
      </c>
      <c r="J1044" s="15" t="s">
        <v>104</v>
      </c>
      <c r="K1044" s="15" t="s">
        <v>110</v>
      </c>
    </row>
    <row r="1045" customFormat="false" ht="14.25" hidden="false" customHeight="false" outlineLevel="0" collapsed="false">
      <c r="A1045" s="15" t="s">
        <v>1538</v>
      </c>
      <c r="B1045" s="16" t="n">
        <v>45468</v>
      </c>
      <c r="C1045" s="15" t="s">
        <v>387</v>
      </c>
      <c r="D1045" s="15" t="s">
        <v>278</v>
      </c>
      <c r="E1045" s="15" t="s">
        <v>143</v>
      </c>
      <c r="F1045" s="17" t="n">
        <v>1</v>
      </c>
      <c r="G1045" s="17" t="n">
        <v>1220</v>
      </c>
      <c r="H1045" s="17" t="n">
        <v>22.6</v>
      </c>
      <c r="I1045" s="17" t="n">
        <v>944.28</v>
      </c>
      <c r="J1045" s="15" t="s">
        <v>98</v>
      </c>
      <c r="K1045" s="15" t="s">
        <v>128</v>
      </c>
    </row>
    <row r="1046" customFormat="false" ht="14.25" hidden="false" customHeight="false" outlineLevel="0" collapsed="false">
      <c r="A1046" s="15" t="s">
        <v>1539</v>
      </c>
      <c r="B1046" s="16" t="n">
        <v>45640</v>
      </c>
      <c r="C1046" s="15" t="s">
        <v>1540</v>
      </c>
      <c r="D1046" s="15" t="s">
        <v>195</v>
      </c>
      <c r="E1046" s="15" t="s">
        <v>118</v>
      </c>
      <c r="F1046" s="17" t="n">
        <v>10</v>
      </c>
      <c r="G1046" s="17" t="n">
        <v>4880</v>
      </c>
      <c r="H1046" s="17" t="n">
        <v>7.3</v>
      </c>
      <c r="I1046" s="17" t="n">
        <v>45237.6</v>
      </c>
      <c r="J1046" s="15" t="s">
        <v>98</v>
      </c>
      <c r="K1046" s="15" t="s">
        <v>105</v>
      </c>
    </row>
    <row r="1047" customFormat="false" ht="14.25" hidden="false" customHeight="false" outlineLevel="0" collapsed="false">
      <c r="A1047" s="15" t="s">
        <v>1541</v>
      </c>
      <c r="B1047" s="16" t="n">
        <v>45450</v>
      </c>
      <c r="C1047" s="15" t="s">
        <v>883</v>
      </c>
      <c r="D1047" s="15" t="s">
        <v>256</v>
      </c>
      <c r="E1047" s="15" t="s">
        <v>169</v>
      </c>
      <c r="F1047" s="17" t="n">
        <v>10</v>
      </c>
      <c r="G1047" s="17" t="n">
        <v>2270</v>
      </c>
      <c r="H1047" s="17" t="n">
        <v>1.6</v>
      </c>
      <c r="I1047" s="17" t="n">
        <v>22336.8</v>
      </c>
      <c r="J1047" s="15" t="s">
        <v>98</v>
      </c>
      <c r="K1047" s="15" t="s">
        <v>123</v>
      </c>
    </row>
    <row r="1048" customFormat="false" ht="14.25" hidden="false" customHeight="false" outlineLevel="0" collapsed="false">
      <c r="A1048" s="15" t="s">
        <v>1542</v>
      </c>
      <c r="B1048" s="16" t="n">
        <v>45589</v>
      </c>
      <c r="C1048" s="15" t="s">
        <v>418</v>
      </c>
      <c r="D1048" s="15" t="s">
        <v>138</v>
      </c>
      <c r="E1048" s="15" t="s">
        <v>159</v>
      </c>
      <c r="F1048" s="17" t="n">
        <v>8</v>
      </c>
      <c r="G1048" s="17" t="n">
        <v>970</v>
      </c>
      <c r="H1048" s="17" t="n">
        <v>13.1</v>
      </c>
      <c r="I1048" s="17" t="n">
        <v>6743.44</v>
      </c>
      <c r="J1048" s="15" t="s">
        <v>98</v>
      </c>
      <c r="K1048" s="15" t="s">
        <v>99</v>
      </c>
    </row>
    <row r="1049" customFormat="false" ht="14.25" hidden="false" customHeight="false" outlineLevel="0" collapsed="false">
      <c r="A1049" s="15" t="s">
        <v>1543</v>
      </c>
      <c r="B1049" s="16" t="n">
        <v>45646</v>
      </c>
      <c r="C1049" s="15" t="s">
        <v>393</v>
      </c>
      <c r="D1049" s="15" t="s">
        <v>378</v>
      </c>
      <c r="E1049" s="15" t="s">
        <v>336</v>
      </c>
      <c r="F1049" s="17" t="n">
        <v>7</v>
      </c>
      <c r="G1049" s="17" t="n">
        <v>2380</v>
      </c>
      <c r="H1049" s="17" t="n">
        <v>10.6</v>
      </c>
      <c r="I1049" s="17" t="n">
        <v>14894.04</v>
      </c>
      <c r="J1049" s="15" t="s">
        <v>151</v>
      </c>
      <c r="K1049" s="15" t="s">
        <v>110</v>
      </c>
    </row>
    <row r="1050" customFormat="false" ht="14.25" hidden="false" customHeight="false" outlineLevel="0" collapsed="false">
      <c r="A1050" s="15" t="s">
        <v>1544</v>
      </c>
      <c r="B1050" s="16" t="n">
        <v>45488</v>
      </c>
      <c r="C1050" s="15" t="s">
        <v>1545</v>
      </c>
      <c r="D1050" s="15" t="s">
        <v>96</v>
      </c>
      <c r="E1050" s="15" t="s">
        <v>357</v>
      </c>
      <c r="F1050" s="17" t="n">
        <v>6</v>
      </c>
      <c r="G1050" s="17" t="n">
        <v>3620</v>
      </c>
      <c r="H1050" s="17" t="n">
        <v>21.3</v>
      </c>
      <c r="I1050" s="17" t="n">
        <v>17093.64</v>
      </c>
      <c r="J1050" s="15" t="s">
        <v>151</v>
      </c>
      <c r="K1050" s="15" t="s">
        <v>144</v>
      </c>
    </row>
    <row r="1051" customFormat="false" ht="14.25" hidden="false" customHeight="false" outlineLevel="0" collapsed="false">
      <c r="A1051" s="15" t="s">
        <v>1546</v>
      </c>
      <c r="B1051" s="16" t="n">
        <v>45555</v>
      </c>
      <c r="C1051" s="15" t="s">
        <v>501</v>
      </c>
      <c r="D1051" s="15" t="s">
        <v>275</v>
      </c>
      <c r="E1051" s="15" t="s">
        <v>354</v>
      </c>
      <c r="F1051" s="17" t="n">
        <v>3</v>
      </c>
      <c r="G1051" s="17" t="n">
        <v>4070</v>
      </c>
      <c r="H1051" s="17" t="n">
        <v>8.2</v>
      </c>
      <c r="I1051" s="17" t="n">
        <v>11208.78</v>
      </c>
      <c r="J1051" s="15" t="s">
        <v>151</v>
      </c>
      <c r="K1051" s="15" t="s">
        <v>110</v>
      </c>
    </row>
    <row r="1052" customFormat="false" ht="14.25" hidden="false" customHeight="false" outlineLevel="0" collapsed="false">
      <c r="A1052" s="15" t="s">
        <v>1547</v>
      </c>
      <c r="B1052" s="16" t="n">
        <v>45578</v>
      </c>
      <c r="C1052" s="15" t="s">
        <v>465</v>
      </c>
      <c r="D1052" s="15" t="s">
        <v>202</v>
      </c>
      <c r="E1052" s="15" t="s">
        <v>212</v>
      </c>
      <c r="F1052" s="17" t="n">
        <v>8</v>
      </c>
      <c r="G1052" s="17" t="n">
        <v>5100</v>
      </c>
      <c r="H1052" s="17" t="n">
        <v>26.9</v>
      </c>
      <c r="I1052" s="17" t="n">
        <v>29824.8</v>
      </c>
      <c r="J1052" s="15" t="s">
        <v>98</v>
      </c>
      <c r="K1052" s="15" t="s">
        <v>144</v>
      </c>
    </row>
    <row r="1053" customFormat="false" ht="14.25" hidden="false" customHeight="false" outlineLevel="0" collapsed="false">
      <c r="A1053" s="15" t="s">
        <v>1299</v>
      </c>
      <c r="B1053" s="16" t="n">
        <v>45296</v>
      </c>
      <c r="C1053" s="15" t="s">
        <v>883</v>
      </c>
      <c r="D1053" s="15" t="s">
        <v>287</v>
      </c>
      <c r="E1053" s="15" t="s">
        <v>249</v>
      </c>
      <c r="F1053" s="17" t="n">
        <v>3</v>
      </c>
      <c r="G1053" s="17" t="n">
        <v>3020</v>
      </c>
      <c r="H1053" s="17" t="n">
        <v>18.5</v>
      </c>
      <c r="I1053" s="17" t="n">
        <v>7383.9</v>
      </c>
      <c r="J1053" s="15" t="s">
        <v>151</v>
      </c>
      <c r="K1053" s="15" t="s">
        <v>123</v>
      </c>
    </row>
    <row r="1054" customFormat="false" ht="14.25" hidden="false" customHeight="false" outlineLevel="0" collapsed="false">
      <c r="A1054" s="15" t="s">
        <v>1548</v>
      </c>
      <c r="B1054" s="16" t="n">
        <v>45564</v>
      </c>
      <c r="C1054" s="15" t="s">
        <v>1107</v>
      </c>
      <c r="D1054" s="15" t="s">
        <v>391</v>
      </c>
      <c r="E1054" s="15" t="s">
        <v>308</v>
      </c>
      <c r="F1054" s="17" t="n">
        <v>8</v>
      </c>
      <c r="G1054" s="17" t="n">
        <v>960</v>
      </c>
      <c r="H1054" s="17" t="n">
        <v>7.1</v>
      </c>
      <c r="I1054" s="17" t="n">
        <v>7134.72</v>
      </c>
      <c r="J1054" s="15" t="s">
        <v>98</v>
      </c>
      <c r="K1054" s="15" t="s">
        <v>99</v>
      </c>
    </row>
    <row r="1055" customFormat="false" ht="14.25" hidden="false" customHeight="false" outlineLevel="0" collapsed="false">
      <c r="A1055" s="15" t="s">
        <v>1549</v>
      </c>
      <c r="B1055" s="16" t="n">
        <v>45383</v>
      </c>
      <c r="C1055" s="15" t="s">
        <v>613</v>
      </c>
      <c r="D1055" s="15" t="s">
        <v>454</v>
      </c>
      <c r="E1055" s="15" t="s">
        <v>199</v>
      </c>
      <c r="F1055" s="17" t="n">
        <v>8</v>
      </c>
      <c r="G1055" s="17" t="n">
        <v>5080</v>
      </c>
      <c r="H1055" s="17" t="n">
        <v>6.2</v>
      </c>
      <c r="I1055" s="17" t="n">
        <v>38120.32</v>
      </c>
      <c r="J1055" s="15" t="s">
        <v>98</v>
      </c>
      <c r="K1055" s="15" t="s">
        <v>105</v>
      </c>
    </row>
    <row r="1056" customFormat="false" ht="14.25" hidden="false" customHeight="false" outlineLevel="0" collapsed="false">
      <c r="A1056" s="15" t="s">
        <v>1550</v>
      </c>
      <c r="B1056" s="16" t="n">
        <v>45436</v>
      </c>
      <c r="C1056" s="15" t="s">
        <v>552</v>
      </c>
      <c r="D1056" s="15" t="s">
        <v>252</v>
      </c>
      <c r="E1056" s="15" t="s">
        <v>143</v>
      </c>
      <c r="F1056" s="17" t="n">
        <v>6</v>
      </c>
      <c r="G1056" s="17" t="n">
        <v>6080</v>
      </c>
      <c r="H1056" s="17" t="n">
        <v>25.8</v>
      </c>
      <c r="I1056" s="17" t="n">
        <v>27068.16</v>
      </c>
      <c r="J1056" s="15" t="s">
        <v>98</v>
      </c>
      <c r="K1056" s="15" t="s">
        <v>105</v>
      </c>
    </row>
    <row r="1057" customFormat="false" ht="14.25" hidden="false" customHeight="false" outlineLevel="0" collapsed="false">
      <c r="A1057" s="15" t="s">
        <v>1551</v>
      </c>
      <c r="B1057" s="16" t="n">
        <v>45544</v>
      </c>
      <c r="C1057" s="15" t="s">
        <v>550</v>
      </c>
      <c r="D1057" s="15" t="s">
        <v>270</v>
      </c>
      <c r="E1057" s="15" t="s">
        <v>143</v>
      </c>
      <c r="F1057" s="17" t="n">
        <v>5</v>
      </c>
      <c r="G1057" s="17" t="n">
        <v>1540</v>
      </c>
      <c r="H1057" s="17" t="n">
        <v>24.6</v>
      </c>
      <c r="I1057" s="17" t="n">
        <v>5805.8</v>
      </c>
      <c r="J1057" s="15" t="s">
        <v>98</v>
      </c>
      <c r="K1057" s="15" t="s">
        <v>144</v>
      </c>
    </row>
    <row r="1058" customFormat="false" ht="14.25" hidden="false" customHeight="false" outlineLevel="0" collapsed="false">
      <c r="A1058" s="15" t="s">
        <v>1552</v>
      </c>
      <c r="B1058" s="16" t="n">
        <v>45404</v>
      </c>
      <c r="C1058" s="15" t="s">
        <v>790</v>
      </c>
      <c r="D1058" s="15" t="s">
        <v>193</v>
      </c>
      <c r="E1058" s="15" t="s">
        <v>127</v>
      </c>
      <c r="F1058" s="17" t="n">
        <v>4</v>
      </c>
      <c r="G1058" s="17" t="n">
        <v>1010</v>
      </c>
      <c r="H1058" s="17" t="n">
        <v>2.9</v>
      </c>
      <c r="I1058" s="17" t="n">
        <v>3922.84</v>
      </c>
      <c r="J1058" s="15" t="s">
        <v>104</v>
      </c>
      <c r="K1058" s="15" t="s">
        <v>128</v>
      </c>
    </row>
    <row r="1059" customFormat="false" ht="14.25" hidden="false" customHeight="false" outlineLevel="0" collapsed="false">
      <c r="A1059" s="15" t="s">
        <v>1553</v>
      </c>
      <c r="B1059" s="16" t="n">
        <v>45586</v>
      </c>
      <c r="C1059" s="15" t="s">
        <v>544</v>
      </c>
      <c r="D1059" s="15" t="s">
        <v>391</v>
      </c>
      <c r="E1059" s="15" t="s">
        <v>212</v>
      </c>
      <c r="F1059" s="17" t="n">
        <v>5</v>
      </c>
      <c r="G1059" s="17" t="n">
        <v>960</v>
      </c>
      <c r="H1059" s="17" t="n">
        <v>11.4</v>
      </c>
      <c r="I1059" s="17" t="n">
        <v>4252.8</v>
      </c>
      <c r="J1059" s="15" t="s">
        <v>98</v>
      </c>
      <c r="K1059" s="15" t="s">
        <v>110</v>
      </c>
    </row>
    <row r="1060" customFormat="false" ht="14.25" hidden="false" customHeight="false" outlineLevel="0" collapsed="false">
      <c r="A1060" s="15" t="s">
        <v>1554</v>
      </c>
      <c r="B1060" s="16" t="n">
        <v>45524</v>
      </c>
      <c r="C1060" s="15" t="s">
        <v>242</v>
      </c>
      <c r="D1060" s="15" t="s">
        <v>270</v>
      </c>
      <c r="E1060" s="15" t="s">
        <v>143</v>
      </c>
      <c r="F1060" s="17" t="n">
        <v>1</v>
      </c>
      <c r="G1060" s="17" t="n">
        <v>1540</v>
      </c>
      <c r="H1060" s="17" t="n">
        <v>5.6</v>
      </c>
      <c r="I1060" s="17" t="n">
        <v>1453.76</v>
      </c>
      <c r="J1060" s="15" t="s">
        <v>98</v>
      </c>
      <c r="K1060" s="15" t="s">
        <v>128</v>
      </c>
    </row>
    <row r="1061" customFormat="false" ht="14.25" hidden="false" customHeight="false" outlineLevel="0" collapsed="false">
      <c r="A1061" s="15" t="s">
        <v>1555</v>
      </c>
      <c r="B1061" s="16" t="n">
        <v>45397</v>
      </c>
      <c r="C1061" s="15" t="s">
        <v>1014</v>
      </c>
      <c r="D1061" s="15" t="s">
        <v>190</v>
      </c>
      <c r="E1061" s="15" t="s">
        <v>132</v>
      </c>
      <c r="F1061" s="17" t="n">
        <v>9</v>
      </c>
      <c r="G1061" s="17" t="n">
        <v>3350</v>
      </c>
      <c r="H1061" s="17" t="n">
        <v>2.1</v>
      </c>
      <c r="I1061" s="17" t="n">
        <v>29516.85</v>
      </c>
      <c r="J1061" s="15" t="s">
        <v>98</v>
      </c>
      <c r="K1061" s="15" t="s">
        <v>110</v>
      </c>
    </row>
    <row r="1062" customFormat="false" ht="14.25" hidden="false" customHeight="false" outlineLevel="0" collapsed="false">
      <c r="A1062" s="15" t="s">
        <v>1556</v>
      </c>
      <c r="B1062" s="16" t="n">
        <v>45336</v>
      </c>
      <c r="C1062" s="15" t="s">
        <v>919</v>
      </c>
      <c r="D1062" s="15" t="s">
        <v>172</v>
      </c>
      <c r="E1062" s="15" t="s">
        <v>169</v>
      </c>
      <c r="F1062" s="17" t="n">
        <v>7</v>
      </c>
      <c r="G1062" s="17" t="n">
        <v>3450</v>
      </c>
      <c r="H1062" s="17" t="n">
        <v>4.7</v>
      </c>
      <c r="I1062" s="17" t="n">
        <v>23014.95</v>
      </c>
      <c r="J1062" s="15" t="s">
        <v>98</v>
      </c>
      <c r="K1062" s="15" t="s">
        <v>144</v>
      </c>
    </row>
    <row r="1063" customFormat="false" ht="14.25" hidden="false" customHeight="false" outlineLevel="0" collapsed="false">
      <c r="A1063" s="15" t="s">
        <v>1557</v>
      </c>
      <c r="B1063" s="16" t="n">
        <v>45594</v>
      </c>
      <c r="C1063" s="15" t="s">
        <v>305</v>
      </c>
      <c r="D1063" s="15" t="s">
        <v>126</v>
      </c>
      <c r="E1063" s="15" t="s">
        <v>132</v>
      </c>
      <c r="F1063" s="17" t="n">
        <v>10</v>
      </c>
      <c r="G1063" s="17" t="n">
        <v>960</v>
      </c>
      <c r="H1063" s="17" t="n">
        <v>17.9</v>
      </c>
      <c r="I1063" s="17" t="n">
        <v>7881.6</v>
      </c>
      <c r="J1063" s="15" t="s">
        <v>98</v>
      </c>
      <c r="K1063" s="15" t="s">
        <v>144</v>
      </c>
    </row>
    <row r="1064" customFormat="false" ht="14.25" hidden="false" customHeight="false" outlineLevel="0" collapsed="false">
      <c r="A1064" s="15" t="s">
        <v>1558</v>
      </c>
      <c r="B1064" s="16" t="n">
        <v>45617</v>
      </c>
      <c r="C1064" s="15" t="s">
        <v>440</v>
      </c>
      <c r="D1064" s="15" t="s">
        <v>248</v>
      </c>
      <c r="E1064" s="15" t="s">
        <v>109</v>
      </c>
      <c r="F1064" s="17" t="n">
        <v>1</v>
      </c>
      <c r="G1064" s="17" t="n">
        <v>3640</v>
      </c>
      <c r="H1064" s="17" t="n">
        <v>8.8</v>
      </c>
      <c r="I1064" s="17" t="n">
        <v>3319.68</v>
      </c>
      <c r="J1064" s="15" t="s">
        <v>98</v>
      </c>
      <c r="K1064" s="15" t="s">
        <v>128</v>
      </c>
    </row>
    <row r="1065" customFormat="false" ht="14.25" hidden="false" customHeight="false" outlineLevel="0" collapsed="false">
      <c r="A1065" s="15" t="s">
        <v>1559</v>
      </c>
      <c r="B1065" s="16" t="n">
        <v>45378</v>
      </c>
      <c r="C1065" s="15" t="s">
        <v>790</v>
      </c>
      <c r="D1065" s="15" t="s">
        <v>349</v>
      </c>
      <c r="E1065" s="15" t="s">
        <v>249</v>
      </c>
      <c r="F1065" s="17" t="n">
        <v>1</v>
      </c>
      <c r="G1065" s="17" t="n">
        <v>2210</v>
      </c>
      <c r="H1065" s="17" t="n">
        <v>10.7</v>
      </c>
      <c r="I1065" s="17" t="n">
        <v>1973.53</v>
      </c>
      <c r="J1065" s="15" t="s">
        <v>98</v>
      </c>
      <c r="K1065" s="15" t="s">
        <v>128</v>
      </c>
    </row>
    <row r="1066" customFormat="false" ht="14.25" hidden="false" customHeight="false" outlineLevel="0" collapsed="false">
      <c r="A1066" s="15" t="s">
        <v>1560</v>
      </c>
      <c r="B1066" s="16" t="n">
        <v>45318</v>
      </c>
      <c r="C1066" s="15" t="s">
        <v>112</v>
      </c>
      <c r="D1066" s="15" t="s">
        <v>237</v>
      </c>
      <c r="E1066" s="15" t="s">
        <v>103</v>
      </c>
      <c r="F1066" s="17" t="n">
        <v>2</v>
      </c>
      <c r="G1066" s="17" t="n">
        <v>3730</v>
      </c>
      <c r="H1066" s="17" t="n">
        <v>13.9</v>
      </c>
      <c r="I1066" s="17" t="n">
        <v>6423.06</v>
      </c>
      <c r="J1066" s="15" t="s">
        <v>98</v>
      </c>
      <c r="K1066" s="15" t="s">
        <v>110</v>
      </c>
    </row>
    <row r="1067" customFormat="false" ht="14.25" hidden="false" customHeight="false" outlineLevel="0" collapsed="false">
      <c r="A1067" s="15" t="s">
        <v>1561</v>
      </c>
      <c r="B1067" s="16" t="n">
        <v>45542</v>
      </c>
      <c r="C1067" s="15" t="s">
        <v>438</v>
      </c>
      <c r="D1067" s="15" t="s">
        <v>371</v>
      </c>
      <c r="E1067" s="15" t="s">
        <v>143</v>
      </c>
      <c r="F1067" s="17" t="n">
        <v>7</v>
      </c>
      <c r="G1067" s="17" t="n">
        <v>5410</v>
      </c>
      <c r="H1067" s="17" t="n">
        <v>23.6</v>
      </c>
      <c r="I1067" s="17" t="n">
        <v>28932.68</v>
      </c>
      <c r="J1067" s="15" t="s">
        <v>98</v>
      </c>
      <c r="K1067" s="15" t="s">
        <v>99</v>
      </c>
    </row>
    <row r="1068" customFormat="false" ht="14.25" hidden="false" customHeight="false" outlineLevel="0" collapsed="false">
      <c r="A1068" s="15" t="s">
        <v>1562</v>
      </c>
      <c r="B1068" s="16" t="n">
        <v>45618</v>
      </c>
      <c r="C1068" s="15" t="s">
        <v>883</v>
      </c>
      <c r="D1068" s="15" t="s">
        <v>245</v>
      </c>
      <c r="E1068" s="15" t="s">
        <v>314</v>
      </c>
      <c r="F1068" s="17" t="n">
        <v>7</v>
      </c>
      <c r="G1068" s="17" t="n">
        <v>3780</v>
      </c>
      <c r="H1068" s="17" t="n">
        <v>8.5</v>
      </c>
      <c r="I1068" s="17" t="n">
        <v>24210.9</v>
      </c>
      <c r="J1068" s="15" t="s">
        <v>151</v>
      </c>
      <c r="K1068" s="15" t="s">
        <v>123</v>
      </c>
    </row>
    <row r="1069" customFormat="false" ht="14.25" hidden="false" customHeight="false" outlineLevel="0" collapsed="false">
      <c r="A1069" s="15" t="s">
        <v>1563</v>
      </c>
      <c r="B1069" s="16" t="n">
        <v>45555</v>
      </c>
      <c r="C1069" s="15" t="s">
        <v>269</v>
      </c>
      <c r="D1069" s="15" t="s">
        <v>281</v>
      </c>
      <c r="E1069" s="15" t="s">
        <v>357</v>
      </c>
      <c r="F1069" s="17" t="n">
        <v>9</v>
      </c>
      <c r="G1069" s="17" t="n">
        <v>4610</v>
      </c>
      <c r="H1069" s="17" t="n">
        <v>26.6</v>
      </c>
      <c r="I1069" s="17" t="n">
        <v>30453.66</v>
      </c>
      <c r="J1069" s="15" t="s">
        <v>98</v>
      </c>
      <c r="K1069" s="15" t="s">
        <v>110</v>
      </c>
    </row>
    <row r="1070" customFormat="false" ht="14.25" hidden="false" customHeight="false" outlineLevel="0" collapsed="false">
      <c r="A1070" s="15" t="s">
        <v>1564</v>
      </c>
      <c r="B1070" s="16" t="n">
        <v>45373</v>
      </c>
      <c r="C1070" s="15" t="s">
        <v>613</v>
      </c>
      <c r="D1070" s="15" t="s">
        <v>146</v>
      </c>
      <c r="E1070" s="15" t="s">
        <v>122</v>
      </c>
      <c r="F1070" s="17" t="n">
        <v>5</v>
      </c>
      <c r="G1070" s="17" t="n">
        <v>2640</v>
      </c>
      <c r="H1070" s="17" t="n">
        <v>1.5</v>
      </c>
      <c r="I1070" s="17" t="n">
        <v>13002</v>
      </c>
      <c r="J1070" s="15" t="s">
        <v>98</v>
      </c>
      <c r="K1070" s="15" t="s">
        <v>105</v>
      </c>
    </row>
    <row r="1071" customFormat="false" ht="14.25" hidden="false" customHeight="false" outlineLevel="0" collapsed="false">
      <c r="A1071" s="15" t="s">
        <v>1565</v>
      </c>
      <c r="B1071" s="16" t="n">
        <v>45515</v>
      </c>
      <c r="C1071" s="15" t="s">
        <v>234</v>
      </c>
      <c r="D1071" s="15" t="s">
        <v>96</v>
      </c>
      <c r="E1071" s="15" t="s">
        <v>143</v>
      </c>
      <c r="F1071" s="17" t="n">
        <v>3</v>
      </c>
      <c r="G1071" s="17" t="n">
        <v>3620</v>
      </c>
      <c r="H1071" s="17" t="n">
        <v>3.1</v>
      </c>
      <c r="I1071" s="17" t="n">
        <v>10523.34</v>
      </c>
      <c r="J1071" s="15" t="s">
        <v>98</v>
      </c>
      <c r="K1071" s="15" t="s">
        <v>110</v>
      </c>
    </row>
    <row r="1072" customFormat="false" ht="14.25" hidden="false" customHeight="false" outlineLevel="0" collapsed="false">
      <c r="A1072" s="15" t="s">
        <v>1566</v>
      </c>
      <c r="B1072" s="16" t="n">
        <v>45530</v>
      </c>
      <c r="C1072" s="15" t="s">
        <v>808</v>
      </c>
      <c r="D1072" s="15" t="s">
        <v>108</v>
      </c>
      <c r="E1072" s="15" t="s">
        <v>314</v>
      </c>
      <c r="F1072" s="17" t="n">
        <v>5</v>
      </c>
      <c r="G1072" s="17" t="n">
        <v>470</v>
      </c>
      <c r="H1072" s="17" t="n">
        <v>10.6</v>
      </c>
      <c r="I1072" s="17" t="n">
        <v>2100.9</v>
      </c>
      <c r="J1072" s="15" t="s">
        <v>151</v>
      </c>
      <c r="K1072" s="15" t="s">
        <v>110</v>
      </c>
    </row>
    <row r="1073" customFormat="false" ht="14.25" hidden="false" customHeight="false" outlineLevel="0" collapsed="false">
      <c r="A1073" s="15" t="s">
        <v>1567</v>
      </c>
      <c r="B1073" s="16" t="n">
        <v>45463</v>
      </c>
      <c r="C1073" s="15" t="s">
        <v>272</v>
      </c>
      <c r="D1073" s="15" t="s">
        <v>375</v>
      </c>
      <c r="E1073" s="15" t="s">
        <v>215</v>
      </c>
      <c r="F1073" s="17" t="n">
        <v>7</v>
      </c>
      <c r="G1073" s="17" t="n">
        <v>5330</v>
      </c>
      <c r="H1073" s="17" t="n">
        <v>25</v>
      </c>
      <c r="I1073" s="17" t="n">
        <v>27982.5</v>
      </c>
      <c r="J1073" s="15" t="s">
        <v>151</v>
      </c>
      <c r="K1073" s="15" t="s">
        <v>110</v>
      </c>
    </row>
    <row r="1074" customFormat="false" ht="14.25" hidden="false" customHeight="false" outlineLevel="0" collapsed="false">
      <c r="A1074" s="15" t="s">
        <v>1568</v>
      </c>
      <c r="B1074" s="16" t="n">
        <v>45292</v>
      </c>
      <c r="C1074" s="15" t="s">
        <v>813</v>
      </c>
      <c r="D1074" s="15" t="s">
        <v>252</v>
      </c>
      <c r="E1074" s="15" t="s">
        <v>109</v>
      </c>
      <c r="F1074" s="17" t="n">
        <v>1</v>
      </c>
      <c r="G1074" s="17" t="n">
        <v>6080</v>
      </c>
      <c r="H1074" s="17" t="n">
        <v>27.8</v>
      </c>
      <c r="I1074" s="17" t="n">
        <v>4389.76</v>
      </c>
      <c r="J1074" s="15" t="s">
        <v>98</v>
      </c>
      <c r="K1074" s="15" t="s">
        <v>105</v>
      </c>
    </row>
    <row r="1075" customFormat="false" ht="14.25" hidden="false" customHeight="false" outlineLevel="0" collapsed="false">
      <c r="A1075" s="15" t="s">
        <v>1569</v>
      </c>
      <c r="B1075" s="16" t="n">
        <v>45347</v>
      </c>
      <c r="C1075" s="15" t="s">
        <v>217</v>
      </c>
      <c r="D1075" s="15" t="s">
        <v>190</v>
      </c>
      <c r="E1075" s="15" t="s">
        <v>127</v>
      </c>
      <c r="F1075" s="17" t="n">
        <v>6</v>
      </c>
      <c r="G1075" s="17" t="n">
        <v>3350</v>
      </c>
      <c r="H1075" s="17" t="n">
        <v>12</v>
      </c>
      <c r="I1075" s="17" t="n">
        <v>17688</v>
      </c>
      <c r="J1075" s="15" t="s">
        <v>98</v>
      </c>
      <c r="K1075" s="15" t="s">
        <v>144</v>
      </c>
    </row>
    <row r="1076" customFormat="false" ht="14.25" hidden="false" customHeight="false" outlineLevel="0" collapsed="false">
      <c r="A1076" s="15" t="s">
        <v>1570</v>
      </c>
      <c r="B1076" s="16" t="n">
        <v>45592</v>
      </c>
      <c r="C1076" s="15" t="s">
        <v>1571</v>
      </c>
      <c r="D1076" s="15" t="s">
        <v>526</v>
      </c>
      <c r="E1076" s="15" t="s">
        <v>354</v>
      </c>
      <c r="F1076" s="17" t="n">
        <v>6</v>
      </c>
      <c r="G1076" s="17" t="n">
        <v>6940</v>
      </c>
      <c r="H1076" s="17" t="n">
        <v>20</v>
      </c>
      <c r="I1076" s="17" t="n">
        <v>33312</v>
      </c>
      <c r="J1076" s="15" t="s">
        <v>98</v>
      </c>
      <c r="K1076" s="15" t="s">
        <v>105</v>
      </c>
    </row>
    <row r="1077" customFormat="false" ht="14.25" hidden="false" customHeight="false" outlineLevel="0" collapsed="false">
      <c r="A1077" s="15" t="s">
        <v>1572</v>
      </c>
      <c r="B1077" s="16" t="n">
        <v>45636</v>
      </c>
      <c r="C1077" s="15" t="s">
        <v>316</v>
      </c>
      <c r="D1077" s="15" t="s">
        <v>121</v>
      </c>
      <c r="E1077" s="15" t="s">
        <v>97</v>
      </c>
      <c r="F1077" s="17" t="n">
        <v>1</v>
      </c>
      <c r="G1077" s="17" t="n">
        <v>370</v>
      </c>
      <c r="H1077" s="17" t="n">
        <v>10</v>
      </c>
      <c r="I1077" s="17" t="n">
        <v>333</v>
      </c>
      <c r="J1077" s="15" t="s">
        <v>98</v>
      </c>
      <c r="K1077" s="15" t="s">
        <v>144</v>
      </c>
    </row>
    <row r="1078" customFormat="false" ht="14.25" hidden="false" customHeight="false" outlineLevel="0" collapsed="false">
      <c r="A1078" s="15" t="s">
        <v>1573</v>
      </c>
      <c r="B1078" s="16" t="n">
        <v>45432</v>
      </c>
      <c r="C1078" s="15" t="s">
        <v>1027</v>
      </c>
      <c r="D1078" s="15" t="s">
        <v>135</v>
      </c>
      <c r="E1078" s="15" t="s">
        <v>203</v>
      </c>
      <c r="F1078" s="17" t="n">
        <v>2</v>
      </c>
      <c r="G1078" s="17" t="n">
        <v>5490</v>
      </c>
      <c r="H1078" s="17" t="n">
        <v>27.9</v>
      </c>
      <c r="I1078" s="17" t="n">
        <v>7916.58</v>
      </c>
      <c r="J1078" s="15" t="s">
        <v>98</v>
      </c>
      <c r="K1078" s="15" t="s">
        <v>128</v>
      </c>
    </row>
    <row r="1079" customFormat="false" ht="14.25" hidden="false" customHeight="false" outlineLevel="0" collapsed="false">
      <c r="A1079" s="15" t="s">
        <v>1574</v>
      </c>
      <c r="B1079" s="16" t="n">
        <v>45479</v>
      </c>
      <c r="C1079" s="15" t="s">
        <v>1047</v>
      </c>
      <c r="D1079" s="15" t="s">
        <v>113</v>
      </c>
      <c r="E1079" s="15" t="s">
        <v>215</v>
      </c>
      <c r="F1079" s="17" t="n">
        <v>5</v>
      </c>
      <c r="G1079" s="17" t="n">
        <v>3660</v>
      </c>
      <c r="H1079" s="17" t="n">
        <v>4.6</v>
      </c>
      <c r="I1079" s="17" t="n">
        <v>17458.2</v>
      </c>
      <c r="J1079" s="15" t="s">
        <v>98</v>
      </c>
      <c r="K1079" s="15" t="s">
        <v>123</v>
      </c>
    </row>
    <row r="1080" customFormat="false" ht="14.25" hidden="false" customHeight="false" outlineLevel="0" collapsed="false">
      <c r="A1080" s="15" t="s">
        <v>1575</v>
      </c>
      <c r="B1080" s="16" t="n">
        <v>45563</v>
      </c>
      <c r="C1080" s="15" t="s">
        <v>183</v>
      </c>
      <c r="D1080" s="15" t="s">
        <v>293</v>
      </c>
      <c r="E1080" s="15" t="s">
        <v>240</v>
      </c>
      <c r="F1080" s="17" t="n">
        <v>6</v>
      </c>
      <c r="G1080" s="17" t="n">
        <v>300</v>
      </c>
      <c r="H1080" s="17" t="n">
        <v>9</v>
      </c>
      <c r="I1080" s="17" t="n">
        <v>1638</v>
      </c>
      <c r="J1080" s="15" t="s">
        <v>98</v>
      </c>
      <c r="K1080" s="15" t="s">
        <v>99</v>
      </c>
    </row>
    <row r="1081" customFormat="false" ht="14.25" hidden="false" customHeight="false" outlineLevel="0" collapsed="false">
      <c r="A1081" s="15" t="s">
        <v>1576</v>
      </c>
      <c r="B1081" s="16" t="n">
        <v>45523</v>
      </c>
      <c r="C1081" s="15" t="s">
        <v>161</v>
      </c>
      <c r="D1081" s="15" t="s">
        <v>293</v>
      </c>
      <c r="E1081" s="15" t="s">
        <v>336</v>
      </c>
      <c r="F1081" s="17" t="n">
        <v>3</v>
      </c>
      <c r="G1081" s="17" t="n">
        <v>300</v>
      </c>
      <c r="H1081" s="17" t="n">
        <v>19.2</v>
      </c>
      <c r="I1081" s="17" t="n">
        <v>727.2</v>
      </c>
      <c r="J1081" s="15" t="s">
        <v>98</v>
      </c>
      <c r="K1081" s="15" t="s">
        <v>99</v>
      </c>
    </row>
    <row r="1082" customFormat="false" ht="14.25" hidden="false" customHeight="false" outlineLevel="0" collapsed="false">
      <c r="A1082" s="15" t="s">
        <v>1577</v>
      </c>
      <c r="B1082" s="16" t="n">
        <v>45537</v>
      </c>
      <c r="C1082" s="15" t="s">
        <v>101</v>
      </c>
      <c r="D1082" s="15" t="s">
        <v>391</v>
      </c>
      <c r="E1082" s="15" t="s">
        <v>109</v>
      </c>
      <c r="F1082" s="17" t="n">
        <v>6</v>
      </c>
      <c r="G1082" s="17" t="n">
        <v>960</v>
      </c>
      <c r="H1082" s="17" t="n">
        <v>29.3</v>
      </c>
      <c r="I1082" s="17" t="n">
        <v>4072.32</v>
      </c>
      <c r="J1082" s="15" t="s">
        <v>151</v>
      </c>
      <c r="K1082" s="15" t="s">
        <v>105</v>
      </c>
    </row>
    <row r="1083" customFormat="false" ht="14.25" hidden="false" customHeight="false" outlineLevel="0" collapsed="false">
      <c r="A1083" s="15" t="s">
        <v>1578</v>
      </c>
      <c r="B1083" s="16" t="n">
        <v>45383</v>
      </c>
      <c r="C1083" s="15" t="s">
        <v>458</v>
      </c>
      <c r="D1083" s="15" t="s">
        <v>256</v>
      </c>
      <c r="E1083" s="15" t="s">
        <v>122</v>
      </c>
      <c r="F1083" s="17" t="n">
        <v>1</v>
      </c>
      <c r="G1083" s="17" t="n">
        <v>2270</v>
      </c>
      <c r="H1083" s="17" t="n">
        <v>12.4</v>
      </c>
      <c r="I1083" s="17" t="n">
        <v>1988.52</v>
      </c>
      <c r="J1083" s="15" t="s">
        <v>98</v>
      </c>
      <c r="K1083" s="15" t="s">
        <v>123</v>
      </c>
    </row>
    <row r="1084" customFormat="false" ht="14.25" hidden="false" customHeight="false" outlineLevel="0" collapsed="false">
      <c r="A1084" s="15" t="s">
        <v>1579</v>
      </c>
      <c r="B1084" s="16" t="n">
        <v>45541</v>
      </c>
      <c r="C1084" s="15" t="s">
        <v>342</v>
      </c>
      <c r="D1084" s="15" t="s">
        <v>306</v>
      </c>
      <c r="E1084" s="15" t="s">
        <v>354</v>
      </c>
      <c r="F1084" s="17" t="n">
        <v>10</v>
      </c>
      <c r="G1084" s="17" t="n">
        <v>2030</v>
      </c>
      <c r="H1084" s="17" t="n">
        <v>4</v>
      </c>
      <c r="I1084" s="17" t="n">
        <v>19488</v>
      </c>
      <c r="J1084" s="15" t="s">
        <v>98</v>
      </c>
      <c r="K1084" s="15" t="s">
        <v>128</v>
      </c>
    </row>
    <row r="1085" customFormat="false" ht="14.25" hidden="false" customHeight="false" outlineLevel="0" collapsed="false">
      <c r="A1085" s="15" t="s">
        <v>1580</v>
      </c>
      <c r="B1085" s="16" t="n">
        <v>45609</v>
      </c>
      <c r="C1085" s="15" t="s">
        <v>913</v>
      </c>
      <c r="D1085" s="15" t="s">
        <v>175</v>
      </c>
      <c r="E1085" s="15" t="s">
        <v>169</v>
      </c>
      <c r="F1085" s="17" t="n">
        <v>9</v>
      </c>
      <c r="G1085" s="17" t="n">
        <v>1080</v>
      </c>
      <c r="H1085" s="17" t="n">
        <v>19.2</v>
      </c>
      <c r="I1085" s="17" t="n">
        <v>7853.76</v>
      </c>
      <c r="J1085" s="15" t="s">
        <v>104</v>
      </c>
      <c r="K1085" s="15" t="s">
        <v>123</v>
      </c>
    </row>
    <row r="1086" customFormat="false" ht="14.25" hidden="false" customHeight="false" outlineLevel="0" collapsed="false">
      <c r="A1086" s="15" t="s">
        <v>1581</v>
      </c>
      <c r="B1086" s="16" t="n">
        <v>45463</v>
      </c>
      <c r="C1086" s="15" t="s">
        <v>183</v>
      </c>
      <c r="D1086" s="15" t="s">
        <v>206</v>
      </c>
      <c r="E1086" s="15" t="s">
        <v>122</v>
      </c>
      <c r="F1086" s="17" t="n">
        <v>5</v>
      </c>
      <c r="G1086" s="17" t="n">
        <v>2860</v>
      </c>
      <c r="H1086" s="17" t="n">
        <v>25</v>
      </c>
      <c r="I1086" s="17" t="n">
        <v>10725</v>
      </c>
      <c r="J1086" s="15" t="s">
        <v>104</v>
      </c>
      <c r="K1086" s="15" t="s">
        <v>99</v>
      </c>
    </row>
    <row r="1087" customFormat="false" ht="14.25" hidden="false" customHeight="false" outlineLevel="0" collapsed="false">
      <c r="A1087" s="15" t="s">
        <v>1582</v>
      </c>
      <c r="B1087" s="16" t="n">
        <v>45588</v>
      </c>
      <c r="C1087" s="15" t="s">
        <v>112</v>
      </c>
      <c r="D1087" s="15" t="s">
        <v>142</v>
      </c>
      <c r="E1087" s="15" t="s">
        <v>336</v>
      </c>
      <c r="F1087" s="17" t="n">
        <v>6</v>
      </c>
      <c r="G1087" s="17" t="n">
        <v>2270</v>
      </c>
      <c r="H1087" s="17" t="n">
        <v>9.3</v>
      </c>
      <c r="I1087" s="17" t="n">
        <v>12353.34</v>
      </c>
      <c r="J1087" s="15" t="s">
        <v>98</v>
      </c>
      <c r="K1087" s="15" t="s">
        <v>110</v>
      </c>
    </row>
    <row r="1088" customFormat="false" ht="14.25" hidden="false" customHeight="false" outlineLevel="0" collapsed="false">
      <c r="A1088" s="15" t="s">
        <v>1583</v>
      </c>
      <c r="B1088" s="16" t="n">
        <v>45328</v>
      </c>
      <c r="C1088" s="15" t="s">
        <v>646</v>
      </c>
      <c r="D1088" s="15" t="s">
        <v>184</v>
      </c>
      <c r="E1088" s="15" t="s">
        <v>127</v>
      </c>
      <c r="F1088" s="17" t="n">
        <v>1</v>
      </c>
      <c r="G1088" s="17" t="n">
        <v>2720</v>
      </c>
      <c r="H1088" s="17" t="n">
        <v>15.2</v>
      </c>
      <c r="I1088" s="17" t="n">
        <v>2306.56</v>
      </c>
      <c r="J1088" s="15" t="s">
        <v>98</v>
      </c>
      <c r="K1088" s="15" t="s">
        <v>110</v>
      </c>
    </row>
    <row r="1089" customFormat="false" ht="14.25" hidden="false" customHeight="false" outlineLevel="0" collapsed="false">
      <c r="A1089" s="15" t="s">
        <v>1584</v>
      </c>
      <c r="B1089" s="16" t="n">
        <v>45638</v>
      </c>
      <c r="C1089" s="15" t="s">
        <v>1049</v>
      </c>
      <c r="D1089" s="15" t="s">
        <v>259</v>
      </c>
      <c r="E1089" s="15" t="s">
        <v>103</v>
      </c>
      <c r="F1089" s="17" t="n">
        <v>10</v>
      </c>
      <c r="G1089" s="17" t="n">
        <v>3870</v>
      </c>
      <c r="H1089" s="17" t="n">
        <v>4.9</v>
      </c>
      <c r="I1089" s="17" t="n">
        <v>36803.7</v>
      </c>
      <c r="J1089" s="15" t="s">
        <v>151</v>
      </c>
      <c r="K1089" s="15" t="s">
        <v>128</v>
      </c>
    </row>
    <row r="1090" customFormat="false" ht="14.25" hidden="false" customHeight="false" outlineLevel="0" collapsed="false">
      <c r="A1090" s="15" t="s">
        <v>1585</v>
      </c>
      <c r="B1090" s="16" t="n">
        <v>45332</v>
      </c>
      <c r="C1090" s="15" t="s">
        <v>1586</v>
      </c>
      <c r="D1090" s="15" t="s">
        <v>463</v>
      </c>
      <c r="E1090" s="15" t="s">
        <v>132</v>
      </c>
      <c r="F1090" s="17" t="n">
        <v>8</v>
      </c>
      <c r="G1090" s="17" t="n">
        <v>3450</v>
      </c>
      <c r="H1090" s="17" t="n">
        <v>20.6</v>
      </c>
      <c r="I1090" s="17" t="n">
        <v>21914.4</v>
      </c>
      <c r="J1090" s="15" t="s">
        <v>98</v>
      </c>
      <c r="K1090" s="15" t="s">
        <v>144</v>
      </c>
    </row>
    <row r="1091" customFormat="false" ht="14.25" hidden="false" customHeight="false" outlineLevel="0" collapsed="false">
      <c r="A1091" s="15" t="s">
        <v>1587</v>
      </c>
      <c r="B1091" s="16" t="n">
        <v>45406</v>
      </c>
      <c r="C1091" s="15" t="s">
        <v>280</v>
      </c>
      <c r="D1091" s="15" t="s">
        <v>108</v>
      </c>
      <c r="E1091" s="15" t="s">
        <v>308</v>
      </c>
      <c r="F1091" s="17" t="n">
        <v>1</v>
      </c>
      <c r="G1091" s="17" t="n">
        <v>470</v>
      </c>
      <c r="H1091" s="17" t="n">
        <v>5.4</v>
      </c>
      <c r="I1091" s="17" t="n">
        <v>444.62</v>
      </c>
      <c r="J1091" s="15" t="s">
        <v>155</v>
      </c>
      <c r="K1091" s="15" t="s">
        <v>123</v>
      </c>
    </row>
    <row r="1092" customFormat="false" ht="14.25" hidden="false" customHeight="false" outlineLevel="0" collapsed="false">
      <c r="A1092" s="15" t="s">
        <v>1588</v>
      </c>
      <c r="B1092" s="16" t="n">
        <v>45405</v>
      </c>
      <c r="C1092" s="15" t="s">
        <v>335</v>
      </c>
      <c r="D1092" s="15" t="s">
        <v>419</v>
      </c>
      <c r="E1092" s="15" t="s">
        <v>215</v>
      </c>
      <c r="F1092" s="17" t="n">
        <v>5</v>
      </c>
      <c r="G1092" s="17" t="n">
        <v>3970</v>
      </c>
      <c r="H1092" s="17" t="n">
        <v>5.8</v>
      </c>
      <c r="I1092" s="17" t="n">
        <v>18698.7</v>
      </c>
      <c r="J1092" s="15" t="s">
        <v>98</v>
      </c>
      <c r="K1092" s="15" t="s">
        <v>144</v>
      </c>
    </row>
    <row r="1093" customFormat="false" ht="14.25" hidden="false" customHeight="false" outlineLevel="0" collapsed="false">
      <c r="A1093" s="15" t="s">
        <v>1589</v>
      </c>
      <c r="B1093" s="16" t="n">
        <v>45469</v>
      </c>
      <c r="C1093" s="15" t="s">
        <v>1017</v>
      </c>
      <c r="D1093" s="15" t="s">
        <v>202</v>
      </c>
      <c r="E1093" s="15" t="s">
        <v>336</v>
      </c>
      <c r="F1093" s="17" t="n">
        <v>2</v>
      </c>
      <c r="G1093" s="17" t="n">
        <v>5100</v>
      </c>
      <c r="H1093" s="17" t="n">
        <v>19.9</v>
      </c>
      <c r="I1093" s="17" t="n">
        <v>8170.2</v>
      </c>
      <c r="J1093" s="15" t="s">
        <v>98</v>
      </c>
      <c r="K1093" s="15" t="s">
        <v>128</v>
      </c>
    </row>
    <row r="1094" customFormat="false" ht="14.25" hidden="false" customHeight="false" outlineLevel="0" collapsed="false">
      <c r="A1094" s="15" t="s">
        <v>1590</v>
      </c>
      <c r="B1094" s="16" t="n">
        <v>45656</v>
      </c>
      <c r="C1094" s="15" t="s">
        <v>504</v>
      </c>
      <c r="D1094" s="15" t="s">
        <v>168</v>
      </c>
      <c r="E1094" s="15" t="s">
        <v>226</v>
      </c>
      <c r="F1094" s="17" t="n">
        <v>6</v>
      </c>
      <c r="G1094" s="17" t="n">
        <v>3450</v>
      </c>
      <c r="H1094" s="17" t="n">
        <v>13</v>
      </c>
      <c r="I1094" s="17" t="n">
        <v>18009</v>
      </c>
      <c r="J1094" s="15" t="s">
        <v>98</v>
      </c>
      <c r="K1094" s="15" t="s">
        <v>99</v>
      </c>
    </row>
    <row r="1095" customFormat="false" ht="14.25" hidden="false" customHeight="false" outlineLevel="0" collapsed="false">
      <c r="A1095" s="15" t="s">
        <v>1591</v>
      </c>
      <c r="B1095" s="16" t="n">
        <v>45653</v>
      </c>
      <c r="C1095" s="15" t="s">
        <v>1510</v>
      </c>
      <c r="D1095" s="15" t="s">
        <v>237</v>
      </c>
      <c r="E1095" s="15" t="s">
        <v>336</v>
      </c>
      <c r="F1095" s="17" t="n">
        <v>9</v>
      </c>
      <c r="G1095" s="17" t="n">
        <v>3730</v>
      </c>
      <c r="H1095" s="17" t="n">
        <v>15.5</v>
      </c>
      <c r="I1095" s="17" t="n">
        <v>28366.65</v>
      </c>
      <c r="J1095" s="15" t="s">
        <v>98</v>
      </c>
      <c r="K1095" s="15" t="s">
        <v>105</v>
      </c>
    </row>
    <row r="1096" customFormat="false" ht="14.25" hidden="false" customHeight="false" outlineLevel="0" collapsed="false">
      <c r="A1096" s="15" t="s">
        <v>1592</v>
      </c>
      <c r="B1096" s="16" t="n">
        <v>45440</v>
      </c>
      <c r="C1096" s="15" t="s">
        <v>1586</v>
      </c>
      <c r="D1096" s="15" t="s">
        <v>391</v>
      </c>
      <c r="E1096" s="15" t="s">
        <v>203</v>
      </c>
      <c r="F1096" s="17" t="n">
        <v>5</v>
      </c>
      <c r="G1096" s="17" t="n">
        <v>960</v>
      </c>
      <c r="H1096" s="17" t="n">
        <v>9.3</v>
      </c>
      <c r="I1096" s="17" t="n">
        <v>4353.6</v>
      </c>
      <c r="J1096" s="15" t="s">
        <v>98</v>
      </c>
      <c r="K1096" s="15" t="s">
        <v>144</v>
      </c>
    </row>
    <row r="1097" customFormat="false" ht="14.25" hidden="false" customHeight="false" outlineLevel="0" collapsed="false">
      <c r="A1097" s="15" t="s">
        <v>1593</v>
      </c>
      <c r="B1097" s="16" t="n">
        <v>45511</v>
      </c>
      <c r="C1097" s="15" t="s">
        <v>792</v>
      </c>
      <c r="D1097" s="15" t="s">
        <v>454</v>
      </c>
      <c r="E1097" s="15" t="s">
        <v>118</v>
      </c>
      <c r="F1097" s="17" t="n">
        <v>3</v>
      </c>
      <c r="G1097" s="17" t="n">
        <v>5080</v>
      </c>
      <c r="H1097" s="17" t="n">
        <v>17.4</v>
      </c>
      <c r="I1097" s="17" t="n">
        <v>12588.24</v>
      </c>
      <c r="J1097" s="15" t="s">
        <v>151</v>
      </c>
      <c r="K1097" s="15" t="s">
        <v>110</v>
      </c>
    </row>
    <row r="1098" customFormat="false" ht="14.25" hidden="false" customHeight="false" outlineLevel="0" collapsed="false">
      <c r="A1098" s="15" t="s">
        <v>1594</v>
      </c>
      <c r="B1098" s="16" t="n">
        <v>45300</v>
      </c>
      <c r="C1098" s="15" t="s">
        <v>959</v>
      </c>
      <c r="D1098" s="15" t="s">
        <v>259</v>
      </c>
      <c r="E1098" s="15" t="s">
        <v>159</v>
      </c>
      <c r="F1098" s="17" t="n">
        <v>4</v>
      </c>
      <c r="G1098" s="17" t="n">
        <v>3870</v>
      </c>
      <c r="H1098" s="17" t="n">
        <v>20.5</v>
      </c>
      <c r="I1098" s="17" t="n">
        <v>12306.6</v>
      </c>
      <c r="J1098" s="15" t="s">
        <v>104</v>
      </c>
      <c r="K1098" s="15" t="s">
        <v>732</v>
      </c>
    </row>
    <row r="1099" customFormat="false" ht="14.25" hidden="false" customHeight="false" outlineLevel="0" collapsed="false">
      <c r="A1099" s="15" t="s">
        <v>1595</v>
      </c>
      <c r="B1099" s="16" t="n">
        <v>45528</v>
      </c>
      <c r="C1099" s="15" t="s">
        <v>438</v>
      </c>
      <c r="D1099" s="15" t="s">
        <v>472</v>
      </c>
      <c r="E1099" s="15" t="s">
        <v>127</v>
      </c>
      <c r="F1099" s="17" t="n">
        <v>1</v>
      </c>
      <c r="G1099" s="17" t="n">
        <v>3780</v>
      </c>
      <c r="H1099" s="17" t="n">
        <v>21.5</v>
      </c>
      <c r="I1099" s="17" t="n">
        <v>2967.3</v>
      </c>
      <c r="J1099" s="15" t="s">
        <v>98</v>
      </c>
      <c r="K1099" s="15" t="s">
        <v>99</v>
      </c>
    </row>
    <row r="1100" customFormat="false" ht="14.25" hidden="false" customHeight="false" outlineLevel="0" collapsed="false">
      <c r="A1100" s="15" t="s">
        <v>1596</v>
      </c>
      <c r="B1100" s="16" t="n">
        <v>45622</v>
      </c>
      <c r="C1100" s="15" t="s">
        <v>125</v>
      </c>
      <c r="D1100" s="15" t="s">
        <v>259</v>
      </c>
      <c r="E1100" s="15" t="s">
        <v>249</v>
      </c>
      <c r="F1100" s="17" t="n">
        <v>3</v>
      </c>
      <c r="G1100" s="17" t="n">
        <v>3870</v>
      </c>
      <c r="H1100" s="17" t="n">
        <v>21.9</v>
      </c>
      <c r="I1100" s="17" t="n">
        <v>9067.41</v>
      </c>
      <c r="J1100" s="15" t="s">
        <v>104</v>
      </c>
      <c r="K1100" s="15" t="s">
        <v>128</v>
      </c>
    </row>
    <row r="1101" customFormat="false" ht="14.25" hidden="false" customHeight="false" outlineLevel="0" collapsed="false">
      <c r="A1101" s="15" t="s">
        <v>1597</v>
      </c>
      <c r="B1101" s="16" t="n">
        <v>45463</v>
      </c>
      <c r="C1101" s="15" t="s">
        <v>244</v>
      </c>
      <c r="D1101" s="15" t="s">
        <v>306</v>
      </c>
      <c r="E1101" s="15" t="s">
        <v>215</v>
      </c>
      <c r="F1101" s="17" t="n">
        <v>4</v>
      </c>
      <c r="G1101" s="17" t="n">
        <v>2030</v>
      </c>
      <c r="H1101" s="17" t="n">
        <v>23.4</v>
      </c>
      <c r="I1101" s="17" t="n">
        <v>6219.92</v>
      </c>
      <c r="J1101" s="15" t="s">
        <v>98</v>
      </c>
      <c r="K1101" s="15" t="s">
        <v>99</v>
      </c>
    </row>
    <row r="1102" customFormat="false" ht="14.25" hidden="false" customHeight="false" outlineLevel="0" collapsed="false">
      <c r="A1102" s="15" t="s">
        <v>1598</v>
      </c>
      <c r="B1102" s="16" t="n">
        <v>45407</v>
      </c>
      <c r="C1102" s="15" t="s">
        <v>606</v>
      </c>
      <c r="D1102" s="15" t="s">
        <v>349</v>
      </c>
      <c r="E1102" s="15" t="s">
        <v>159</v>
      </c>
      <c r="F1102" s="17" t="n">
        <v>6</v>
      </c>
      <c r="G1102" s="17" t="n">
        <v>2210</v>
      </c>
      <c r="H1102" s="17" t="n">
        <v>9.1</v>
      </c>
      <c r="I1102" s="17" t="n">
        <v>12053.34</v>
      </c>
      <c r="J1102" s="15" t="s">
        <v>98</v>
      </c>
      <c r="K1102" s="15" t="s">
        <v>110</v>
      </c>
    </row>
    <row r="1103" customFormat="false" ht="14.25" hidden="false" customHeight="false" outlineLevel="0" collapsed="false">
      <c r="A1103" s="15" t="s">
        <v>1599</v>
      </c>
      <c r="B1103" s="16" t="n">
        <v>45627</v>
      </c>
      <c r="C1103" s="15" t="s">
        <v>897</v>
      </c>
      <c r="D1103" s="15" t="s">
        <v>270</v>
      </c>
      <c r="E1103" s="15" t="s">
        <v>249</v>
      </c>
      <c r="F1103" s="17" t="n">
        <v>5</v>
      </c>
      <c r="G1103" s="17" t="n">
        <v>1540</v>
      </c>
      <c r="H1103" s="17" t="n">
        <v>18.1</v>
      </c>
      <c r="I1103" s="17" t="n">
        <v>6306.3</v>
      </c>
      <c r="J1103" s="15" t="s">
        <v>98</v>
      </c>
      <c r="K1103" s="15" t="s">
        <v>105</v>
      </c>
    </row>
    <row r="1104" customFormat="false" ht="14.25" hidden="false" customHeight="false" outlineLevel="0" collapsed="false">
      <c r="A1104" s="15" t="s">
        <v>1600</v>
      </c>
      <c r="B1104" s="16" t="n">
        <v>45393</v>
      </c>
      <c r="C1104" s="15" t="s">
        <v>649</v>
      </c>
      <c r="D1104" s="15" t="s">
        <v>193</v>
      </c>
      <c r="E1104" s="15" t="s">
        <v>284</v>
      </c>
      <c r="F1104" s="17" t="n">
        <v>1</v>
      </c>
      <c r="G1104" s="17" t="n">
        <v>1010</v>
      </c>
      <c r="H1104" s="17" t="n">
        <v>7.3</v>
      </c>
      <c r="I1104" s="17" t="n">
        <v>936.27</v>
      </c>
      <c r="J1104" s="15" t="s">
        <v>98</v>
      </c>
      <c r="K1104" s="15" t="s">
        <v>110</v>
      </c>
    </row>
    <row r="1105" customFormat="false" ht="14.25" hidden="false" customHeight="false" outlineLevel="0" collapsed="false">
      <c r="A1105" s="15" t="s">
        <v>1601</v>
      </c>
      <c r="B1105" s="16" t="n">
        <v>45360</v>
      </c>
      <c r="C1105" s="15" t="s">
        <v>687</v>
      </c>
      <c r="D1105" s="15" t="s">
        <v>375</v>
      </c>
      <c r="E1105" s="15" t="s">
        <v>199</v>
      </c>
      <c r="F1105" s="17" t="n">
        <v>10</v>
      </c>
      <c r="G1105" s="17" t="n">
        <v>5330</v>
      </c>
      <c r="H1105" s="17" t="n">
        <v>27.3</v>
      </c>
      <c r="I1105" s="17" t="n">
        <v>38749.1</v>
      </c>
      <c r="J1105" s="15" t="s">
        <v>98</v>
      </c>
      <c r="K1105" s="15" t="s">
        <v>99</v>
      </c>
    </row>
    <row r="1106" customFormat="false" ht="14.25" hidden="false" customHeight="false" outlineLevel="0" collapsed="false">
      <c r="A1106" s="15" t="s">
        <v>1602</v>
      </c>
      <c r="B1106" s="16" t="n">
        <v>45548</v>
      </c>
      <c r="C1106" s="15" t="s">
        <v>416</v>
      </c>
      <c r="D1106" s="15" t="s">
        <v>198</v>
      </c>
      <c r="E1106" s="15" t="s">
        <v>296</v>
      </c>
      <c r="F1106" s="17" t="n">
        <v>7</v>
      </c>
      <c r="G1106" s="17" t="n">
        <v>3570</v>
      </c>
      <c r="H1106" s="17" t="n">
        <v>24.3</v>
      </c>
      <c r="I1106" s="17" t="n">
        <v>18917.43</v>
      </c>
      <c r="J1106" s="15" t="s">
        <v>98</v>
      </c>
      <c r="K1106" s="15" t="s">
        <v>105</v>
      </c>
    </row>
    <row r="1107" customFormat="false" ht="14.25" hidden="false" customHeight="false" outlineLevel="0" collapsed="false">
      <c r="A1107" s="15" t="s">
        <v>1603</v>
      </c>
      <c r="B1107" s="16" t="n">
        <v>45569</v>
      </c>
      <c r="C1107" s="15" t="s">
        <v>380</v>
      </c>
      <c r="D1107" s="15" t="s">
        <v>190</v>
      </c>
      <c r="E1107" s="15" t="s">
        <v>249</v>
      </c>
      <c r="F1107" s="17" t="n">
        <v>1</v>
      </c>
      <c r="G1107" s="17" t="n">
        <v>3350</v>
      </c>
      <c r="H1107" s="17" t="n">
        <v>14.9</v>
      </c>
      <c r="I1107" s="17" t="n">
        <v>2850.85</v>
      </c>
      <c r="J1107" s="15" t="s">
        <v>98</v>
      </c>
      <c r="K1107" s="15" t="s">
        <v>105</v>
      </c>
    </row>
    <row r="1108" customFormat="false" ht="14.25" hidden="false" customHeight="false" outlineLevel="0" collapsed="false">
      <c r="A1108" s="15" t="s">
        <v>1604</v>
      </c>
      <c r="B1108" s="16" t="n">
        <v>45541</v>
      </c>
      <c r="C1108" s="15" t="s">
        <v>626</v>
      </c>
      <c r="D1108" s="15" t="s">
        <v>366</v>
      </c>
      <c r="E1108" s="15" t="s">
        <v>165</v>
      </c>
      <c r="F1108" s="17" t="n">
        <v>2</v>
      </c>
      <c r="G1108" s="17" t="n">
        <v>2510</v>
      </c>
      <c r="H1108" s="17" t="n">
        <v>10.6</v>
      </c>
      <c r="I1108" s="17" t="n">
        <v>4487.88</v>
      </c>
      <c r="J1108" s="15" t="s">
        <v>98</v>
      </c>
      <c r="K1108" s="15" t="s">
        <v>123</v>
      </c>
    </row>
    <row r="1109" customFormat="false" ht="14.25" hidden="false" customHeight="false" outlineLevel="0" collapsed="false">
      <c r="A1109" s="15" t="s">
        <v>1605</v>
      </c>
      <c r="B1109" s="16" t="n">
        <v>45369</v>
      </c>
      <c r="C1109" s="15" t="s">
        <v>171</v>
      </c>
      <c r="D1109" s="15" t="s">
        <v>138</v>
      </c>
      <c r="E1109" s="15" t="s">
        <v>122</v>
      </c>
      <c r="F1109" s="17" t="n">
        <v>5</v>
      </c>
      <c r="G1109" s="17" t="n">
        <v>970</v>
      </c>
      <c r="H1109" s="17" t="n">
        <v>6.8</v>
      </c>
      <c r="I1109" s="17" t="n">
        <v>4520.2</v>
      </c>
      <c r="J1109" s="15" t="s">
        <v>104</v>
      </c>
      <c r="K1109" s="15" t="s">
        <v>123</v>
      </c>
    </row>
    <row r="1110" customFormat="false" ht="14.25" hidden="false" customHeight="false" outlineLevel="0" collapsed="false">
      <c r="A1110" s="15" t="s">
        <v>1606</v>
      </c>
      <c r="B1110" s="16" t="n">
        <v>45519</v>
      </c>
      <c r="C1110" s="15" t="s">
        <v>242</v>
      </c>
      <c r="D1110" s="15" t="s">
        <v>245</v>
      </c>
      <c r="E1110" s="15" t="s">
        <v>308</v>
      </c>
      <c r="F1110" s="17" t="n">
        <v>5</v>
      </c>
      <c r="G1110" s="17" t="n">
        <v>3780</v>
      </c>
      <c r="H1110" s="17" t="n">
        <v>16.6</v>
      </c>
      <c r="I1110" s="17" t="n">
        <v>15762.6</v>
      </c>
      <c r="J1110" s="15" t="s">
        <v>98</v>
      </c>
      <c r="K1110" s="15" t="s">
        <v>128</v>
      </c>
    </row>
    <row r="1111" customFormat="false" ht="14.25" hidden="false" customHeight="false" outlineLevel="0" collapsed="false">
      <c r="A1111" s="15" t="s">
        <v>1607</v>
      </c>
      <c r="B1111" s="16" t="n">
        <v>45379</v>
      </c>
      <c r="C1111" s="15" t="s">
        <v>687</v>
      </c>
      <c r="D1111" s="15" t="s">
        <v>366</v>
      </c>
      <c r="E1111" s="15" t="s">
        <v>97</v>
      </c>
      <c r="F1111" s="17" t="n">
        <v>3</v>
      </c>
      <c r="G1111" s="17" t="n">
        <v>2510</v>
      </c>
      <c r="H1111" s="17" t="n">
        <v>24.9</v>
      </c>
      <c r="I1111" s="17" t="n">
        <v>5655.03</v>
      </c>
      <c r="J1111" s="15" t="s">
        <v>151</v>
      </c>
      <c r="K1111" s="15" t="s">
        <v>99</v>
      </c>
    </row>
    <row r="1112" customFormat="false" ht="14.25" hidden="false" customHeight="false" outlineLevel="0" collapsed="false">
      <c r="A1112" s="15" t="s">
        <v>1608</v>
      </c>
      <c r="B1112" s="16" t="n">
        <v>45548</v>
      </c>
      <c r="C1112" s="15" t="s">
        <v>1372</v>
      </c>
      <c r="D1112" s="15" t="s">
        <v>306</v>
      </c>
      <c r="E1112" s="15" t="s">
        <v>118</v>
      </c>
      <c r="F1112" s="17" t="n">
        <v>3</v>
      </c>
      <c r="G1112" s="17" t="n">
        <v>2030</v>
      </c>
      <c r="H1112" s="17" t="n">
        <v>3.8</v>
      </c>
      <c r="I1112" s="17" t="n">
        <v>5858.58</v>
      </c>
      <c r="J1112" s="15" t="s">
        <v>98</v>
      </c>
      <c r="K1112" s="15" t="s">
        <v>105</v>
      </c>
    </row>
    <row r="1113" customFormat="false" ht="14.25" hidden="false" customHeight="false" outlineLevel="0" collapsed="false">
      <c r="A1113" s="15" t="s">
        <v>1609</v>
      </c>
      <c r="B1113" s="16" t="n">
        <v>45478</v>
      </c>
      <c r="C1113" s="15" t="s">
        <v>981</v>
      </c>
      <c r="D1113" s="15" t="s">
        <v>158</v>
      </c>
      <c r="E1113" s="15" t="s">
        <v>109</v>
      </c>
      <c r="F1113" s="17" t="n">
        <v>9</v>
      </c>
      <c r="G1113" s="17" t="n">
        <v>190</v>
      </c>
      <c r="H1113" s="17" t="n">
        <v>5.4</v>
      </c>
      <c r="I1113" s="17" t="n">
        <v>1617.66</v>
      </c>
      <c r="J1113" s="15" t="s">
        <v>98</v>
      </c>
      <c r="K1113" s="15" t="s">
        <v>123</v>
      </c>
    </row>
    <row r="1114" customFormat="false" ht="14.25" hidden="false" customHeight="false" outlineLevel="0" collapsed="false">
      <c r="A1114" s="15" t="s">
        <v>1610</v>
      </c>
      <c r="B1114" s="16" t="n">
        <v>45338</v>
      </c>
      <c r="C1114" s="15" t="s">
        <v>356</v>
      </c>
      <c r="D1114" s="15" t="s">
        <v>349</v>
      </c>
      <c r="E1114" s="15" t="s">
        <v>203</v>
      </c>
      <c r="F1114" s="17" t="n">
        <v>6</v>
      </c>
      <c r="G1114" s="17" t="n">
        <v>2210</v>
      </c>
      <c r="H1114" s="17" t="n">
        <v>29.4</v>
      </c>
      <c r="I1114" s="17" t="n">
        <v>9361.56</v>
      </c>
      <c r="J1114" s="15" t="s">
        <v>98</v>
      </c>
      <c r="K1114" s="15" t="s">
        <v>105</v>
      </c>
    </row>
    <row r="1115" customFormat="false" ht="14.25" hidden="false" customHeight="false" outlineLevel="0" collapsed="false">
      <c r="A1115" s="15" t="s">
        <v>1611</v>
      </c>
      <c r="B1115" s="16" t="n">
        <v>45546</v>
      </c>
      <c r="C1115" s="15" t="s">
        <v>431</v>
      </c>
      <c r="D1115" s="15" t="s">
        <v>248</v>
      </c>
      <c r="E1115" s="15" t="s">
        <v>103</v>
      </c>
      <c r="F1115" s="17" t="n">
        <v>4</v>
      </c>
      <c r="G1115" s="17" t="n">
        <v>3640</v>
      </c>
      <c r="H1115" s="17" t="n">
        <v>0.6</v>
      </c>
      <c r="I1115" s="17" t="n">
        <v>14472.64</v>
      </c>
      <c r="J1115" s="15" t="s">
        <v>98</v>
      </c>
      <c r="K1115" s="15" t="s">
        <v>110</v>
      </c>
    </row>
    <row r="1116" customFormat="false" ht="14.25" hidden="false" customHeight="false" outlineLevel="0" collapsed="false">
      <c r="A1116" s="15" t="s">
        <v>1612</v>
      </c>
      <c r="B1116" s="16" t="n">
        <v>45626</v>
      </c>
      <c r="C1116" s="15" t="s">
        <v>911</v>
      </c>
      <c r="D1116" s="15" t="s">
        <v>278</v>
      </c>
      <c r="E1116" s="15" t="s">
        <v>215</v>
      </c>
      <c r="F1116" s="17" t="n">
        <v>9</v>
      </c>
      <c r="G1116" s="17" t="n">
        <v>1220</v>
      </c>
      <c r="H1116" s="17" t="n">
        <v>24.1</v>
      </c>
      <c r="I1116" s="17" t="n">
        <v>8333.82</v>
      </c>
      <c r="J1116" s="15" t="s">
        <v>98</v>
      </c>
      <c r="K1116" s="15" t="s">
        <v>128</v>
      </c>
    </row>
    <row r="1117" customFormat="false" ht="14.25" hidden="false" customHeight="false" outlineLevel="0" collapsed="false">
      <c r="A1117" s="15" t="s">
        <v>1613</v>
      </c>
      <c r="B1117" s="16" t="n">
        <v>45402</v>
      </c>
      <c r="C1117" s="15" t="s">
        <v>596</v>
      </c>
      <c r="D1117" s="15" t="s">
        <v>526</v>
      </c>
      <c r="E1117" s="15" t="s">
        <v>215</v>
      </c>
      <c r="F1117" s="17" t="n">
        <v>2</v>
      </c>
      <c r="G1117" s="17" t="n">
        <v>6940</v>
      </c>
      <c r="H1117" s="17" t="n">
        <v>27</v>
      </c>
      <c r="I1117" s="17" t="n">
        <v>10132.4</v>
      </c>
      <c r="J1117" s="15" t="s">
        <v>98</v>
      </c>
      <c r="K1117" s="15" t="s">
        <v>105</v>
      </c>
    </row>
    <row r="1118" customFormat="false" ht="14.25" hidden="false" customHeight="false" outlineLevel="0" collapsed="false">
      <c r="A1118" s="15" t="s">
        <v>1614</v>
      </c>
      <c r="B1118" s="16" t="n">
        <v>45604</v>
      </c>
      <c r="C1118" s="15" t="s">
        <v>368</v>
      </c>
      <c r="D1118" s="15" t="s">
        <v>206</v>
      </c>
      <c r="E1118" s="15" t="s">
        <v>143</v>
      </c>
      <c r="F1118" s="17" t="n">
        <v>6</v>
      </c>
      <c r="G1118" s="17" t="n">
        <v>2860</v>
      </c>
      <c r="H1118" s="17" t="n">
        <v>6.6</v>
      </c>
      <c r="I1118" s="17" t="n">
        <v>16027.44</v>
      </c>
      <c r="J1118" s="15" t="s">
        <v>98</v>
      </c>
      <c r="K1118" s="15" t="s">
        <v>110</v>
      </c>
    </row>
    <row r="1119" customFormat="false" ht="14.25" hidden="false" customHeight="false" outlineLevel="0" collapsed="false">
      <c r="A1119" s="15" t="s">
        <v>1615</v>
      </c>
      <c r="B1119" s="16" t="n">
        <v>45545</v>
      </c>
      <c r="C1119" s="15" t="s">
        <v>197</v>
      </c>
      <c r="D1119" s="15" t="s">
        <v>184</v>
      </c>
      <c r="E1119" s="15" t="s">
        <v>314</v>
      </c>
      <c r="F1119" s="17" t="n">
        <v>5</v>
      </c>
      <c r="G1119" s="17" t="n">
        <v>2720</v>
      </c>
      <c r="H1119" s="17" t="n">
        <v>21.4</v>
      </c>
      <c r="I1119" s="17" t="n">
        <v>10689.6</v>
      </c>
      <c r="J1119" s="15" t="s">
        <v>98</v>
      </c>
      <c r="K1119" s="15" t="s">
        <v>105</v>
      </c>
    </row>
    <row r="1120" customFormat="false" ht="14.25" hidden="false" customHeight="false" outlineLevel="0" collapsed="false">
      <c r="A1120" s="15" t="s">
        <v>1616</v>
      </c>
      <c r="B1120" s="16" t="n">
        <v>45445</v>
      </c>
      <c r="C1120" s="15" t="s">
        <v>280</v>
      </c>
      <c r="D1120" s="15" t="s">
        <v>102</v>
      </c>
      <c r="E1120" s="15" t="s">
        <v>114</v>
      </c>
      <c r="F1120" s="17" t="n">
        <v>5</v>
      </c>
      <c r="G1120" s="17" t="n">
        <v>820</v>
      </c>
      <c r="H1120" s="17" t="n">
        <v>28.6</v>
      </c>
      <c r="I1120" s="17" t="n">
        <v>2927.4</v>
      </c>
      <c r="J1120" s="15" t="s">
        <v>98</v>
      </c>
      <c r="K1120" s="15" t="s">
        <v>123</v>
      </c>
    </row>
    <row r="1121" customFormat="false" ht="14.25" hidden="false" customHeight="false" outlineLevel="0" collapsed="false">
      <c r="A1121" s="15" t="s">
        <v>1617</v>
      </c>
      <c r="B1121" s="16" t="n">
        <v>45489</v>
      </c>
      <c r="C1121" s="15" t="s">
        <v>1319</v>
      </c>
      <c r="D1121" s="15" t="s">
        <v>397</v>
      </c>
      <c r="E1121" s="15" t="s">
        <v>296</v>
      </c>
      <c r="F1121" s="17" t="n">
        <v>6</v>
      </c>
      <c r="G1121" s="17" t="n">
        <v>2290</v>
      </c>
      <c r="H1121" s="17" t="n">
        <v>18.8</v>
      </c>
      <c r="I1121" s="17" t="n">
        <v>11156.88</v>
      </c>
      <c r="J1121" s="15" t="s">
        <v>98</v>
      </c>
      <c r="K1121" s="15" t="s">
        <v>105</v>
      </c>
    </row>
    <row r="1122" customFormat="false" ht="14.25" hidden="false" customHeight="false" outlineLevel="0" collapsed="false">
      <c r="A1122" s="15" t="s">
        <v>1618</v>
      </c>
      <c r="B1122" s="16" t="n">
        <v>45394</v>
      </c>
      <c r="C1122" s="15" t="s">
        <v>700</v>
      </c>
      <c r="D1122" s="15" t="s">
        <v>168</v>
      </c>
      <c r="E1122" s="15" t="s">
        <v>169</v>
      </c>
      <c r="F1122" s="17" t="n">
        <v>6</v>
      </c>
      <c r="G1122" s="17" t="n">
        <v>3450</v>
      </c>
      <c r="H1122" s="17" t="n">
        <v>28.4</v>
      </c>
      <c r="I1122" s="17" t="n">
        <v>14821.2</v>
      </c>
      <c r="J1122" s="15" t="s">
        <v>98</v>
      </c>
      <c r="K1122" s="15" t="s">
        <v>144</v>
      </c>
    </row>
    <row r="1123" customFormat="false" ht="14.25" hidden="false" customHeight="false" outlineLevel="0" collapsed="false">
      <c r="A1123" s="15" t="s">
        <v>1619</v>
      </c>
      <c r="B1123" s="16" t="n">
        <v>45340</v>
      </c>
      <c r="C1123" s="15" t="s">
        <v>134</v>
      </c>
      <c r="D1123" s="15" t="s">
        <v>306</v>
      </c>
      <c r="E1123" s="15" t="s">
        <v>308</v>
      </c>
      <c r="F1123" s="17" t="n">
        <v>10</v>
      </c>
      <c r="G1123" s="17" t="n">
        <v>2030</v>
      </c>
      <c r="H1123" s="17" t="n">
        <v>8</v>
      </c>
      <c r="I1123" s="17" t="n">
        <v>18676</v>
      </c>
      <c r="J1123" s="15" t="s">
        <v>98</v>
      </c>
      <c r="K1123" s="15" t="s">
        <v>128</v>
      </c>
    </row>
    <row r="1124" customFormat="false" ht="14.25" hidden="false" customHeight="false" outlineLevel="0" collapsed="false">
      <c r="A1124" s="15" t="s">
        <v>1620</v>
      </c>
      <c r="B1124" s="16" t="n">
        <v>45378</v>
      </c>
      <c r="C1124" s="15" t="s">
        <v>970</v>
      </c>
      <c r="D1124" s="15" t="s">
        <v>162</v>
      </c>
      <c r="E1124" s="15" t="s">
        <v>296</v>
      </c>
      <c r="F1124" s="17" t="n">
        <v>1</v>
      </c>
      <c r="G1124" s="17" t="n">
        <v>2400</v>
      </c>
      <c r="H1124" s="17" t="n">
        <v>9.7</v>
      </c>
      <c r="I1124" s="17" t="n">
        <v>2167.2</v>
      </c>
      <c r="J1124" s="15" t="s">
        <v>98</v>
      </c>
      <c r="K1124" s="15" t="s">
        <v>123</v>
      </c>
    </row>
    <row r="1125" customFormat="false" ht="14.25" hidden="false" customHeight="false" outlineLevel="0" collapsed="false">
      <c r="A1125" s="15" t="s">
        <v>1621</v>
      </c>
      <c r="B1125" s="16" t="n">
        <v>45369</v>
      </c>
      <c r="C1125" s="15" t="s">
        <v>654</v>
      </c>
      <c r="D1125" s="15" t="s">
        <v>306</v>
      </c>
      <c r="E1125" s="15" t="s">
        <v>109</v>
      </c>
      <c r="F1125" s="17" t="n">
        <v>4</v>
      </c>
      <c r="G1125" s="17" t="n">
        <v>2030</v>
      </c>
      <c r="H1125" s="17" t="n">
        <v>24.8</v>
      </c>
      <c r="I1125" s="17" t="n">
        <v>6106.24</v>
      </c>
      <c r="J1125" s="15" t="s">
        <v>104</v>
      </c>
      <c r="K1125" s="15" t="s">
        <v>123</v>
      </c>
    </row>
    <row r="1126" customFormat="false" ht="14.25" hidden="false" customHeight="false" outlineLevel="0" collapsed="false">
      <c r="A1126" s="15" t="s">
        <v>1622</v>
      </c>
      <c r="B1126" s="16" t="n">
        <v>45513</v>
      </c>
      <c r="C1126" s="15" t="s">
        <v>189</v>
      </c>
      <c r="D1126" s="15" t="s">
        <v>362</v>
      </c>
      <c r="E1126" s="15" t="s">
        <v>308</v>
      </c>
      <c r="F1126" s="17" t="n">
        <v>5</v>
      </c>
      <c r="G1126" s="17" t="n">
        <v>4060</v>
      </c>
      <c r="H1126" s="17" t="n">
        <v>9.1</v>
      </c>
      <c r="I1126" s="17" t="n">
        <v>18452.7</v>
      </c>
      <c r="J1126" s="15" t="s">
        <v>104</v>
      </c>
      <c r="K1126" s="15" t="s">
        <v>105</v>
      </c>
    </row>
    <row r="1127" customFormat="false" ht="14.25" hidden="false" customHeight="false" outlineLevel="0" collapsed="false">
      <c r="A1127" s="15" t="s">
        <v>1623</v>
      </c>
      <c r="B1127" s="16" t="n">
        <v>45438</v>
      </c>
      <c r="C1127" s="15" t="s">
        <v>418</v>
      </c>
      <c r="D1127" s="15" t="s">
        <v>306</v>
      </c>
      <c r="E1127" s="15" t="s">
        <v>263</v>
      </c>
      <c r="F1127" s="17" t="n">
        <v>9</v>
      </c>
      <c r="G1127" s="17" t="n">
        <v>2030</v>
      </c>
      <c r="H1127" s="17" t="n">
        <v>15.9</v>
      </c>
      <c r="I1127" s="17" t="n">
        <v>15365.07</v>
      </c>
      <c r="J1127" s="15" t="s">
        <v>104</v>
      </c>
      <c r="K1127" s="15" t="s">
        <v>99</v>
      </c>
    </row>
    <row r="1128" customFormat="false" ht="14.25" hidden="false" customHeight="false" outlineLevel="0" collapsed="false">
      <c r="A1128" s="15" t="s">
        <v>1624</v>
      </c>
      <c r="B1128" s="16" t="n">
        <v>45529</v>
      </c>
      <c r="C1128" s="15" t="s">
        <v>749</v>
      </c>
      <c r="D1128" s="15" t="s">
        <v>190</v>
      </c>
      <c r="E1128" s="15" t="s">
        <v>109</v>
      </c>
      <c r="F1128" s="17" t="n">
        <v>1</v>
      </c>
      <c r="G1128" s="17" t="n">
        <v>3350</v>
      </c>
      <c r="H1128" s="17" t="n">
        <v>23.2</v>
      </c>
      <c r="I1128" s="17" t="n">
        <v>2572.8</v>
      </c>
      <c r="J1128" s="15" t="s">
        <v>155</v>
      </c>
      <c r="K1128" s="15" t="s">
        <v>99</v>
      </c>
    </row>
    <row r="1129" customFormat="false" ht="14.25" hidden="false" customHeight="false" outlineLevel="0" collapsed="false">
      <c r="A1129" s="15" t="s">
        <v>1625</v>
      </c>
      <c r="B1129" s="16" t="n">
        <v>45634</v>
      </c>
      <c r="C1129" s="15" t="s">
        <v>465</v>
      </c>
      <c r="D1129" s="15" t="s">
        <v>214</v>
      </c>
      <c r="E1129" s="15" t="s">
        <v>114</v>
      </c>
      <c r="F1129" s="17" t="n">
        <v>4</v>
      </c>
      <c r="G1129" s="17" t="n">
        <v>660</v>
      </c>
      <c r="H1129" s="17" t="n">
        <v>27.1</v>
      </c>
      <c r="I1129" s="17" t="n">
        <v>1924.56</v>
      </c>
      <c r="J1129" s="15" t="s">
        <v>98</v>
      </c>
      <c r="K1129" s="15" t="s">
        <v>144</v>
      </c>
    </row>
    <row r="1130" customFormat="false" ht="14.25" hidden="false" customHeight="false" outlineLevel="0" collapsed="false">
      <c r="A1130" s="15" t="s">
        <v>1626</v>
      </c>
      <c r="B1130" s="16" t="n">
        <v>45441</v>
      </c>
      <c r="C1130" s="15" t="s">
        <v>272</v>
      </c>
      <c r="D1130" s="15" t="s">
        <v>287</v>
      </c>
      <c r="E1130" s="15" t="s">
        <v>109</v>
      </c>
      <c r="F1130" s="17" t="n">
        <v>3</v>
      </c>
      <c r="G1130" s="17" t="n">
        <v>3020</v>
      </c>
      <c r="H1130" s="17" t="n">
        <v>7.2</v>
      </c>
      <c r="I1130" s="17" t="n">
        <v>8407.68</v>
      </c>
      <c r="J1130" s="15" t="s">
        <v>98</v>
      </c>
      <c r="K1130" s="15" t="s">
        <v>110</v>
      </c>
    </row>
    <row r="1131" customFormat="false" ht="14.25" hidden="false" customHeight="false" outlineLevel="0" collapsed="false">
      <c r="A1131" s="15" t="s">
        <v>1627</v>
      </c>
      <c r="B1131" s="16" t="n">
        <v>45409</v>
      </c>
      <c r="C1131" s="15" t="s">
        <v>576</v>
      </c>
      <c r="D1131" s="15" t="s">
        <v>290</v>
      </c>
      <c r="E1131" s="15" t="s">
        <v>114</v>
      </c>
      <c r="F1131" s="17" t="n">
        <v>3</v>
      </c>
      <c r="G1131" s="17" t="n">
        <v>2660</v>
      </c>
      <c r="H1131" s="17" t="n">
        <v>0.2</v>
      </c>
      <c r="I1131" s="17" t="n">
        <v>7964.04</v>
      </c>
      <c r="J1131" s="15" t="s">
        <v>98</v>
      </c>
      <c r="K1131" s="15" t="s">
        <v>123</v>
      </c>
    </row>
    <row r="1132" customFormat="false" ht="14.25" hidden="false" customHeight="false" outlineLevel="0" collapsed="false">
      <c r="A1132" s="15" t="s">
        <v>1628</v>
      </c>
      <c r="B1132" s="16" t="n">
        <v>45650</v>
      </c>
      <c r="C1132" s="15" t="s">
        <v>967</v>
      </c>
      <c r="D1132" s="15" t="s">
        <v>193</v>
      </c>
      <c r="E1132" s="15" t="s">
        <v>114</v>
      </c>
      <c r="F1132" s="17" t="n">
        <v>4</v>
      </c>
      <c r="G1132" s="17" t="n">
        <v>1010</v>
      </c>
      <c r="H1132" s="17" t="n">
        <v>3.1</v>
      </c>
      <c r="I1132" s="17" t="n">
        <v>3914.76</v>
      </c>
      <c r="J1132" s="15" t="s">
        <v>98</v>
      </c>
      <c r="K1132" s="15" t="s">
        <v>123</v>
      </c>
    </row>
    <row r="1133" customFormat="false" ht="14.25" hidden="false" customHeight="false" outlineLevel="0" collapsed="false">
      <c r="A1133" s="15" t="s">
        <v>1629</v>
      </c>
      <c r="B1133" s="16" t="n">
        <v>45380</v>
      </c>
      <c r="C1133" s="15" t="s">
        <v>963</v>
      </c>
      <c r="D1133" s="15" t="s">
        <v>135</v>
      </c>
      <c r="E1133" s="15" t="s">
        <v>249</v>
      </c>
      <c r="F1133" s="17" t="n">
        <v>5</v>
      </c>
      <c r="G1133" s="17" t="n">
        <v>5490</v>
      </c>
      <c r="H1133" s="17" t="n">
        <v>3.6</v>
      </c>
      <c r="I1133" s="17" t="n">
        <v>26461.8</v>
      </c>
      <c r="J1133" s="15" t="s">
        <v>98</v>
      </c>
      <c r="K1133" s="15" t="s">
        <v>144</v>
      </c>
    </row>
    <row r="1134" customFormat="false" ht="14.25" hidden="false" customHeight="false" outlineLevel="0" collapsed="false">
      <c r="A1134" s="15" t="s">
        <v>1630</v>
      </c>
      <c r="B1134" s="16" t="n">
        <v>45322</v>
      </c>
      <c r="C1134" s="15" t="s">
        <v>171</v>
      </c>
      <c r="D1134" s="15" t="s">
        <v>162</v>
      </c>
      <c r="E1134" s="15" t="s">
        <v>132</v>
      </c>
      <c r="F1134" s="17" t="n">
        <v>1</v>
      </c>
      <c r="G1134" s="17" t="n">
        <v>2400</v>
      </c>
      <c r="H1134" s="17" t="n">
        <v>24.3</v>
      </c>
      <c r="I1134" s="17" t="n">
        <v>1816.8</v>
      </c>
      <c r="J1134" s="15" t="s">
        <v>98</v>
      </c>
      <c r="K1134" s="15" t="s">
        <v>123</v>
      </c>
    </row>
    <row r="1135" customFormat="false" ht="14.25" hidden="false" customHeight="false" outlineLevel="0" collapsed="false">
      <c r="A1135" s="15" t="s">
        <v>1631</v>
      </c>
      <c r="B1135" s="16" t="n">
        <v>45532</v>
      </c>
      <c r="C1135" s="15" t="s">
        <v>370</v>
      </c>
      <c r="D1135" s="15" t="s">
        <v>214</v>
      </c>
      <c r="E1135" s="15" t="s">
        <v>215</v>
      </c>
      <c r="F1135" s="17" t="n">
        <v>8</v>
      </c>
      <c r="G1135" s="17" t="n">
        <v>660</v>
      </c>
      <c r="H1135" s="17" t="n">
        <v>19.8</v>
      </c>
      <c r="I1135" s="17" t="n">
        <v>4234.56</v>
      </c>
      <c r="J1135" s="15" t="s">
        <v>98</v>
      </c>
      <c r="K1135" s="15" t="s">
        <v>110</v>
      </c>
    </row>
    <row r="1136" customFormat="false" ht="14.25" hidden="false" customHeight="false" outlineLevel="0" collapsed="false">
      <c r="A1136" s="15" t="s">
        <v>1632</v>
      </c>
      <c r="B1136" s="16" t="n">
        <v>45504</v>
      </c>
      <c r="C1136" s="15" t="s">
        <v>1305</v>
      </c>
      <c r="D1136" s="15" t="s">
        <v>375</v>
      </c>
      <c r="E1136" s="15" t="s">
        <v>357</v>
      </c>
      <c r="F1136" s="17" t="n">
        <v>9</v>
      </c>
      <c r="G1136" s="17" t="n">
        <v>5330</v>
      </c>
      <c r="H1136" s="17" t="n">
        <v>16.5</v>
      </c>
      <c r="I1136" s="17" t="n">
        <v>40054.95</v>
      </c>
      <c r="J1136" s="15" t="s">
        <v>98</v>
      </c>
      <c r="K1136" s="15" t="s">
        <v>105</v>
      </c>
    </row>
    <row r="1137" customFormat="false" ht="14.25" hidden="false" customHeight="false" outlineLevel="0" collapsed="false">
      <c r="A1137" s="15" t="s">
        <v>1301</v>
      </c>
      <c r="B1137" s="16" t="n">
        <v>45516</v>
      </c>
      <c r="C1137" s="15" t="s">
        <v>600</v>
      </c>
      <c r="D1137" s="15" t="s">
        <v>149</v>
      </c>
      <c r="E1137" s="15" t="s">
        <v>97</v>
      </c>
      <c r="F1137" s="17" t="n">
        <v>5</v>
      </c>
      <c r="G1137" s="17" t="n">
        <v>2600</v>
      </c>
      <c r="H1137" s="17" t="n">
        <v>0.3</v>
      </c>
      <c r="I1137" s="17" t="n">
        <v>12961</v>
      </c>
      <c r="J1137" s="15" t="s">
        <v>98</v>
      </c>
      <c r="K1137" s="15" t="s">
        <v>105</v>
      </c>
    </row>
    <row r="1138" customFormat="false" ht="14.25" hidden="false" customHeight="false" outlineLevel="0" collapsed="false">
      <c r="A1138" s="15" t="s">
        <v>1633</v>
      </c>
      <c r="B1138" s="16" t="n">
        <v>45462</v>
      </c>
      <c r="C1138" s="15" t="s">
        <v>1634</v>
      </c>
      <c r="D1138" s="15" t="s">
        <v>454</v>
      </c>
      <c r="E1138" s="15" t="s">
        <v>314</v>
      </c>
      <c r="F1138" s="17" t="n">
        <v>4</v>
      </c>
      <c r="G1138" s="17" t="n">
        <v>5080</v>
      </c>
      <c r="H1138" s="17" t="n">
        <v>13.8</v>
      </c>
      <c r="I1138" s="17" t="n">
        <v>17515.84</v>
      </c>
      <c r="J1138" s="15" t="s">
        <v>104</v>
      </c>
      <c r="K1138" s="15" t="s">
        <v>128</v>
      </c>
    </row>
    <row r="1139" customFormat="false" ht="14.25" hidden="false" customHeight="false" outlineLevel="0" collapsed="false">
      <c r="A1139" s="15" t="s">
        <v>1635</v>
      </c>
      <c r="B1139" s="16" t="n">
        <v>45597</v>
      </c>
      <c r="C1139" s="15" t="s">
        <v>1261</v>
      </c>
      <c r="D1139" s="15" t="s">
        <v>378</v>
      </c>
      <c r="E1139" s="15" t="s">
        <v>308</v>
      </c>
      <c r="F1139" s="17" t="n">
        <v>7</v>
      </c>
      <c r="G1139" s="17" t="n">
        <v>2380</v>
      </c>
      <c r="H1139" s="17" t="n">
        <v>15.5</v>
      </c>
      <c r="I1139" s="17" t="n">
        <v>14077.7</v>
      </c>
      <c r="J1139" s="15" t="s">
        <v>98</v>
      </c>
      <c r="K1139" s="15" t="s">
        <v>99</v>
      </c>
    </row>
    <row r="1140" customFormat="false" ht="14.25" hidden="false" customHeight="false" outlineLevel="0" collapsed="false">
      <c r="A1140" s="15" t="s">
        <v>1636</v>
      </c>
      <c r="B1140" s="16" t="n">
        <v>45648</v>
      </c>
      <c r="C1140" s="15" t="s">
        <v>258</v>
      </c>
      <c r="D1140" s="15" t="s">
        <v>195</v>
      </c>
      <c r="E1140" s="15" t="s">
        <v>114</v>
      </c>
      <c r="F1140" s="17" t="n">
        <v>3</v>
      </c>
      <c r="G1140" s="17" t="n">
        <v>4880</v>
      </c>
      <c r="H1140" s="17" t="n">
        <v>6.1</v>
      </c>
      <c r="I1140" s="17" t="n">
        <v>13746.96</v>
      </c>
      <c r="J1140" s="15" t="s">
        <v>98</v>
      </c>
      <c r="K1140" s="15" t="s">
        <v>128</v>
      </c>
    </row>
    <row r="1141" customFormat="false" ht="14.25" hidden="false" customHeight="false" outlineLevel="0" collapsed="false">
      <c r="A1141" s="15" t="s">
        <v>1637</v>
      </c>
      <c r="B1141" s="16" t="n">
        <v>45355</v>
      </c>
      <c r="C1141" s="15" t="s">
        <v>775</v>
      </c>
      <c r="D1141" s="15" t="s">
        <v>190</v>
      </c>
      <c r="E1141" s="15" t="s">
        <v>215</v>
      </c>
      <c r="F1141" s="17" t="n">
        <v>2</v>
      </c>
      <c r="G1141" s="17" t="n">
        <v>3350</v>
      </c>
      <c r="H1141" s="17" t="n">
        <v>17.2</v>
      </c>
      <c r="I1141" s="17" t="n">
        <v>5547.6</v>
      </c>
      <c r="J1141" s="15" t="s">
        <v>98</v>
      </c>
      <c r="K1141" s="15" t="s">
        <v>105</v>
      </c>
    </row>
    <row r="1142" customFormat="false" ht="14.25" hidden="false" customHeight="false" outlineLevel="0" collapsed="false">
      <c r="A1142" s="15" t="s">
        <v>1638</v>
      </c>
      <c r="B1142" s="16" t="n">
        <v>45331</v>
      </c>
      <c r="C1142" s="15" t="s">
        <v>1639</v>
      </c>
      <c r="D1142" s="15" t="s">
        <v>138</v>
      </c>
      <c r="E1142" s="15" t="s">
        <v>127</v>
      </c>
      <c r="F1142" s="17" t="n">
        <v>5</v>
      </c>
      <c r="G1142" s="17" t="n">
        <v>970</v>
      </c>
      <c r="H1142" s="17" t="n">
        <v>23.6</v>
      </c>
      <c r="I1142" s="17" t="n">
        <v>3705.4</v>
      </c>
      <c r="J1142" s="15" t="s">
        <v>98</v>
      </c>
      <c r="K1142" s="15" t="s">
        <v>105</v>
      </c>
    </row>
    <row r="1143" customFormat="false" ht="14.25" hidden="false" customHeight="false" outlineLevel="0" collapsed="false">
      <c r="A1143" s="15" t="s">
        <v>1640</v>
      </c>
      <c r="B1143" s="16" t="n">
        <v>45632</v>
      </c>
      <c r="C1143" s="15" t="s">
        <v>329</v>
      </c>
      <c r="D1143" s="15" t="s">
        <v>293</v>
      </c>
      <c r="E1143" s="15" t="s">
        <v>296</v>
      </c>
      <c r="F1143" s="17" t="n">
        <v>5</v>
      </c>
      <c r="G1143" s="17" t="n">
        <v>300</v>
      </c>
      <c r="H1143" s="17" t="n">
        <v>3.8</v>
      </c>
      <c r="I1143" s="17" t="n">
        <v>1443</v>
      </c>
      <c r="J1143" s="15" t="s">
        <v>98</v>
      </c>
      <c r="K1143" s="15" t="s">
        <v>105</v>
      </c>
    </row>
    <row r="1144" customFormat="false" ht="14.25" hidden="false" customHeight="false" outlineLevel="0" collapsed="false">
      <c r="A1144" s="15" t="s">
        <v>1641</v>
      </c>
      <c r="B1144" s="16" t="n">
        <v>45358</v>
      </c>
      <c r="C1144" s="15" t="s">
        <v>570</v>
      </c>
      <c r="D1144" s="15" t="s">
        <v>419</v>
      </c>
      <c r="E1144" s="15" t="s">
        <v>103</v>
      </c>
      <c r="F1144" s="17" t="n">
        <v>9</v>
      </c>
      <c r="G1144" s="17" t="n">
        <v>3970</v>
      </c>
      <c r="H1144" s="17" t="n">
        <v>0.8</v>
      </c>
      <c r="I1144" s="17" t="n">
        <v>35444.16</v>
      </c>
      <c r="J1144" s="15" t="s">
        <v>98</v>
      </c>
      <c r="K1144" s="15" t="s">
        <v>99</v>
      </c>
    </row>
    <row r="1145" customFormat="false" ht="14.25" hidden="false" customHeight="false" outlineLevel="0" collapsed="false">
      <c r="A1145" s="15" t="s">
        <v>1642</v>
      </c>
      <c r="B1145" s="16" t="n">
        <v>45440</v>
      </c>
      <c r="C1145" s="15" t="s">
        <v>1132</v>
      </c>
      <c r="D1145" s="15" t="s">
        <v>184</v>
      </c>
      <c r="E1145" s="15" t="s">
        <v>263</v>
      </c>
      <c r="F1145" s="17" t="n">
        <v>4</v>
      </c>
      <c r="G1145" s="17" t="n">
        <v>2720</v>
      </c>
      <c r="H1145" s="17" t="n">
        <v>12.7</v>
      </c>
      <c r="I1145" s="17" t="n">
        <v>9498.24</v>
      </c>
      <c r="J1145" s="15" t="s">
        <v>98</v>
      </c>
      <c r="K1145" s="15" t="s">
        <v>123</v>
      </c>
    </row>
    <row r="1146" customFormat="false" ht="14.25" hidden="false" customHeight="false" outlineLevel="0" collapsed="false">
      <c r="A1146" s="15" t="s">
        <v>1643</v>
      </c>
      <c r="B1146" s="16" t="n">
        <v>45412</v>
      </c>
      <c r="C1146" s="15" t="s">
        <v>286</v>
      </c>
      <c r="D1146" s="15" t="s">
        <v>303</v>
      </c>
      <c r="E1146" s="15" t="s">
        <v>169</v>
      </c>
      <c r="F1146" s="17" t="n">
        <v>3</v>
      </c>
      <c r="G1146" s="17" t="n">
        <v>620</v>
      </c>
      <c r="H1146" s="17" t="n">
        <v>5.5</v>
      </c>
      <c r="I1146" s="17" t="n">
        <v>1757.7</v>
      </c>
      <c r="J1146" s="15" t="s">
        <v>98</v>
      </c>
      <c r="K1146" s="15" t="s">
        <v>99</v>
      </c>
    </row>
    <row r="1147" customFormat="false" ht="14.25" hidden="false" customHeight="false" outlineLevel="0" collapsed="false">
      <c r="A1147" s="15" t="s">
        <v>1644</v>
      </c>
      <c r="B1147" s="16" t="n">
        <v>45479</v>
      </c>
      <c r="C1147" s="15" t="s">
        <v>189</v>
      </c>
      <c r="D1147" s="15" t="s">
        <v>270</v>
      </c>
      <c r="E1147" s="15" t="s">
        <v>127</v>
      </c>
      <c r="F1147" s="17" t="n">
        <v>2</v>
      </c>
      <c r="G1147" s="17" t="n">
        <v>1540</v>
      </c>
      <c r="H1147" s="17" t="n">
        <v>2.2</v>
      </c>
      <c r="I1147" s="17" t="n">
        <v>3012.24</v>
      </c>
      <c r="J1147" s="15" t="s">
        <v>104</v>
      </c>
      <c r="K1147" s="15" t="s">
        <v>105</v>
      </c>
    </row>
    <row r="1148" customFormat="false" ht="14.25" hidden="false" customHeight="false" outlineLevel="0" collapsed="false">
      <c r="A1148" s="15" t="s">
        <v>1645</v>
      </c>
      <c r="B1148" s="16" t="n">
        <v>45534</v>
      </c>
      <c r="C1148" s="15" t="s">
        <v>323</v>
      </c>
      <c r="D1148" s="15" t="s">
        <v>397</v>
      </c>
      <c r="E1148" s="15" t="s">
        <v>212</v>
      </c>
      <c r="F1148" s="17" t="n">
        <v>1</v>
      </c>
      <c r="G1148" s="17" t="n">
        <v>2290</v>
      </c>
      <c r="H1148" s="17" t="n">
        <v>24.4</v>
      </c>
      <c r="I1148" s="17" t="n">
        <v>1731.24</v>
      </c>
      <c r="J1148" s="15" t="s">
        <v>151</v>
      </c>
      <c r="K1148" s="15" t="s">
        <v>144</v>
      </c>
    </row>
    <row r="1149" customFormat="false" ht="14.25" hidden="false" customHeight="false" outlineLevel="0" collapsed="false">
      <c r="A1149" s="15" t="s">
        <v>1646</v>
      </c>
      <c r="B1149" s="16" t="n">
        <v>45313</v>
      </c>
      <c r="C1149" s="15" t="s">
        <v>736</v>
      </c>
      <c r="D1149" s="15" t="s">
        <v>184</v>
      </c>
      <c r="E1149" s="15" t="s">
        <v>314</v>
      </c>
      <c r="F1149" s="17" t="n">
        <v>8</v>
      </c>
      <c r="G1149" s="17" t="n">
        <v>2720</v>
      </c>
      <c r="H1149" s="17" t="n">
        <v>1.7</v>
      </c>
      <c r="I1149" s="17" t="n">
        <v>21390.08</v>
      </c>
      <c r="J1149" s="15" t="s">
        <v>98</v>
      </c>
      <c r="K1149" s="15" t="s">
        <v>110</v>
      </c>
    </row>
    <row r="1150" customFormat="false" ht="14.25" hidden="false" customHeight="false" outlineLevel="0" collapsed="false">
      <c r="A1150" s="15" t="s">
        <v>1647</v>
      </c>
      <c r="B1150" s="16" t="n">
        <v>45390</v>
      </c>
      <c r="C1150" s="15" t="s">
        <v>1545</v>
      </c>
      <c r="D1150" s="15" t="s">
        <v>362</v>
      </c>
      <c r="E1150" s="15" t="s">
        <v>165</v>
      </c>
      <c r="F1150" s="17" t="n">
        <v>4</v>
      </c>
      <c r="G1150" s="17" t="n">
        <v>4060</v>
      </c>
      <c r="H1150" s="17" t="n">
        <v>19.6</v>
      </c>
      <c r="I1150" s="17" t="n">
        <v>13056.96</v>
      </c>
      <c r="J1150" s="15" t="s">
        <v>151</v>
      </c>
      <c r="K1150" s="15" t="s">
        <v>144</v>
      </c>
    </row>
    <row r="1151" customFormat="false" ht="14.25" hidden="false" customHeight="false" outlineLevel="0" collapsed="false">
      <c r="A1151" s="15" t="s">
        <v>1648</v>
      </c>
      <c r="B1151" s="16" t="n">
        <v>45370</v>
      </c>
      <c r="C1151" s="15" t="s">
        <v>353</v>
      </c>
      <c r="D1151" s="15" t="s">
        <v>198</v>
      </c>
      <c r="E1151" s="15" t="s">
        <v>357</v>
      </c>
      <c r="F1151" s="17" t="n">
        <v>8</v>
      </c>
      <c r="G1151" s="17" t="n">
        <v>3570</v>
      </c>
      <c r="H1151" s="17" t="n">
        <v>10.8</v>
      </c>
      <c r="I1151" s="17" t="n">
        <v>25475.52</v>
      </c>
      <c r="J1151" s="15" t="s">
        <v>98</v>
      </c>
      <c r="K1151" s="15" t="s">
        <v>105</v>
      </c>
    </row>
    <row r="1152" customFormat="false" ht="14.25" hidden="false" customHeight="false" outlineLevel="0" collapsed="false">
      <c r="A1152" s="15" t="s">
        <v>1649</v>
      </c>
      <c r="B1152" s="16" t="n">
        <v>45324</v>
      </c>
      <c r="C1152" s="15" t="s">
        <v>440</v>
      </c>
      <c r="D1152" s="15" t="s">
        <v>172</v>
      </c>
      <c r="E1152" s="15" t="s">
        <v>150</v>
      </c>
      <c r="F1152" s="17" t="n">
        <v>10</v>
      </c>
      <c r="G1152" s="17" t="n">
        <v>3450</v>
      </c>
      <c r="H1152" s="17" t="n">
        <v>13.5</v>
      </c>
      <c r="I1152" s="17" t="n">
        <v>29842.5</v>
      </c>
      <c r="J1152" s="15" t="s">
        <v>104</v>
      </c>
      <c r="K1152" s="15" t="s">
        <v>128</v>
      </c>
    </row>
    <row r="1153" customFormat="false" ht="14.25" hidden="false" customHeight="false" outlineLevel="0" collapsed="false">
      <c r="A1153" s="15" t="s">
        <v>1650</v>
      </c>
      <c r="B1153" s="16" t="n">
        <v>45469</v>
      </c>
      <c r="C1153" s="15" t="s">
        <v>431</v>
      </c>
      <c r="D1153" s="15" t="s">
        <v>146</v>
      </c>
      <c r="E1153" s="15" t="s">
        <v>97</v>
      </c>
      <c r="F1153" s="17" t="n">
        <v>10</v>
      </c>
      <c r="G1153" s="17" t="n">
        <v>2640</v>
      </c>
      <c r="H1153" s="17" t="n">
        <v>29.8</v>
      </c>
      <c r="I1153" s="17" t="n">
        <v>18532.8</v>
      </c>
      <c r="J1153" s="15" t="s">
        <v>98</v>
      </c>
      <c r="K1153" s="15" t="s">
        <v>110</v>
      </c>
    </row>
    <row r="1154" customFormat="false" ht="14.25" hidden="false" customHeight="false" outlineLevel="0" collapsed="false">
      <c r="A1154" s="15" t="s">
        <v>1651</v>
      </c>
      <c r="B1154" s="16" t="n">
        <v>45619</v>
      </c>
      <c r="C1154" s="15" t="s">
        <v>265</v>
      </c>
      <c r="D1154" s="15" t="s">
        <v>121</v>
      </c>
      <c r="E1154" s="15" t="s">
        <v>215</v>
      </c>
      <c r="F1154" s="17" t="n">
        <v>3</v>
      </c>
      <c r="G1154" s="17" t="n">
        <v>370</v>
      </c>
      <c r="H1154" s="17" t="n">
        <v>25.5</v>
      </c>
      <c r="I1154" s="17" t="n">
        <v>826.95</v>
      </c>
      <c r="J1154" s="15" t="s">
        <v>98</v>
      </c>
      <c r="K1154" s="15" t="s">
        <v>105</v>
      </c>
    </row>
    <row r="1155" customFormat="false" ht="14.25" hidden="false" customHeight="false" outlineLevel="0" collapsed="false">
      <c r="A1155" s="15" t="s">
        <v>1652</v>
      </c>
      <c r="B1155" s="16" t="n">
        <v>45627</v>
      </c>
      <c r="C1155" s="15" t="s">
        <v>515</v>
      </c>
      <c r="D1155" s="15" t="s">
        <v>278</v>
      </c>
      <c r="E1155" s="15" t="s">
        <v>181</v>
      </c>
      <c r="F1155" s="17" t="n">
        <v>3</v>
      </c>
      <c r="G1155" s="17" t="n">
        <v>1220</v>
      </c>
      <c r="H1155" s="17" t="n">
        <v>7.7</v>
      </c>
      <c r="I1155" s="17" t="n">
        <v>3378.18</v>
      </c>
      <c r="J1155" s="15" t="s">
        <v>104</v>
      </c>
      <c r="K1155" s="15" t="s">
        <v>128</v>
      </c>
    </row>
    <row r="1156" customFormat="false" ht="14.25" hidden="false" customHeight="false" outlineLevel="0" collapsed="false">
      <c r="A1156" s="15" t="s">
        <v>1653</v>
      </c>
      <c r="B1156" s="16" t="n">
        <v>45499</v>
      </c>
      <c r="C1156" s="15" t="s">
        <v>468</v>
      </c>
      <c r="D1156" s="15" t="s">
        <v>146</v>
      </c>
      <c r="E1156" s="15" t="s">
        <v>296</v>
      </c>
      <c r="F1156" s="17" t="n">
        <v>1</v>
      </c>
      <c r="G1156" s="17" t="n">
        <v>2640</v>
      </c>
      <c r="H1156" s="17" t="n">
        <v>23.6</v>
      </c>
      <c r="I1156" s="17" t="n">
        <v>2016.96</v>
      </c>
      <c r="J1156" s="15" t="s">
        <v>98</v>
      </c>
      <c r="K1156" s="15" t="s">
        <v>99</v>
      </c>
    </row>
    <row r="1157" customFormat="false" ht="14.25" hidden="false" customHeight="false" outlineLevel="0" collapsed="false">
      <c r="A1157" s="15" t="s">
        <v>1654</v>
      </c>
      <c r="B1157" s="16" t="n">
        <v>45563</v>
      </c>
      <c r="C1157" s="15" t="s">
        <v>120</v>
      </c>
      <c r="D1157" s="15" t="s">
        <v>202</v>
      </c>
      <c r="E1157" s="15" t="s">
        <v>284</v>
      </c>
      <c r="F1157" s="17" t="n">
        <v>9</v>
      </c>
      <c r="G1157" s="17" t="n">
        <v>5100</v>
      </c>
      <c r="H1157" s="17" t="n">
        <v>9.5</v>
      </c>
      <c r="I1157" s="17" t="n">
        <v>41539.5</v>
      </c>
      <c r="J1157" s="15" t="s">
        <v>98</v>
      </c>
      <c r="K1157" s="15" t="s">
        <v>123</v>
      </c>
    </row>
    <row r="1158" customFormat="false" ht="14.25" hidden="false" customHeight="false" outlineLevel="0" collapsed="false">
      <c r="A1158" s="15" t="s">
        <v>1655</v>
      </c>
      <c r="B1158" s="16" t="n">
        <v>45435</v>
      </c>
      <c r="C1158" s="15" t="s">
        <v>775</v>
      </c>
      <c r="D1158" s="15" t="s">
        <v>252</v>
      </c>
      <c r="E1158" s="15" t="s">
        <v>118</v>
      </c>
      <c r="F1158" s="17" t="n">
        <v>7</v>
      </c>
      <c r="G1158" s="17" t="n">
        <v>6080</v>
      </c>
      <c r="H1158" s="17" t="n">
        <v>17.5</v>
      </c>
      <c r="I1158" s="17" t="n">
        <v>35112</v>
      </c>
      <c r="J1158" s="15" t="s">
        <v>98</v>
      </c>
      <c r="K1158" s="15" t="s">
        <v>105</v>
      </c>
    </row>
    <row r="1159" customFormat="false" ht="14.25" hidden="false" customHeight="false" outlineLevel="0" collapsed="false">
      <c r="A1159" s="15" t="s">
        <v>1656</v>
      </c>
      <c r="B1159" s="16" t="n">
        <v>45602</v>
      </c>
      <c r="C1159" s="15" t="s">
        <v>498</v>
      </c>
      <c r="D1159" s="15" t="s">
        <v>293</v>
      </c>
      <c r="E1159" s="15" t="s">
        <v>212</v>
      </c>
      <c r="F1159" s="17" t="n">
        <v>1</v>
      </c>
      <c r="G1159" s="17" t="n">
        <v>300</v>
      </c>
      <c r="H1159" s="17" t="n">
        <v>26.9</v>
      </c>
      <c r="I1159" s="17" t="n">
        <v>219.3</v>
      </c>
      <c r="J1159" s="15" t="s">
        <v>98</v>
      </c>
      <c r="K1159" s="15" t="s">
        <v>99</v>
      </c>
    </row>
    <row r="1160" customFormat="false" ht="14.25" hidden="false" customHeight="false" outlineLevel="0" collapsed="false">
      <c r="A1160" s="15" t="s">
        <v>1657</v>
      </c>
      <c r="B1160" s="16" t="n">
        <v>45650</v>
      </c>
      <c r="C1160" s="15" t="s">
        <v>399</v>
      </c>
      <c r="D1160" s="15" t="s">
        <v>287</v>
      </c>
      <c r="E1160" s="15" t="s">
        <v>203</v>
      </c>
      <c r="F1160" s="17" t="n">
        <v>6</v>
      </c>
      <c r="G1160" s="17" t="n">
        <v>3020</v>
      </c>
      <c r="H1160" s="17" t="n">
        <v>28.5</v>
      </c>
      <c r="I1160" s="17" t="n">
        <v>12955.8</v>
      </c>
      <c r="J1160" s="15" t="s">
        <v>98</v>
      </c>
      <c r="K1160" s="15" t="s">
        <v>144</v>
      </c>
    </row>
    <row r="1161" customFormat="false" ht="14.25" hidden="false" customHeight="false" outlineLevel="0" collapsed="false">
      <c r="A1161" s="15" t="s">
        <v>1658</v>
      </c>
      <c r="B1161" s="16" t="n">
        <v>45294</v>
      </c>
      <c r="C1161" s="15" t="s">
        <v>230</v>
      </c>
      <c r="D1161" s="15" t="s">
        <v>293</v>
      </c>
      <c r="E1161" s="15" t="s">
        <v>314</v>
      </c>
      <c r="F1161" s="17" t="n">
        <v>8</v>
      </c>
      <c r="G1161" s="17" t="n">
        <v>300</v>
      </c>
      <c r="H1161" s="17" t="n">
        <v>1.2</v>
      </c>
      <c r="I1161" s="17" t="n">
        <v>2371.2</v>
      </c>
      <c r="J1161" s="15" t="s">
        <v>98</v>
      </c>
      <c r="K1161" s="15" t="s">
        <v>110</v>
      </c>
    </row>
    <row r="1162" customFormat="false" ht="14.25" hidden="false" customHeight="false" outlineLevel="0" collapsed="false">
      <c r="A1162" s="15" t="s">
        <v>1659</v>
      </c>
      <c r="B1162" s="16" t="n">
        <v>45523</v>
      </c>
      <c r="C1162" s="15" t="s">
        <v>848</v>
      </c>
      <c r="D1162" s="15" t="s">
        <v>190</v>
      </c>
      <c r="E1162" s="15" t="s">
        <v>284</v>
      </c>
      <c r="F1162" s="17" t="n">
        <v>9</v>
      </c>
      <c r="G1162" s="17" t="n">
        <v>3350</v>
      </c>
      <c r="H1162" s="17" t="n">
        <v>0.6</v>
      </c>
      <c r="I1162" s="17" t="n">
        <v>29969.1</v>
      </c>
      <c r="J1162" s="15" t="s">
        <v>155</v>
      </c>
      <c r="K1162" s="15" t="s">
        <v>128</v>
      </c>
    </row>
    <row r="1163" customFormat="false" ht="14.25" hidden="false" customHeight="false" outlineLevel="0" collapsed="false">
      <c r="A1163" s="15" t="s">
        <v>1660</v>
      </c>
      <c r="B1163" s="16" t="n">
        <v>45479</v>
      </c>
      <c r="C1163" s="15" t="s">
        <v>1014</v>
      </c>
      <c r="D1163" s="15" t="s">
        <v>275</v>
      </c>
      <c r="E1163" s="15" t="s">
        <v>127</v>
      </c>
      <c r="F1163" s="17" t="n">
        <v>4</v>
      </c>
      <c r="G1163" s="17" t="n">
        <v>4070</v>
      </c>
      <c r="H1163" s="17" t="n">
        <v>10.1</v>
      </c>
      <c r="I1163" s="17" t="n">
        <v>14635.72</v>
      </c>
      <c r="J1163" s="15" t="s">
        <v>98</v>
      </c>
      <c r="K1163" s="15" t="s">
        <v>110</v>
      </c>
    </row>
    <row r="1164" customFormat="false" ht="14.25" hidden="false" customHeight="false" outlineLevel="0" collapsed="false">
      <c r="A1164" s="15" t="s">
        <v>1661</v>
      </c>
      <c r="B1164" s="16" t="n">
        <v>45614</v>
      </c>
      <c r="C1164" s="15" t="s">
        <v>1319</v>
      </c>
      <c r="D1164" s="15" t="s">
        <v>472</v>
      </c>
      <c r="E1164" s="15" t="s">
        <v>127</v>
      </c>
      <c r="F1164" s="17" t="n">
        <v>9</v>
      </c>
      <c r="G1164" s="17" t="n">
        <v>3780</v>
      </c>
      <c r="H1164" s="17" t="n">
        <v>27.8</v>
      </c>
      <c r="I1164" s="17" t="n">
        <v>24562.44</v>
      </c>
      <c r="J1164" s="15" t="s">
        <v>151</v>
      </c>
      <c r="K1164" s="15" t="s">
        <v>105</v>
      </c>
    </row>
    <row r="1165" customFormat="false" ht="14.25" hidden="false" customHeight="false" outlineLevel="0" collapsed="false">
      <c r="A1165" s="15" t="s">
        <v>1662</v>
      </c>
      <c r="B1165" s="16" t="n">
        <v>45407</v>
      </c>
      <c r="C1165" s="15" t="s">
        <v>205</v>
      </c>
      <c r="D1165" s="15" t="s">
        <v>175</v>
      </c>
      <c r="E1165" s="15" t="s">
        <v>181</v>
      </c>
      <c r="F1165" s="17" t="n">
        <v>6</v>
      </c>
      <c r="G1165" s="17" t="n">
        <v>1080</v>
      </c>
      <c r="H1165" s="17" t="n">
        <v>17.5</v>
      </c>
      <c r="I1165" s="17" t="n">
        <v>5346</v>
      </c>
      <c r="J1165" s="15" t="s">
        <v>98</v>
      </c>
      <c r="K1165" s="15" t="s">
        <v>99</v>
      </c>
    </row>
    <row r="1166" customFormat="false" ht="14.25" hidden="false" customHeight="false" outlineLevel="0" collapsed="false">
      <c r="A1166" s="15" t="s">
        <v>1663</v>
      </c>
      <c r="B1166" s="16" t="n">
        <v>45603</v>
      </c>
      <c r="C1166" s="15" t="s">
        <v>440</v>
      </c>
      <c r="D1166" s="15" t="s">
        <v>149</v>
      </c>
      <c r="E1166" s="15" t="s">
        <v>165</v>
      </c>
      <c r="F1166" s="17" t="n">
        <v>3</v>
      </c>
      <c r="G1166" s="17" t="n">
        <v>2600</v>
      </c>
      <c r="H1166" s="17" t="n">
        <v>1.9</v>
      </c>
      <c r="I1166" s="17" t="n">
        <v>7651.8</v>
      </c>
      <c r="J1166" s="15" t="s">
        <v>98</v>
      </c>
      <c r="K1166" s="15" t="s">
        <v>128</v>
      </c>
    </row>
    <row r="1167" customFormat="false" ht="14.25" hidden="false" customHeight="false" outlineLevel="0" collapsed="false">
      <c r="A1167" s="15" t="s">
        <v>1664</v>
      </c>
      <c r="B1167" s="16" t="n">
        <v>45375</v>
      </c>
      <c r="C1167" s="15" t="s">
        <v>808</v>
      </c>
      <c r="D1167" s="15" t="s">
        <v>184</v>
      </c>
      <c r="E1167" s="15" t="s">
        <v>118</v>
      </c>
      <c r="F1167" s="17" t="n">
        <v>5</v>
      </c>
      <c r="G1167" s="17" t="n">
        <v>2720</v>
      </c>
      <c r="H1167" s="17" t="n">
        <v>1.8</v>
      </c>
      <c r="I1167" s="17" t="n">
        <v>13355.2</v>
      </c>
      <c r="J1167" s="15" t="s">
        <v>151</v>
      </c>
      <c r="K1167" s="15" t="s">
        <v>110</v>
      </c>
    </row>
    <row r="1168" customFormat="false" ht="14.25" hidden="false" customHeight="false" outlineLevel="0" collapsed="false">
      <c r="A1168" s="15" t="s">
        <v>1665</v>
      </c>
      <c r="B1168" s="16" t="n">
        <v>45485</v>
      </c>
      <c r="C1168" s="15" t="s">
        <v>389</v>
      </c>
      <c r="D1168" s="15" t="s">
        <v>113</v>
      </c>
      <c r="E1168" s="15" t="s">
        <v>336</v>
      </c>
      <c r="F1168" s="17" t="n">
        <v>8</v>
      </c>
      <c r="G1168" s="17" t="n">
        <v>3660</v>
      </c>
      <c r="H1168" s="17" t="n">
        <v>29.5</v>
      </c>
      <c r="I1168" s="17" t="n">
        <v>20642.4</v>
      </c>
      <c r="J1168" s="15" t="s">
        <v>98</v>
      </c>
      <c r="K1168" s="15" t="s">
        <v>105</v>
      </c>
    </row>
    <row r="1169" customFormat="false" ht="14.25" hidden="false" customHeight="false" outlineLevel="0" collapsed="false">
      <c r="A1169" s="15" t="s">
        <v>1666</v>
      </c>
      <c r="B1169" s="16" t="n">
        <v>45567</v>
      </c>
      <c r="C1169" s="15" t="s">
        <v>396</v>
      </c>
      <c r="D1169" s="15" t="s">
        <v>187</v>
      </c>
      <c r="E1169" s="15" t="s">
        <v>103</v>
      </c>
      <c r="F1169" s="17" t="n">
        <v>9</v>
      </c>
      <c r="G1169" s="17" t="n">
        <v>1650</v>
      </c>
      <c r="H1169" s="17" t="n">
        <v>19.8</v>
      </c>
      <c r="I1169" s="17" t="n">
        <v>11909.7</v>
      </c>
      <c r="J1169" s="15" t="s">
        <v>155</v>
      </c>
      <c r="K1169" s="15" t="s">
        <v>128</v>
      </c>
    </row>
    <row r="1170" customFormat="false" ht="14.25" hidden="false" customHeight="false" outlineLevel="0" collapsed="false">
      <c r="A1170" s="15" t="s">
        <v>1667</v>
      </c>
      <c r="B1170" s="16" t="n">
        <v>45502</v>
      </c>
      <c r="C1170" s="15" t="s">
        <v>344</v>
      </c>
      <c r="D1170" s="15" t="s">
        <v>206</v>
      </c>
      <c r="E1170" s="15" t="s">
        <v>132</v>
      </c>
      <c r="F1170" s="17" t="n">
        <v>3</v>
      </c>
      <c r="G1170" s="17" t="n">
        <v>2860</v>
      </c>
      <c r="H1170" s="17" t="n">
        <v>22.7</v>
      </c>
      <c r="I1170" s="17" t="n">
        <v>6632.34</v>
      </c>
      <c r="J1170" s="15" t="s">
        <v>98</v>
      </c>
      <c r="K1170" s="15" t="s">
        <v>144</v>
      </c>
    </row>
    <row r="1171" customFormat="false" ht="14.25" hidden="false" customHeight="false" outlineLevel="0" collapsed="false">
      <c r="A1171" s="15" t="s">
        <v>1668</v>
      </c>
      <c r="B1171" s="16" t="n">
        <v>45429</v>
      </c>
      <c r="C1171" s="15" t="s">
        <v>1058</v>
      </c>
      <c r="D1171" s="15" t="s">
        <v>172</v>
      </c>
      <c r="E1171" s="15" t="s">
        <v>122</v>
      </c>
      <c r="F1171" s="17" t="n">
        <v>4</v>
      </c>
      <c r="G1171" s="17" t="n">
        <v>3450</v>
      </c>
      <c r="H1171" s="17" t="n">
        <v>9.2</v>
      </c>
      <c r="I1171" s="17" t="n">
        <v>12530.4</v>
      </c>
      <c r="J1171" s="15" t="s">
        <v>98</v>
      </c>
      <c r="K1171" s="15" t="s">
        <v>144</v>
      </c>
    </row>
    <row r="1172" customFormat="false" ht="14.25" hidden="false" customHeight="false" outlineLevel="0" collapsed="false">
      <c r="A1172" s="15" t="s">
        <v>1669</v>
      </c>
      <c r="B1172" s="16" t="n">
        <v>45405</v>
      </c>
      <c r="C1172" s="15" t="s">
        <v>286</v>
      </c>
      <c r="D1172" s="15" t="s">
        <v>306</v>
      </c>
      <c r="E1172" s="15" t="s">
        <v>159</v>
      </c>
      <c r="F1172" s="17" t="n">
        <v>4</v>
      </c>
      <c r="G1172" s="17" t="n">
        <v>2030</v>
      </c>
      <c r="H1172" s="17" t="n">
        <v>17.1</v>
      </c>
      <c r="I1172" s="17" t="n">
        <v>6731.48</v>
      </c>
      <c r="J1172" s="15" t="s">
        <v>98</v>
      </c>
      <c r="K1172" s="15" t="s">
        <v>99</v>
      </c>
    </row>
    <row r="1173" customFormat="false" ht="14.25" hidden="false" customHeight="false" outlineLevel="0" collapsed="false">
      <c r="A1173" s="15" t="s">
        <v>1670</v>
      </c>
      <c r="B1173" s="16" t="n">
        <v>45401</v>
      </c>
      <c r="C1173" s="15" t="s">
        <v>424</v>
      </c>
      <c r="D1173" s="15" t="s">
        <v>256</v>
      </c>
      <c r="E1173" s="15" t="s">
        <v>357</v>
      </c>
      <c r="F1173" s="17" t="n">
        <v>4</v>
      </c>
      <c r="G1173" s="17" t="n">
        <v>2270</v>
      </c>
      <c r="H1173" s="17" t="n">
        <v>27.3</v>
      </c>
      <c r="I1173" s="17" t="n">
        <v>6601.16</v>
      </c>
      <c r="J1173" s="15" t="s">
        <v>98</v>
      </c>
      <c r="K1173" s="15" t="s">
        <v>99</v>
      </c>
    </row>
    <row r="1174" customFormat="false" ht="14.25" hidden="false" customHeight="false" outlineLevel="0" collapsed="false">
      <c r="A1174" s="15" t="s">
        <v>1671</v>
      </c>
      <c r="B1174" s="16" t="n">
        <v>45373</v>
      </c>
      <c r="C1174" s="15" t="s">
        <v>476</v>
      </c>
      <c r="D1174" s="15" t="s">
        <v>454</v>
      </c>
      <c r="E1174" s="15" t="s">
        <v>263</v>
      </c>
      <c r="F1174" s="17" t="n">
        <v>9</v>
      </c>
      <c r="G1174" s="17" t="n">
        <v>5080</v>
      </c>
      <c r="H1174" s="17" t="n">
        <v>10.9</v>
      </c>
      <c r="I1174" s="17" t="n">
        <v>40736.52</v>
      </c>
      <c r="J1174" s="15" t="s">
        <v>98</v>
      </c>
      <c r="K1174" s="15" t="s">
        <v>123</v>
      </c>
    </row>
    <row r="1175" customFormat="false" ht="14.25" hidden="false" customHeight="false" outlineLevel="0" collapsed="false">
      <c r="A1175" s="15" t="s">
        <v>1672</v>
      </c>
      <c r="B1175" s="16" t="n">
        <v>45602</v>
      </c>
      <c r="C1175" s="15" t="s">
        <v>796</v>
      </c>
      <c r="D1175" s="15" t="s">
        <v>275</v>
      </c>
      <c r="E1175" s="15" t="s">
        <v>240</v>
      </c>
      <c r="F1175" s="17" t="n">
        <v>8</v>
      </c>
      <c r="G1175" s="17" t="n">
        <v>4070</v>
      </c>
      <c r="H1175" s="17" t="n">
        <v>17.7</v>
      </c>
      <c r="I1175" s="17" t="n">
        <v>26796.88</v>
      </c>
      <c r="J1175" s="15" t="s">
        <v>98</v>
      </c>
      <c r="K1175" s="15" t="s">
        <v>99</v>
      </c>
    </row>
    <row r="1176" customFormat="false" ht="14.25" hidden="false" customHeight="false" outlineLevel="0" collapsed="false">
      <c r="A1176" s="15" t="s">
        <v>1673</v>
      </c>
      <c r="B1176" s="16" t="n">
        <v>45372</v>
      </c>
      <c r="C1176" s="15" t="s">
        <v>433</v>
      </c>
      <c r="D1176" s="15" t="s">
        <v>270</v>
      </c>
      <c r="E1176" s="15" t="s">
        <v>103</v>
      </c>
      <c r="F1176" s="17" t="n">
        <v>1</v>
      </c>
      <c r="G1176" s="17" t="n">
        <v>1540</v>
      </c>
      <c r="H1176" s="17" t="n">
        <v>0.9</v>
      </c>
      <c r="I1176" s="17" t="n">
        <v>1526.14</v>
      </c>
      <c r="J1176" s="15" t="s">
        <v>98</v>
      </c>
      <c r="K1176" s="15" t="s">
        <v>105</v>
      </c>
    </row>
    <row r="1177" customFormat="false" ht="14.25" hidden="false" customHeight="false" outlineLevel="0" collapsed="false">
      <c r="A1177" s="15" t="s">
        <v>1674</v>
      </c>
      <c r="B1177" s="16" t="n">
        <v>45416</v>
      </c>
      <c r="C1177" s="15" t="s">
        <v>1675</v>
      </c>
      <c r="D1177" s="15" t="s">
        <v>202</v>
      </c>
      <c r="E1177" s="15" t="s">
        <v>127</v>
      </c>
      <c r="F1177" s="17" t="n">
        <v>10</v>
      </c>
      <c r="G1177" s="17" t="n">
        <v>5100</v>
      </c>
      <c r="H1177" s="17" t="n">
        <v>3</v>
      </c>
      <c r="I1177" s="17" t="n">
        <v>49470</v>
      </c>
      <c r="J1177" s="15" t="s">
        <v>98</v>
      </c>
      <c r="K1177" s="15" t="s">
        <v>128</v>
      </c>
    </row>
    <row r="1178" customFormat="false" ht="14.25" hidden="false" customHeight="false" outlineLevel="0" collapsed="false">
      <c r="A1178" s="15" t="s">
        <v>1676</v>
      </c>
      <c r="B1178" s="16" t="n">
        <v>45656</v>
      </c>
      <c r="C1178" s="15" t="s">
        <v>591</v>
      </c>
      <c r="D1178" s="15" t="s">
        <v>96</v>
      </c>
      <c r="E1178" s="15" t="s">
        <v>114</v>
      </c>
      <c r="F1178" s="17" t="n">
        <v>6</v>
      </c>
      <c r="G1178" s="17" t="n">
        <v>3620</v>
      </c>
      <c r="H1178" s="17" t="n">
        <v>20.2</v>
      </c>
      <c r="I1178" s="17" t="n">
        <v>17332.56</v>
      </c>
      <c r="J1178" s="15" t="s">
        <v>98</v>
      </c>
      <c r="K1178" s="15" t="s">
        <v>99</v>
      </c>
    </row>
    <row r="1179" customFormat="false" ht="14.25" hidden="false" customHeight="false" outlineLevel="0" collapsed="false">
      <c r="A1179" s="15" t="s">
        <v>1677</v>
      </c>
      <c r="B1179" s="16" t="n">
        <v>45324</v>
      </c>
      <c r="C1179" s="15" t="s">
        <v>137</v>
      </c>
      <c r="D1179" s="15" t="s">
        <v>195</v>
      </c>
      <c r="E1179" s="15" t="s">
        <v>159</v>
      </c>
      <c r="F1179" s="17" t="n">
        <v>7</v>
      </c>
      <c r="G1179" s="17" t="n">
        <v>4880</v>
      </c>
      <c r="H1179" s="17" t="n">
        <v>5</v>
      </c>
      <c r="I1179" s="17" t="n">
        <v>32452</v>
      </c>
      <c r="J1179" s="15" t="s">
        <v>98</v>
      </c>
      <c r="K1179" s="15" t="s">
        <v>99</v>
      </c>
    </row>
    <row r="1180" customFormat="false" ht="14.25" hidden="false" customHeight="false" outlineLevel="0" collapsed="false">
      <c r="A1180" s="15" t="s">
        <v>1678</v>
      </c>
      <c r="B1180" s="16" t="n">
        <v>45472</v>
      </c>
      <c r="C1180" s="15" t="s">
        <v>205</v>
      </c>
      <c r="D1180" s="15" t="s">
        <v>146</v>
      </c>
      <c r="E1180" s="15" t="s">
        <v>127</v>
      </c>
      <c r="F1180" s="17" t="n">
        <v>1</v>
      </c>
      <c r="G1180" s="17" t="n">
        <v>2640</v>
      </c>
      <c r="H1180" s="17" t="n">
        <v>4.1</v>
      </c>
      <c r="I1180" s="17" t="n">
        <v>2531.76</v>
      </c>
      <c r="J1180" s="15" t="s">
        <v>98</v>
      </c>
      <c r="K1180" s="15" t="s">
        <v>99</v>
      </c>
    </row>
    <row r="1181" customFormat="false" ht="14.25" hidden="false" customHeight="false" outlineLevel="0" collapsed="false">
      <c r="A1181" s="15" t="s">
        <v>1679</v>
      </c>
      <c r="B1181" s="16" t="n">
        <v>45508</v>
      </c>
      <c r="C1181" s="15" t="s">
        <v>274</v>
      </c>
      <c r="D1181" s="15" t="s">
        <v>275</v>
      </c>
      <c r="E1181" s="15" t="s">
        <v>203</v>
      </c>
      <c r="F1181" s="17" t="n">
        <v>9</v>
      </c>
      <c r="G1181" s="17" t="n">
        <v>4070</v>
      </c>
      <c r="H1181" s="17" t="n">
        <v>4.4</v>
      </c>
      <c r="I1181" s="17" t="n">
        <v>35018.28</v>
      </c>
      <c r="J1181" s="15" t="s">
        <v>98</v>
      </c>
      <c r="K1181" s="15" t="s">
        <v>144</v>
      </c>
    </row>
    <row r="1182" customFormat="false" ht="14.25" hidden="false" customHeight="false" outlineLevel="0" collapsed="false">
      <c r="A1182" s="15" t="s">
        <v>1680</v>
      </c>
      <c r="B1182" s="16" t="n">
        <v>45617</v>
      </c>
      <c r="C1182" s="15" t="s">
        <v>339</v>
      </c>
      <c r="D1182" s="15" t="s">
        <v>198</v>
      </c>
      <c r="E1182" s="15" t="s">
        <v>122</v>
      </c>
      <c r="F1182" s="17" t="n">
        <v>9</v>
      </c>
      <c r="G1182" s="17" t="n">
        <v>3570</v>
      </c>
      <c r="H1182" s="17" t="n">
        <v>24.8</v>
      </c>
      <c r="I1182" s="17" t="n">
        <v>24161.76</v>
      </c>
      <c r="J1182" s="15" t="s">
        <v>98</v>
      </c>
      <c r="K1182" s="15" t="s">
        <v>105</v>
      </c>
    </row>
    <row r="1183" customFormat="false" ht="14.25" hidden="false" customHeight="false" outlineLevel="0" collapsed="false">
      <c r="A1183" s="15" t="s">
        <v>1681</v>
      </c>
      <c r="B1183" s="16" t="n">
        <v>45470</v>
      </c>
      <c r="C1183" s="15" t="s">
        <v>283</v>
      </c>
      <c r="D1183" s="15" t="s">
        <v>190</v>
      </c>
      <c r="E1183" s="15" t="s">
        <v>103</v>
      </c>
      <c r="F1183" s="17" t="n">
        <v>10</v>
      </c>
      <c r="G1183" s="17" t="n">
        <v>3350</v>
      </c>
      <c r="H1183" s="17" t="n">
        <v>25.1</v>
      </c>
      <c r="I1183" s="17" t="n">
        <v>25091.5</v>
      </c>
      <c r="J1183" s="15" t="s">
        <v>151</v>
      </c>
      <c r="K1183" s="15" t="s">
        <v>105</v>
      </c>
    </row>
    <row r="1184" customFormat="false" ht="14.25" hidden="false" customHeight="false" outlineLevel="0" collapsed="false">
      <c r="A1184" s="15" t="s">
        <v>1682</v>
      </c>
      <c r="B1184" s="16" t="n">
        <v>45307</v>
      </c>
      <c r="C1184" s="15" t="s">
        <v>728</v>
      </c>
      <c r="D1184" s="15" t="s">
        <v>472</v>
      </c>
      <c r="E1184" s="15" t="s">
        <v>122</v>
      </c>
      <c r="F1184" s="17" t="n">
        <v>3</v>
      </c>
      <c r="G1184" s="17" t="n">
        <v>3780</v>
      </c>
      <c r="H1184" s="17" t="n">
        <v>3.8</v>
      </c>
      <c r="I1184" s="17" t="n">
        <v>10909.08</v>
      </c>
      <c r="J1184" s="15" t="s">
        <v>98</v>
      </c>
      <c r="K1184" s="15" t="s">
        <v>105</v>
      </c>
    </row>
    <row r="1185" customFormat="false" ht="14.25" hidden="false" customHeight="false" outlineLevel="0" collapsed="false">
      <c r="A1185" s="15" t="s">
        <v>1683</v>
      </c>
      <c r="B1185" s="16" t="n">
        <v>45651</v>
      </c>
      <c r="C1185" s="15" t="s">
        <v>714</v>
      </c>
      <c r="D1185" s="15" t="s">
        <v>198</v>
      </c>
      <c r="E1185" s="15" t="s">
        <v>118</v>
      </c>
      <c r="F1185" s="17" t="n">
        <v>4</v>
      </c>
      <c r="G1185" s="17" t="n">
        <v>3570</v>
      </c>
      <c r="H1185" s="17" t="n">
        <v>0.9</v>
      </c>
      <c r="I1185" s="17" t="n">
        <v>14151.48</v>
      </c>
      <c r="J1185" s="15" t="s">
        <v>104</v>
      </c>
      <c r="K1185" s="15" t="s">
        <v>99</v>
      </c>
    </row>
    <row r="1186" customFormat="false" ht="14.25" hidden="false" customHeight="false" outlineLevel="0" collapsed="false">
      <c r="A1186" s="15" t="s">
        <v>1174</v>
      </c>
      <c r="B1186" s="16" t="n">
        <v>45436</v>
      </c>
      <c r="C1186" s="15" t="s">
        <v>431</v>
      </c>
      <c r="D1186" s="15" t="s">
        <v>206</v>
      </c>
      <c r="E1186" s="15" t="s">
        <v>127</v>
      </c>
      <c r="F1186" s="17" t="n">
        <v>5</v>
      </c>
      <c r="G1186" s="17" t="n">
        <v>2860</v>
      </c>
      <c r="H1186" s="17" t="n">
        <v>20.1</v>
      </c>
      <c r="I1186" s="17" t="n">
        <v>11425.7</v>
      </c>
      <c r="J1186" s="15" t="s">
        <v>98</v>
      </c>
      <c r="K1186" s="15" t="s">
        <v>110</v>
      </c>
    </row>
    <row r="1187" customFormat="false" ht="14.25" hidden="false" customHeight="false" outlineLevel="0" collapsed="false">
      <c r="A1187" s="15" t="s">
        <v>1684</v>
      </c>
      <c r="B1187" s="16" t="n">
        <v>45518</v>
      </c>
      <c r="C1187" s="15" t="s">
        <v>695</v>
      </c>
      <c r="D1187" s="15" t="s">
        <v>303</v>
      </c>
      <c r="E1187" s="15" t="s">
        <v>159</v>
      </c>
      <c r="F1187" s="17" t="n">
        <v>1</v>
      </c>
      <c r="G1187" s="17" t="n">
        <v>620</v>
      </c>
      <c r="H1187" s="17" t="n">
        <v>1.1</v>
      </c>
      <c r="I1187" s="17" t="n">
        <v>613.18</v>
      </c>
      <c r="J1187" s="15" t="s">
        <v>151</v>
      </c>
      <c r="K1187" s="15" t="s">
        <v>110</v>
      </c>
    </row>
    <row r="1188" customFormat="false" ht="14.25" hidden="false" customHeight="false" outlineLevel="0" collapsed="false">
      <c r="A1188" s="15" t="s">
        <v>1685</v>
      </c>
      <c r="B1188" s="16" t="n">
        <v>45432</v>
      </c>
      <c r="C1188" s="15" t="s">
        <v>205</v>
      </c>
      <c r="D1188" s="15" t="s">
        <v>198</v>
      </c>
      <c r="E1188" s="15" t="s">
        <v>336</v>
      </c>
      <c r="F1188" s="17" t="n">
        <v>1</v>
      </c>
      <c r="G1188" s="17" t="n">
        <v>3570</v>
      </c>
      <c r="H1188" s="17" t="n">
        <v>11.1</v>
      </c>
      <c r="I1188" s="17" t="n">
        <v>3173.73</v>
      </c>
      <c r="J1188" s="15" t="s">
        <v>151</v>
      </c>
      <c r="K1188" s="15" t="s">
        <v>99</v>
      </c>
    </row>
    <row r="1189" customFormat="false" ht="14.25" hidden="false" customHeight="false" outlineLevel="0" collapsed="false">
      <c r="A1189" s="15" t="s">
        <v>1686</v>
      </c>
      <c r="B1189" s="16" t="n">
        <v>45551</v>
      </c>
      <c r="C1189" s="15" t="s">
        <v>673</v>
      </c>
      <c r="D1189" s="15" t="s">
        <v>375</v>
      </c>
      <c r="E1189" s="15" t="s">
        <v>336</v>
      </c>
      <c r="F1189" s="17" t="n">
        <v>1</v>
      </c>
      <c r="G1189" s="17" t="n">
        <v>5330</v>
      </c>
      <c r="H1189" s="17" t="n">
        <v>3.5</v>
      </c>
      <c r="I1189" s="17" t="n">
        <v>5143.45</v>
      </c>
      <c r="J1189" s="15" t="s">
        <v>98</v>
      </c>
      <c r="K1189" s="15" t="s">
        <v>105</v>
      </c>
    </row>
    <row r="1190" customFormat="false" ht="14.25" hidden="false" customHeight="false" outlineLevel="0" collapsed="false">
      <c r="A1190" s="15" t="s">
        <v>1687</v>
      </c>
      <c r="B1190" s="16" t="n">
        <v>45348</v>
      </c>
      <c r="C1190" s="15" t="s">
        <v>361</v>
      </c>
      <c r="D1190" s="15" t="s">
        <v>371</v>
      </c>
      <c r="E1190" s="15" t="s">
        <v>314</v>
      </c>
      <c r="F1190" s="17" t="n">
        <v>7</v>
      </c>
      <c r="G1190" s="17" t="n">
        <v>5410</v>
      </c>
      <c r="H1190" s="17" t="n">
        <v>26.2</v>
      </c>
      <c r="I1190" s="17" t="n">
        <v>27948.06</v>
      </c>
      <c r="J1190" s="15" t="s">
        <v>98</v>
      </c>
      <c r="K1190" s="15" t="s">
        <v>123</v>
      </c>
    </row>
    <row r="1191" customFormat="false" ht="14.25" hidden="false" customHeight="false" outlineLevel="0" collapsed="false">
      <c r="A1191" s="15" t="s">
        <v>1688</v>
      </c>
      <c r="B1191" s="16" t="n">
        <v>45374</v>
      </c>
      <c r="C1191" s="15" t="s">
        <v>1242</v>
      </c>
      <c r="D1191" s="15" t="s">
        <v>454</v>
      </c>
      <c r="E1191" s="15" t="s">
        <v>357</v>
      </c>
      <c r="F1191" s="17" t="n">
        <v>10</v>
      </c>
      <c r="G1191" s="17" t="n">
        <v>5080</v>
      </c>
      <c r="H1191" s="17" t="n">
        <v>3.7</v>
      </c>
      <c r="I1191" s="17" t="n">
        <v>48920.4</v>
      </c>
      <c r="J1191" s="15" t="s">
        <v>104</v>
      </c>
      <c r="K1191" s="15" t="s">
        <v>99</v>
      </c>
    </row>
    <row r="1192" customFormat="false" ht="14.25" hidden="false" customHeight="false" outlineLevel="0" collapsed="false">
      <c r="A1192" s="15" t="s">
        <v>1689</v>
      </c>
      <c r="B1192" s="16" t="n">
        <v>45370</v>
      </c>
      <c r="C1192" s="15" t="s">
        <v>725</v>
      </c>
      <c r="D1192" s="15" t="s">
        <v>198</v>
      </c>
      <c r="E1192" s="15" t="s">
        <v>103</v>
      </c>
      <c r="F1192" s="17" t="n">
        <v>9</v>
      </c>
      <c r="G1192" s="17" t="n">
        <v>3570</v>
      </c>
      <c r="H1192" s="17" t="n">
        <v>5.6</v>
      </c>
      <c r="I1192" s="17" t="n">
        <v>30330.72</v>
      </c>
      <c r="J1192" s="15" t="s">
        <v>98</v>
      </c>
      <c r="K1192" s="15" t="s">
        <v>110</v>
      </c>
    </row>
    <row r="1193" customFormat="false" ht="14.25" hidden="false" customHeight="false" outlineLevel="0" collapsed="false">
      <c r="A1193" s="15" t="s">
        <v>1690</v>
      </c>
      <c r="B1193" s="16" t="n">
        <v>45656</v>
      </c>
      <c r="C1193" s="15" t="s">
        <v>615</v>
      </c>
      <c r="D1193" s="15" t="s">
        <v>138</v>
      </c>
      <c r="E1193" s="15" t="s">
        <v>296</v>
      </c>
      <c r="F1193" s="17" t="n">
        <v>9</v>
      </c>
      <c r="G1193" s="17" t="n">
        <v>970</v>
      </c>
      <c r="H1193" s="17" t="n">
        <v>19.5</v>
      </c>
      <c r="I1193" s="17" t="n">
        <v>7027.65</v>
      </c>
      <c r="J1193" s="15" t="s">
        <v>98</v>
      </c>
      <c r="K1193" s="15" t="s">
        <v>128</v>
      </c>
    </row>
    <row r="1194" customFormat="false" ht="14.25" hidden="false" customHeight="false" outlineLevel="0" collapsed="false">
      <c r="A1194" s="15" t="s">
        <v>1691</v>
      </c>
      <c r="B1194" s="16" t="n">
        <v>45357</v>
      </c>
      <c r="C1194" s="15" t="s">
        <v>431</v>
      </c>
      <c r="D1194" s="15" t="s">
        <v>293</v>
      </c>
      <c r="E1194" s="15" t="s">
        <v>215</v>
      </c>
      <c r="F1194" s="17" t="n">
        <v>10</v>
      </c>
      <c r="G1194" s="17" t="n">
        <v>300</v>
      </c>
      <c r="H1194" s="17" t="n">
        <v>23</v>
      </c>
      <c r="I1194" s="17" t="n">
        <v>2310</v>
      </c>
      <c r="J1194" s="15" t="s">
        <v>151</v>
      </c>
      <c r="K1194" s="15" t="s">
        <v>110</v>
      </c>
    </row>
    <row r="1195" customFormat="false" ht="14.25" hidden="false" customHeight="false" outlineLevel="0" collapsed="false">
      <c r="A1195" s="15" t="s">
        <v>1692</v>
      </c>
      <c r="B1195" s="16" t="n">
        <v>45479</v>
      </c>
      <c r="C1195" s="15" t="s">
        <v>436</v>
      </c>
      <c r="D1195" s="15" t="s">
        <v>252</v>
      </c>
      <c r="E1195" s="15" t="s">
        <v>159</v>
      </c>
      <c r="F1195" s="17" t="n">
        <v>10</v>
      </c>
      <c r="G1195" s="17" t="n">
        <v>6080</v>
      </c>
      <c r="H1195" s="17" t="n">
        <v>3.9</v>
      </c>
      <c r="I1195" s="17" t="n">
        <v>58428.8</v>
      </c>
      <c r="J1195" s="15" t="s">
        <v>98</v>
      </c>
      <c r="K1195" s="15" t="s">
        <v>105</v>
      </c>
    </row>
    <row r="1196" customFormat="false" ht="14.25" hidden="false" customHeight="false" outlineLevel="0" collapsed="false">
      <c r="A1196" s="15" t="s">
        <v>920</v>
      </c>
      <c r="B1196" s="16" t="n">
        <v>45539</v>
      </c>
      <c r="C1196" s="15" t="s">
        <v>153</v>
      </c>
      <c r="D1196" s="15" t="s">
        <v>202</v>
      </c>
      <c r="E1196" s="15" t="s">
        <v>284</v>
      </c>
      <c r="F1196" s="17" t="n">
        <v>2</v>
      </c>
      <c r="G1196" s="17" t="n">
        <v>5100</v>
      </c>
      <c r="H1196" s="17" t="n">
        <v>11</v>
      </c>
      <c r="I1196" s="17" t="n">
        <v>9078</v>
      </c>
      <c r="J1196" s="15" t="s">
        <v>98</v>
      </c>
      <c r="K1196" s="15" t="s">
        <v>99</v>
      </c>
    </row>
    <row r="1197" customFormat="false" ht="14.25" hidden="false" customHeight="false" outlineLevel="0" collapsed="false">
      <c r="A1197" s="15" t="s">
        <v>1693</v>
      </c>
      <c r="B1197" s="16" t="n">
        <v>45394</v>
      </c>
      <c r="C1197" s="15" t="s">
        <v>382</v>
      </c>
      <c r="D1197" s="15" t="s">
        <v>463</v>
      </c>
      <c r="E1197" s="15" t="s">
        <v>132</v>
      </c>
      <c r="F1197" s="17" t="n">
        <v>9</v>
      </c>
      <c r="G1197" s="17" t="n">
        <v>3450</v>
      </c>
      <c r="H1197" s="17" t="n">
        <v>23.7</v>
      </c>
      <c r="I1197" s="17" t="n">
        <v>23691.15</v>
      </c>
      <c r="J1197" s="15" t="s">
        <v>98</v>
      </c>
      <c r="K1197" s="15" t="s">
        <v>123</v>
      </c>
    </row>
    <row r="1198" customFormat="false" ht="14.25" hidden="false" customHeight="false" outlineLevel="0" collapsed="false">
      <c r="A1198" s="15" t="s">
        <v>1694</v>
      </c>
      <c r="B1198" s="16" t="n">
        <v>45335</v>
      </c>
      <c r="C1198" s="15" t="s">
        <v>770</v>
      </c>
      <c r="D1198" s="15" t="s">
        <v>178</v>
      </c>
      <c r="E1198" s="15" t="s">
        <v>284</v>
      </c>
      <c r="F1198" s="17" t="n">
        <v>5</v>
      </c>
      <c r="G1198" s="17" t="n">
        <v>2480</v>
      </c>
      <c r="H1198" s="17" t="n">
        <v>20.4</v>
      </c>
      <c r="I1198" s="17" t="n">
        <v>9870.4</v>
      </c>
      <c r="J1198" s="15" t="s">
        <v>98</v>
      </c>
      <c r="K1198" s="15" t="s">
        <v>128</v>
      </c>
    </row>
    <row r="1199" customFormat="false" ht="14.25" hidden="false" customHeight="false" outlineLevel="0" collapsed="false">
      <c r="A1199" s="15" t="s">
        <v>1695</v>
      </c>
      <c r="B1199" s="16" t="n">
        <v>45334</v>
      </c>
      <c r="C1199" s="15" t="s">
        <v>277</v>
      </c>
      <c r="D1199" s="15" t="s">
        <v>158</v>
      </c>
      <c r="E1199" s="15" t="s">
        <v>143</v>
      </c>
      <c r="F1199" s="17" t="n">
        <v>4</v>
      </c>
      <c r="G1199" s="17" t="n">
        <v>190</v>
      </c>
      <c r="H1199" s="17" t="n">
        <v>2.6</v>
      </c>
      <c r="I1199" s="17" t="n">
        <v>740.24</v>
      </c>
      <c r="J1199" s="15" t="s">
        <v>98</v>
      </c>
      <c r="K1199" s="15" t="s">
        <v>110</v>
      </c>
    </row>
    <row r="1200" customFormat="false" ht="14.25" hidden="false" customHeight="false" outlineLevel="0" collapsed="false">
      <c r="A1200" s="15" t="s">
        <v>1696</v>
      </c>
      <c r="B1200" s="16" t="n">
        <v>45300</v>
      </c>
      <c r="C1200" s="15" t="s">
        <v>1017</v>
      </c>
      <c r="D1200" s="15" t="s">
        <v>256</v>
      </c>
      <c r="E1200" s="15" t="s">
        <v>203</v>
      </c>
      <c r="F1200" s="17" t="n">
        <v>4</v>
      </c>
      <c r="G1200" s="17" t="n">
        <v>2270</v>
      </c>
      <c r="H1200" s="17" t="n">
        <v>8.1</v>
      </c>
      <c r="I1200" s="17" t="n">
        <v>8344.52</v>
      </c>
      <c r="J1200" s="15" t="s">
        <v>104</v>
      </c>
      <c r="K1200" s="15" t="s">
        <v>128</v>
      </c>
    </row>
    <row r="1201" customFormat="false" ht="14.25" hidden="false" customHeight="false" outlineLevel="0" collapsed="false">
      <c r="A1201" s="15" t="s">
        <v>1697</v>
      </c>
      <c r="B1201" s="16" t="n">
        <v>45400</v>
      </c>
      <c r="C1201" s="15" t="s">
        <v>521</v>
      </c>
      <c r="D1201" s="15" t="s">
        <v>366</v>
      </c>
      <c r="E1201" s="15" t="s">
        <v>139</v>
      </c>
      <c r="F1201" s="17" t="n">
        <v>7</v>
      </c>
      <c r="G1201" s="17" t="n">
        <v>2510</v>
      </c>
      <c r="H1201" s="17" t="n">
        <v>25.5</v>
      </c>
      <c r="I1201" s="17" t="n">
        <v>13089.65</v>
      </c>
      <c r="J1201" s="15" t="s">
        <v>98</v>
      </c>
      <c r="K1201" s="15" t="s">
        <v>128</v>
      </c>
    </row>
    <row r="1202" customFormat="false" ht="14.25" hidden="false" customHeight="false" outlineLevel="0" collapsed="false">
      <c r="A1202" s="15" t="s">
        <v>1698</v>
      </c>
      <c r="B1202" s="16" t="n">
        <v>45423</v>
      </c>
      <c r="C1202" s="15" t="s">
        <v>137</v>
      </c>
      <c r="D1202" s="15" t="s">
        <v>472</v>
      </c>
      <c r="E1202" s="15" t="s">
        <v>150</v>
      </c>
      <c r="F1202" s="17" t="n">
        <v>3</v>
      </c>
      <c r="G1202" s="17" t="n">
        <v>3780</v>
      </c>
      <c r="H1202" s="17" t="n">
        <v>16.8</v>
      </c>
      <c r="I1202" s="17" t="n">
        <v>9434.88</v>
      </c>
      <c r="J1202" s="15" t="s">
        <v>98</v>
      </c>
      <c r="K1202" s="15" t="s">
        <v>99</v>
      </c>
    </row>
    <row r="1203" customFormat="false" ht="14.25" hidden="false" customHeight="false" outlineLevel="0" collapsed="false">
      <c r="A1203" s="15" t="s">
        <v>1699</v>
      </c>
      <c r="B1203" s="16" t="n">
        <v>45518</v>
      </c>
      <c r="C1203" s="15" t="s">
        <v>572</v>
      </c>
      <c r="D1203" s="15" t="s">
        <v>198</v>
      </c>
      <c r="E1203" s="15" t="s">
        <v>143</v>
      </c>
      <c r="F1203" s="17" t="n">
        <v>7</v>
      </c>
      <c r="G1203" s="17" t="n">
        <v>3570</v>
      </c>
      <c r="H1203" s="17" t="n">
        <v>23.7</v>
      </c>
      <c r="I1203" s="17" t="n">
        <v>19067.37</v>
      </c>
      <c r="J1203" s="15" t="s">
        <v>98</v>
      </c>
      <c r="K1203" s="15" t="s">
        <v>144</v>
      </c>
    </row>
    <row r="1204" customFormat="false" ht="14.25" hidden="false" customHeight="false" outlineLevel="0" collapsed="false">
      <c r="A1204" s="15" t="s">
        <v>1700</v>
      </c>
      <c r="B1204" s="16" t="n">
        <v>45559</v>
      </c>
      <c r="C1204" s="15" t="s">
        <v>438</v>
      </c>
      <c r="D1204" s="15" t="s">
        <v>214</v>
      </c>
      <c r="E1204" s="15" t="s">
        <v>284</v>
      </c>
      <c r="F1204" s="17" t="n">
        <v>4</v>
      </c>
      <c r="G1204" s="17" t="n">
        <v>660</v>
      </c>
      <c r="H1204" s="17" t="n">
        <v>3.6</v>
      </c>
      <c r="I1204" s="17" t="n">
        <v>2544.96</v>
      </c>
      <c r="J1204" s="15" t="s">
        <v>98</v>
      </c>
      <c r="K1204" s="15" t="s">
        <v>99</v>
      </c>
    </row>
    <row r="1205" customFormat="false" ht="14.25" hidden="false" customHeight="false" outlineLevel="0" collapsed="false">
      <c r="A1205" s="15" t="s">
        <v>1701</v>
      </c>
      <c r="B1205" s="16" t="n">
        <v>45501</v>
      </c>
      <c r="C1205" s="15" t="s">
        <v>1062</v>
      </c>
      <c r="D1205" s="15" t="s">
        <v>138</v>
      </c>
      <c r="E1205" s="15" t="s">
        <v>143</v>
      </c>
      <c r="F1205" s="17" t="n">
        <v>7</v>
      </c>
      <c r="G1205" s="17" t="n">
        <v>970</v>
      </c>
      <c r="H1205" s="17" t="n">
        <v>23.7</v>
      </c>
      <c r="I1205" s="17" t="n">
        <v>5180.77</v>
      </c>
      <c r="J1205" s="15" t="s">
        <v>98</v>
      </c>
      <c r="K1205" s="15" t="s">
        <v>123</v>
      </c>
    </row>
    <row r="1206" customFormat="false" ht="14.25" hidden="false" customHeight="false" outlineLevel="0" collapsed="false">
      <c r="A1206" s="15" t="s">
        <v>1702</v>
      </c>
      <c r="B1206" s="16" t="n">
        <v>45338</v>
      </c>
      <c r="C1206" s="15" t="s">
        <v>879</v>
      </c>
      <c r="D1206" s="15" t="s">
        <v>142</v>
      </c>
      <c r="E1206" s="15" t="s">
        <v>114</v>
      </c>
      <c r="F1206" s="17" t="n">
        <v>8</v>
      </c>
      <c r="G1206" s="17" t="n">
        <v>2270</v>
      </c>
      <c r="H1206" s="17" t="n">
        <v>6.8</v>
      </c>
      <c r="I1206" s="17" t="n">
        <v>16925.12</v>
      </c>
      <c r="J1206" s="15" t="s">
        <v>98</v>
      </c>
      <c r="K1206" s="15" t="s">
        <v>110</v>
      </c>
    </row>
    <row r="1207" customFormat="false" ht="14.25" hidden="false" customHeight="false" outlineLevel="0" collapsed="false">
      <c r="A1207" s="15" t="s">
        <v>1703</v>
      </c>
      <c r="B1207" s="16" t="n">
        <v>45585</v>
      </c>
      <c r="C1207" s="15" t="s">
        <v>628</v>
      </c>
      <c r="D1207" s="15" t="s">
        <v>162</v>
      </c>
      <c r="E1207" s="15" t="s">
        <v>336</v>
      </c>
      <c r="F1207" s="17" t="n">
        <v>1</v>
      </c>
      <c r="G1207" s="17" t="n">
        <v>2400</v>
      </c>
      <c r="H1207" s="17" t="n">
        <v>26.5</v>
      </c>
      <c r="I1207" s="17" t="n">
        <v>1764</v>
      </c>
      <c r="J1207" s="15" t="s">
        <v>98</v>
      </c>
      <c r="K1207" s="15" t="s">
        <v>123</v>
      </c>
    </row>
    <row r="1208" customFormat="false" ht="14.25" hidden="false" customHeight="false" outlineLevel="0" collapsed="false">
      <c r="A1208" s="15" t="s">
        <v>1704</v>
      </c>
      <c r="B1208" s="16" t="n">
        <v>45525</v>
      </c>
      <c r="C1208" s="15" t="s">
        <v>654</v>
      </c>
      <c r="D1208" s="15" t="s">
        <v>454</v>
      </c>
      <c r="E1208" s="15" t="s">
        <v>143</v>
      </c>
      <c r="F1208" s="17" t="n">
        <v>5</v>
      </c>
      <c r="G1208" s="17" t="n">
        <v>5080</v>
      </c>
      <c r="H1208" s="17" t="n">
        <v>29.6</v>
      </c>
      <c r="I1208" s="17" t="n">
        <v>17881.6</v>
      </c>
      <c r="J1208" s="15" t="s">
        <v>98</v>
      </c>
      <c r="K1208" s="15" t="s">
        <v>123</v>
      </c>
    </row>
    <row r="1209" customFormat="false" ht="14.25" hidden="false" customHeight="false" outlineLevel="0" collapsed="false">
      <c r="A1209" s="15" t="s">
        <v>1705</v>
      </c>
      <c r="B1209" s="16" t="n">
        <v>45351</v>
      </c>
      <c r="C1209" s="15" t="s">
        <v>321</v>
      </c>
      <c r="D1209" s="15" t="s">
        <v>190</v>
      </c>
      <c r="E1209" s="15" t="s">
        <v>109</v>
      </c>
      <c r="F1209" s="17" t="n">
        <v>9</v>
      </c>
      <c r="G1209" s="17" t="n">
        <v>3350</v>
      </c>
      <c r="H1209" s="17" t="n">
        <v>6.2</v>
      </c>
      <c r="I1209" s="17" t="n">
        <v>28280.7</v>
      </c>
      <c r="J1209" s="15" t="s">
        <v>98</v>
      </c>
      <c r="K1209" s="15" t="s">
        <v>128</v>
      </c>
    </row>
    <row r="1210" customFormat="false" ht="14.25" hidden="false" customHeight="false" outlineLevel="0" collapsed="false">
      <c r="A1210" s="15" t="s">
        <v>1706</v>
      </c>
      <c r="B1210" s="16" t="n">
        <v>45560</v>
      </c>
      <c r="C1210" s="15" t="s">
        <v>806</v>
      </c>
      <c r="D1210" s="15" t="s">
        <v>270</v>
      </c>
      <c r="E1210" s="15" t="s">
        <v>226</v>
      </c>
      <c r="F1210" s="17" t="n">
        <v>4</v>
      </c>
      <c r="G1210" s="17" t="n">
        <v>1540</v>
      </c>
      <c r="H1210" s="17" t="n">
        <v>22.2</v>
      </c>
      <c r="I1210" s="17" t="n">
        <v>4792.48</v>
      </c>
      <c r="J1210" s="15" t="s">
        <v>98</v>
      </c>
      <c r="K1210" s="15" t="s">
        <v>105</v>
      </c>
    </row>
    <row r="1211" customFormat="false" ht="14.25" hidden="false" customHeight="false" outlineLevel="0" collapsed="false">
      <c r="A1211" s="15" t="s">
        <v>1707</v>
      </c>
      <c r="B1211" s="16" t="n">
        <v>45431</v>
      </c>
      <c r="C1211" s="15" t="s">
        <v>568</v>
      </c>
      <c r="D1211" s="15" t="s">
        <v>454</v>
      </c>
      <c r="E1211" s="15" t="s">
        <v>308</v>
      </c>
      <c r="F1211" s="17" t="n">
        <v>10</v>
      </c>
      <c r="G1211" s="17" t="n">
        <v>5080</v>
      </c>
      <c r="H1211" s="17" t="n">
        <v>11.8</v>
      </c>
      <c r="I1211" s="17" t="n">
        <v>44805.6</v>
      </c>
      <c r="J1211" s="15" t="s">
        <v>98</v>
      </c>
      <c r="K1211" s="15" t="s">
        <v>123</v>
      </c>
    </row>
    <row r="1212" customFormat="false" ht="14.25" hidden="false" customHeight="false" outlineLevel="0" collapsed="false">
      <c r="A1212" s="15" t="s">
        <v>1708</v>
      </c>
      <c r="B1212" s="16" t="n">
        <v>45296</v>
      </c>
      <c r="C1212" s="15" t="s">
        <v>967</v>
      </c>
      <c r="D1212" s="15" t="s">
        <v>670</v>
      </c>
      <c r="E1212" s="15" t="s">
        <v>336</v>
      </c>
      <c r="F1212" s="17" t="n">
        <v>9</v>
      </c>
      <c r="G1212" s="17" t="n">
        <v>3560</v>
      </c>
      <c r="H1212" s="17" t="n">
        <v>15.9</v>
      </c>
      <c r="I1212" s="17" t="n">
        <v>26945.64</v>
      </c>
      <c r="J1212" s="15" t="s">
        <v>98</v>
      </c>
      <c r="K1212" s="15" t="s">
        <v>123</v>
      </c>
    </row>
    <row r="1213" customFormat="false" ht="14.25" hidden="false" customHeight="false" outlineLevel="0" collapsed="false">
      <c r="A1213" s="15" t="s">
        <v>1709</v>
      </c>
      <c r="B1213" s="16" t="n">
        <v>45629</v>
      </c>
      <c r="C1213" s="15" t="s">
        <v>1011</v>
      </c>
      <c r="D1213" s="15" t="s">
        <v>175</v>
      </c>
      <c r="E1213" s="15" t="s">
        <v>215</v>
      </c>
      <c r="F1213" s="17" t="n">
        <v>2</v>
      </c>
      <c r="G1213" s="17" t="n">
        <v>1080</v>
      </c>
      <c r="H1213" s="17" t="n">
        <v>21.1</v>
      </c>
      <c r="I1213" s="17" t="n">
        <v>1704.24</v>
      </c>
      <c r="J1213" s="15" t="s">
        <v>98</v>
      </c>
      <c r="K1213" s="15" t="s">
        <v>128</v>
      </c>
    </row>
    <row r="1214" customFormat="false" ht="14.25" hidden="false" customHeight="false" outlineLevel="0" collapsed="false">
      <c r="A1214" s="15" t="s">
        <v>1710</v>
      </c>
      <c r="B1214" s="16" t="n">
        <v>45310</v>
      </c>
      <c r="C1214" s="15" t="s">
        <v>403</v>
      </c>
      <c r="D1214" s="15" t="s">
        <v>378</v>
      </c>
      <c r="E1214" s="15" t="s">
        <v>314</v>
      </c>
      <c r="F1214" s="17" t="n">
        <v>5</v>
      </c>
      <c r="G1214" s="17" t="n">
        <v>2380</v>
      </c>
      <c r="H1214" s="17" t="n">
        <v>20.5</v>
      </c>
      <c r="I1214" s="17" t="n">
        <v>9460.5</v>
      </c>
      <c r="J1214" s="15" t="s">
        <v>98</v>
      </c>
      <c r="K1214" s="15" t="s">
        <v>123</v>
      </c>
    </row>
    <row r="1215" customFormat="false" ht="14.25" hidden="false" customHeight="false" outlineLevel="0" collapsed="false">
      <c r="A1215" s="15" t="s">
        <v>1711</v>
      </c>
      <c r="B1215" s="16" t="n">
        <v>45498</v>
      </c>
      <c r="C1215" s="15" t="s">
        <v>329</v>
      </c>
      <c r="D1215" s="15" t="s">
        <v>178</v>
      </c>
      <c r="E1215" s="15" t="s">
        <v>122</v>
      </c>
      <c r="F1215" s="17" t="n">
        <v>9</v>
      </c>
      <c r="G1215" s="17" t="n">
        <v>2480</v>
      </c>
      <c r="H1215" s="17" t="n">
        <v>1.2</v>
      </c>
      <c r="I1215" s="17" t="n">
        <v>22052.16</v>
      </c>
      <c r="J1215" s="15" t="s">
        <v>98</v>
      </c>
      <c r="K1215" s="15" t="s">
        <v>105</v>
      </c>
    </row>
    <row r="1216" customFormat="false" ht="14.25" hidden="false" customHeight="false" outlineLevel="0" collapsed="false">
      <c r="A1216" s="15" t="s">
        <v>1712</v>
      </c>
      <c r="B1216" s="16" t="n">
        <v>45348</v>
      </c>
      <c r="C1216" s="15" t="s">
        <v>752</v>
      </c>
      <c r="D1216" s="15" t="s">
        <v>397</v>
      </c>
      <c r="E1216" s="15" t="s">
        <v>336</v>
      </c>
      <c r="F1216" s="17" t="n">
        <v>9</v>
      </c>
      <c r="G1216" s="17" t="n">
        <v>2290</v>
      </c>
      <c r="H1216" s="17" t="n">
        <v>0.9</v>
      </c>
      <c r="I1216" s="17" t="n">
        <v>20424.51</v>
      </c>
      <c r="J1216" s="15" t="s">
        <v>98</v>
      </c>
      <c r="K1216" s="15" t="s">
        <v>144</v>
      </c>
    </row>
    <row r="1217" customFormat="false" ht="14.25" hidden="false" customHeight="false" outlineLevel="0" collapsed="false">
      <c r="A1217" s="15" t="s">
        <v>1713</v>
      </c>
      <c r="B1217" s="16" t="n">
        <v>45382</v>
      </c>
      <c r="C1217" s="15" t="s">
        <v>539</v>
      </c>
      <c r="D1217" s="15" t="s">
        <v>463</v>
      </c>
      <c r="E1217" s="15" t="s">
        <v>284</v>
      </c>
      <c r="F1217" s="17" t="n">
        <v>3</v>
      </c>
      <c r="G1217" s="17" t="n">
        <v>3450</v>
      </c>
      <c r="H1217" s="17" t="n">
        <v>29.5</v>
      </c>
      <c r="I1217" s="17" t="n">
        <v>7296.75</v>
      </c>
      <c r="J1217" s="15" t="s">
        <v>98</v>
      </c>
      <c r="K1217" s="15" t="s">
        <v>123</v>
      </c>
    </row>
    <row r="1218" customFormat="false" ht="14.25" hidden="false" customHeight="false" outlineLevel="0" collapsed="false">
      <c r="A1218" s="15" t="s">
        <v>1714</v>
      </c>
      <c r="B1218" s="16" t="n">
        <v>45569</v>
      </c>
      <c r="C1218" s="15" t="s">
        <v>148</v>
      </c>
      <c r="D1218" s="15" t="s">
        <v>168</v>
      </c>
      <c r="E1218" s="15" t="s">
        <v>127</v>
      </c>
      <c r="F1218" s="17" t="n">
        <v>9</v>
      </c>
      <c r="G1218" s="17" t="n">
        <v>3450</v>
      </c>
      <c r="H1218" s="17" t="n">
        <v>19.4</v>
      </c>
      <c r="I1218" s="17" t="n">
        <v>25026.3</v>
      </c>
      <c r="J1218" s="15" t="s">
        <v>98</v>
      </c>
      <c r="K1218" s="15" t="s">
        <v>110</v>
      </c>
    </row>
    <row r="1219" customFormat="false" ht="14.25" hidden="false" customHeight="false" outlineLevel="0" collapsed="false">
      <c r="A1219" s="15" t="s">
        <v>1715</v>
      </c>
      <c r="B1219" s="16" t="n">
        <v>45516</v>
      </c>
      <c r="C1219" s="15" t="s">
        <v>342</v>
      </c>
      <c r="D1219" s="15" t="s">
        <v>149</v>
      </c>
      <c r="E1219" s="15" t="s">
        <v>181</v>
      </c>
      <c r="F1219" s="17" t="n">
        <v>2</v>
      </c>
      <c r="G1219" s="17" t="n">
        <v>2600</v>
      </c>
      <c r="H1219" s="17" t="n">
        <v>20.2</v>
      </c>
      <c r="I1219" s="17" t="n">
        <v>4149.6</v>
      </c>
      <c r="J1219" s="15" t="s">
        <v>151</v>
      </c>
      <c r="K1219" s="15" t="s">
        <v>128</v>
      </c>
    </row>
    <row r="1220" customFormat="false" ht="14.25" hidden="false" customHeight="false" outlineLevel="0" collapsed="false">
      <c r="A1220" s="15" t="s">
        <v>1716</v>
      </c>
      <c r="B1220" s="16" t="n">
        <v>45519</v>
      </c>
      <c r="C1220" s="15" t="s">
        <v>1027</v>
      </c>
      <c r="D1220" s="15" t="s">
        <v>211</v>
      </c>
      <c r="E1220" s="15" t="s">
        <v>122</v>
      </c>
      <c r="F1220" s="17" t="n">
        <v>1</v>
      </c>
      <c r="G1220" s="17" t="n">
        <v>2760</v>
      </c>
      <c r="H1220" s="17" t="n">
        <v>9.5</v>
      </c>
      <c r="I1220" s="17" t="n">
        <v>2497.8</v>
      </c>
      <c r="J1220" s="15" t="s">
        <v>98</v>
      </c>
      <c r="K1220" s="15" t="s">
        <v>128</v>
      </c>
    </row>
    <row r="1221" customFormat="false" ht="14.25" hidden="false" customHeight="false" outlineLevel="0" collapsed="false">
      <c r="A1221" s="15" t="s">
        <v>1717</v>
      </c>
      <c r="B1221" s="16" t="n">
        <v>45593</v>
      </c>
      <c r="C1221" s="15" t="s">
        <v>610</v>
      </c>
      <c r="D1221" s="15" t="s">
        <v>281</v>
      </c>
      <c r="E1221" s="15" t="s">
        <v>159</v>
      </c>
      <c r="F1221" s="17" t="n">
        <v>4</v>
      </c>
      <c r="G1221" s="17" t="n">
        <v>4610</v>
      </c>
      <c r="H1221" s="17" t="n">
        <v>14.8</v>
      </c>
      <c r="I1221" s="17" t="n">
        <v>15710.88</v>
      </c>
      <c r="J1221" s="15" t="s">
        <v>98</v>
      </c>
      <c r="K1221" s="15" t="s">
        <v>128</v>
      </c>
    </row>
    <row r="1222" customFormat="false" ht="14.25" hidden="false" customHeight="false" outlineLevel="0" collapsed="false">
      <c r="A1222" s="15" t="s">
        <v>1718</v>
      </c>
      <c r="B1222" s="16" t="n">
        <v>45532</v>
      </c>
      <c r="C1222" s="15" t="s">
        <v>141</v>
      </c>
      <c r="D1222" s="15" t="s">
        <v>178</v>
      </c>
      <c r="E1222" s="15" t="s">
        <v>127</v>
      </c>
      <c r="F1222" s="17" t="n">
        <v>3</v>
      </c>
      <c r="G1222" s="17" t="n">
        <v>2480</v>
      </c>
      <c r="H1222" s="17" t="n">
        <v>3.7</v>
      </c>
      <c r="I1222" s="17" t="n">
        <v>7164.72</v>
      </c>
      <c r="J1222" s="15" t="s">
        <v>98</v>
      </c>
      <c r="K1222" s="15" t="s">
        <v>144</v>
      </c>
    </row>
    <row r="1223" customFormat="false" ht="14.25" hidden="false" customHeight="false" outlineLevel="0" collapsed="false">
      <c r="A1223" s="15" t="s">
        <v>1719</v>
      </c>
      <c r="B1223" s="16" t="n">
        <v>45610</v>
      </c>
      <c r="C1223" s="15" t="s">
        <v>752</v>
      </c>
      <c r="D1223" s="15" t="s">
        <v>526</v>
      </c>
      <c r="E1223" s="15" t="s">
        <v>284</v>
      </c>
      <c r="F1223" s="17" t="n">
        <v>5</v>
      </c>
      <c r="G1223" s="17" t="n">
        <v>6940</v>
      </c>
      <c r="H1223" s="17" t="n">
        <v>0.3</v>
      </c>
      <c r="I1223" s="17" t="n">
        <v>34595.9</v>
      </c>
      <c r="J1223" s="15" t="s">
        <v>98</v>
      </c>
      <c r="K1223" s="15" t="s">
        <v>144</v>
      </c>
    </row>
    <row r="1224" customFormat="false" ht="14.25" hidden="false" customHeight="false" outlineLevel="0" collapsed="false">
      <c r="A1224" s="15" t="s">
        <v>1720</v>
      </c>
      <c r="B1224" s="16" t="n">
        <v>45560</v>
      </c>
      <c r="C1224" s="15" t="s">
        <v>544</v>
      </c>
      <c r="D1224" s="15" t="s">
        <v>256</v>
      </c>
      <c r="E1224" s="15" t="s">
        <v>165</v>
      </c>
      <c r="F1224" s="17" t="n">
        <v>8</v>
      </c>
      <c r="G1224" s="17" t="n">
        <v>2270</v>
      </c>
      <c r="H1224" s="17" t="n">
        <v>15.6</v>
      </c>
      <c r="I1224" s="17" t="n">
        <v>15327.04</v>
      </c>
      <c r="J1224" s="15" t="s">
        <v>104</v>
      </c>
      <c r="K1224" s="15" t="s">
        <v>110</v>
      </c>
    </row>
    <row r="1225" customFormat="false" ht="14.25" hidden="false" customHeight="false" outlineLevel="0" collapsed="false">
      <c r="A1225" s="15" t="s">
        <v>1721</v>
      </c>
      <c r="B1225" s="16" t="n">
        <v>45431</v>
      </c>
      <c r="C1225" s="15" t="s">
        <v>994</v>
      </c>
      <c r="D1225" s="15" t="s">
        <v>202</v>
      </c>
      <c r="E1225" s="15" t="s">
        <v>181</v>
      </c>
      <c r="F1225" s="17" t="n">
        <v>5</v>
      </c>
      <c r="G1225" s="17" t="n">
        <v>5100</v>
      </c>
      <c r="H1225" s="17" t="n">
        <v>9.5</v>
      </c>
      <c r="I1225" s="17" t="n">
        <v>23077.5</v>
      </c>
      <c r="J1225" s="15" t="s">
        <v>98</v>
      </c>
      <c r="K1225" s="15" t="s">
        <v>128</v>
      </c>
    </row>
    <row r="1226" customFormat="false" ht="14.25" hidden="false" customHeight="false" outlineLevel="0" collapsed="false">
      <c r="A1226" s="15" t="s">
        <v>1722</v>
      </c>
      <c r="B1226" s="16" t="n">
        <v>45594</v>
      </c>
      <c r="C1226" s="15" t="s">
        <v>305</v>
      </c>
      <c r="D1226" s="15" t="s">
        <v>154</v>
      </c>
      <c r="E1226" s="15" t="s">
        <v>284</v>
      </c>
      <c r="F1226" s="17" t="n">
        <v>5</v>
      </c>
      <c r="G1226" s="17" t="n">
        <v>3250</v>
      </c>
      <c r="H1226" s="17" t="n">
        <v>8.1</v>
      </c>
      <c r="I1226" s="17" t="n">
        <v>14933.75</v>
      </c>
      <c r="J1226" s="15" t="s">
        <v>98</v>
      </c>
      <c r="K1226" s="15" t="s">
        <v>144</v>
      </c>
    </row>
    <row r="1227" customFormat="false" ht="14.25" hidden="false" customHeight="false" outlineLevel="0" collapsed="false">
      <c r="A1227" s="15" t="s">
        <v>1723</v>
      </c>
      <c r="B1227" s="16" t="n">
        <v>45609</v>
      </c>
      <c r="C1227" s="15" t="s">
        <v>414</v>
      </c>
      <c r="D1227" s="15" t="s">
        <v>419</v>
      </c>
      <c r="E1227" s="15" t="s">
        <v>159</v>
      </c>
      <c r="F1227" s="17" t="n">
        <v>6</v>
      </c>
      <c r="G1227" s="17" t="n">
        <v>3970</v>
      </c>
      <c r="H1227" s="17" t="n">
        <v>18.8</v>
      </c>
      <c r="I1227" s="17" t="n">
        <v>19341.84</v>
      </c>
      <c r="J1227" s="15" t="s">
        <v>104</v>
      </c>
      <c r="K1227" s="15" t="s">
        <v>128</v>
      </c>
    </row>
    <row r="1228" customFormat="false" ht="14.25" hidden="false" customHeight="false" outlineLevel="0" collapsed="false">
      <c r="A1228" s="15" t="s">
        <v>1724</v>
      </c>
      <c r="B1228" s="16" t="n">
        <v>45546</v>
      </c>
      <c r="C1228" s="15" t="s">
        <v>493</v>
      </c>
      <c r="D1228" s="15" t="s">
        <v>375</v>
      </c>
      <c r="E1228" s="15" t="s">
        <v>122</v>
      </c>
      <c r="F1228" s="17" t="n">
        <v>4</v>
      </c>
      <c r="G1228" s="17" t="n">
        <v>5330</v>
      </c>
      <c r="H1228" s="17" t="n">
        <v>19.7</v>
      </c>
      <c r="I1228" s="17" t="n">
        <v>17119.96</v>
      </c>
      <c r="J1228" s="15" t="s">
        <v>98</v>
      </c>
      <c r="K1228" s="15" t="s">
        <v>144</v>
      </c>
    </row>
    <row r="1229" customFormat="false" ht="14.25" hidden="false" customHeight="false" outlineLevel="0" collapsed="false">
      <c r="A1229" s="15" t="s">
        <v>1725</v>
      </c>
      <c r="B1229" s="16" t="n">
        <v>45607</v>
      </c>
      <c r="C1229" s="15" t="s">
        <v>321</v>
      </c>
      <c r="D1229" s="15" t="s">
        <v>290</v>
      </c>
      <c r="E1229" s="15" t="s">
        <v>150</v>
      </c>
      <c r="F1229" s="17" t="n">
        <v>7</v>
      </c>
      <c r="G1229" s="17" t="n">
        <v>2660</v>
      </c>
      <c r="H1229" s="17" t="n">
        <v>8.5</v>
      </c>
      <c r="I1229" s="17" t="n">
        <v>17037.3</v>
      </c>
      <c r="J1229" s="15" t="s">
        <v>98</v>
      </c>
      <c r="K1229" s="15" t="s">
        <v>128</v>
      </c>
    </row>
    <row r="1230" customFormat="false" ht="14.25" hidden="false" customHeight="false" outlineLevel="0" collapsed="false">
      <c r="A1230" s="15" t="s">
        <v>1726</v>
      </c>
      <c r="B1230" s="16" t="n">
        <v>45422</v>
      </c>
      <c r="C1230" s="15" t="s">
        <v>101</v>
      </c>
      <c r="D1230" s="15" t="s">
        <v>117</v>
      </c>
      <c r="E1230" s="15" t="s">
        <v>240</v>
      </c>
      <c r="F1230" s="17" t="n">
        <v>5</v>
      </c>
      <c r="G1230" s="17" t="n">
        <v>3160</v>
      </c>
      <c r="H1230" s="17" t="n">
        <v>13.4</v>
      </c>
      <c r="I1230" s="17" t="n">
        <v>13682.8</v>
      </c>
      <c r="J1230" s="15" t="s">
        <v>104</v>
      </c>
      <c r="K1230" s="15" t="s">
        <v>105</v>
      </c>
    </row>
    <row r="1231" customFormat="false" ht="14.25" hidden="false" customHeight="false" outlineLevel="0" collapsed="false">
      <c r="A1231" s="15" t="s">
        <v>1727</v>
      </c>
      <c r="B1231" s="16" t="n">
        <v>45634</v>
      </c>
      <c r="C1231" s="15" t="s">
        <v>325</v>
      </c>
      <c r="D1231" s="15" t="s">
        <v>193</v>
      </c>
      <c r="E1231" s="15" t="s">
        <v>132</v>
      </c>
      <c r="F1231" s="17" t="n">
        <v>10</v>
      </c>
      <c r="G1231" s="17" t="n">
        <v>1010</v>
      </c>
      <c r="H1231" s="17" t="n">
        <v>14</v>
      </c>
      <c r="I1231" s="17" t="n">
        <v>8686</v>
      </c>
      <c r="J1231" s="15" t="s">
        <v>98</v>
      </c>
      <c r="K1231" s="15" t="s">
        <v>99</v>
      </c>
    </row>
    <row r="1232" customFormat="false" ht="14.25" hidden="false" customHeight="false" outlineLevel="0" collapsed="false">
      <c r="A1232" s="15" t="s">
        <v>1728</v>
      </c>
      <c r="B1232" s="16" t="n">
        <v>45376</v>
      </c>
      <c r="C1232" s="15" t="s">
        <v>148</v>
      </c>
      <c r="D1232" s="15" t="s">
        <v>270</v>
      </c>
      <c r="E1232" s="15" t="s">
        <v>159</v>
      </c>
      <c r="F1232" s="17" t="n">
        <v>3</v>
      </c>
      <c r="G1232" s="17" t="n">
        <v>1540</v>
      </c>
      <c r="H1232" s="17" t="n">
        <v>13.7</v>
      </c>
      <c r="I1232" s="17" t="n">
        <v>3987.06</v>
      </c>
      <c r="J1232" s="15" t="s">
        <v>104</v>
      </c>
      <c r="K1232" s="15" t="s">
        <v>110</v>
      </c>
    </row>
    <row r="1233" customFormat="false" ht="14.25" hidden="false" customHeight="false" outlineLevel="0" collapsed="false">
      <c r="A1233" s="15" t="s">
        <v>1729</v>
      </c>
      <c r="B1233" s="16" t="n">
        <v>45313</v>
      </c>
      <c r="C1233" s="15" t="s">
        <v>691</v>
      </c>
      <c r="D1233" s="15" t="s">
        <v>202</v>
      </c>
      <c r="E1233" s="15" t="s">
        <v>215</v>
      </c>
      <c r="F1233" s="17" t="n">
        <v>10</v>
      </c>
      <c r="G1233" s="17" t="n">
        <v>5100</v>
      </c>
      <c r="H1233" s="17" t="n">
        <v>13.8</v>
      </c>
      <c r="I1233" s="17" t="n">
        <v>43962</v>
      </c>
      <c r="J1233" s="15" t="s">
        <v>98</v>
      </c>
      <c r="K1233" s="15" t="s">
        <v>105</v>
      </c>
    </row>
    <row r="1234" customFormat="false" ht="14.25" hidden="false" customHeight="false" outlineLevel="0" collapsed="false">
      <c r="A1234" s="15" t="s">
        <v>1730</v>
      </c>
      <c r="B1234" s="16" t="n">
        <v>45457</v>
      </c>
      <c r="C1234" s="15" t="s">
        <v>806</v>
      </c>
      <c r="D1234" s="15" t="s">
        <v>131</v>
      </c>
      <c r="E1234" s="15" t="s">
        <v>181</v>
      </c>
      <c r="F1234" s="17" t="n">
        <v>3</v>
      </c>
      <c r="G1234" s="17" t="n">
        <v>1430</v>
      </c>
      <c r="H1234" s="17" t="n">
        <v>1.5</v>
      </c>
      <c r="I1234" s="17" t="n">
        <v>4225.65</v>
      </c>
      <c r="J1234" s="15" t="s">
        <v>98</v>
      </c>
      <c r="K1234" s="15" t="s">
        <v>105</v>
      </c>
    </row>
    <row r="1235" customFormat="false" ht="14.25" hidden="false" customHeight="false" outlineLevel="0" collapsed="false">
      <c r="A1235" s="15" t="s">
        <v>1731</v>
      </c>
      <c r="B1235" s="16" t="n">
        <v>45620</v>
      </c>
      <c r="C1235" s="15" t="s">
        <v>919</v>
      </c>
      <c r="D1235" s="15" t="s">
        <v>135</v>
      </c>
      <c r="E1235" s="15" t="s">
        <v>263</v>
      </c>
      <c r="F1235" s="17" t="n">
        <v>8</v>
      </c>
      <c r="G1235" s="17" t="n">
        <v>5490</v>
      </c>
      <c r="H1235" s="17" t="n">
        <v>23.2</v>
      </c>
      <c r="I1235" s="17" t="n">
        <v>33730.56</v>
      </c>
      <c r="J1235" s="15" t="s">
        <v>98</v>
      </c>
      <c r="K1235" s="15" t="s">
        <v>144</v>
      </c>
    </row>
    <row r="1236" customFormat="false" ht="14.25" hidden="false" customHeight="false" outlineLevel="0" collapsed="false">
      <c r="A1236" s="15" t="s">
        <v>1732</v>
      </c>
      <c r="B1236" s="16" t="n">
        <v>45495</v>
      </c>
      <c r="C1236" s="15" t="s">
        <v>429</v>
      </c>
      <c r="D1236" s="15" t="s">
        <v>187</v>
      </c>
      <c r="E1236" s="15" t="s">
        <v>118</v>
      </c>
      <c r="F1236" s="17" t="n">
        <v>6</v>
      </c>
      <c r="G1236" s="17" t="n">
        <v>1650</v>
      </c>
      <c r="H1236" s="17" t="n">
        <v>16.8</v>
      </c>
      <c r="I1236" s="17" t="n">
        <v>8236.8</v>
      </c>
      <c r="J1236" s="15" t="s">
        <v>98</v>
      </c>
      <c r="K1236" s="15" t="s">
        <v>144</v>
      </c>
    </row>
    <row r="1237" customFormat="false" ht="14.25" hidden="false" customHeight="false" outlineLevel="0" collapsed="false">
      <c r="A1237" s="15" t="s">
        <v>1733</v>
      </c>
      <c r="B1237" s="16" t="n">
        <v>45460</v>
      </c>
      <c r="C1237" s="15" t="s">
        <v>977</v>
      </c>
      <c r="D1237" s="15" t="s">
        <v>287</v>
      </c>
      <c r="E1237" s="15" t="s">
        <v>314</v>
      </c>
      <c r="F1237" s="17" t="n">
        <v>3</v>
      </c>
      <c r="G1237" s="17" t="n">
        <v>3020</v>
      </c>
      <c r="H1237" s="17" t="n">
        <v>14.5</v>
      </c>
      <c r="I1237" s="17" t="n">
        <v>7746.3</v>
      </c>
      <c r="J1237" s="15" t="s">
        <v>98</v>
      </c>
      <c r="K1237" s="15" t="s">
        <v>144</v>
      </c>
    </row>
    <row r="1238" customFormat="false" ht="14.25" hidden="false" customHeight="false" outlineLevel="0" collapsed="false">
      <c r="A1238" s="15" t="s">
        <v>1734</v>
      </c>
      <c r="B1238" s="16" t="n">
        <v>45438</v>
      </c>
      <c r="C1238" s="15" t="s">
        <v>1735</v>
      </c>
      <c r="D1238" s="15" t="s">
        <v>270</v>
      </c>
      <c r="E1238" s="15" t="s">
        <v>159</v>
      </c>
      <c r="F1238" s="17" t="n">
        <v>5</v>
      </c>
      <c r="G1238" s="17" t="n">
        <v>1540</v>
      </c>
      <c r="H1238" s="17" t="n">
        <v>27.2</v>
      </c>
      <c r="I1238" s="17" t="n">
        <v>5605.6</v>
      </c>
      <c r="J1238" s="15" t="s">
        <v>98</v>
      </c>
      <c r="K1238" s="15" t="s">
        <v>128</v>
      </c>
    </row>
    <row r="1239" customFormat="false" ht="14.25" hidden="false" customHeight="false" outlineLevel="0" collapsed="false">
      <c r="A1239" s="15" t="s">
        <v>782</v>
      </c>
      <c r="B1239" s="16" t="n">
        <v>45307</v>
      </c>
      <c r="C1239" s="15" t="s">
        <v>327</v>
      </c>
      <c r="D1239" s="15" t="s">
        <v>526</v>
      </c>
      <c r="E1239" s="15" t="s">
        <v>165</v>
      </c>
      <c r="F1239" s="17" t="n">
        <v>4</v>
      </c>
      <c r="G1239" s="17" t="n">
        <v>6940</v>
      </c>
      <c r="H1239" s="17" t="n">
        <v>3.2</v>
      </c>
      <c r="I1239" s="17" t="n">
        <v>26871.68</v>
      </c>
      <c r="J1239" s="15" t="s">
        <v>98</v>
      </c>
      <c r="K1239" s="15" t="s">
        <v>99</v>
      </c>
    </row>
    <row r="1240" customFormat="false" ht="14.25" hidden="false" customHeight="false" outlineLevel="0" collapsed="false">
      <c r="A1240" s="15" t="s">
        <v>1736</v>
      </c>
      <c r="B1240" s="16" t="n">
        <v>45517</v>
      </c>
      <c r="C1240" s="15" t="s">
        <v>120</v>
      </c>
      <c r="D1240" s="15" t="s">
        <v>202</v>
      </c>
      <c r="E1240" s="15" t="s">
        <v>249</v>
      </c>
      <c r="F1240" s="17" t="n">
        <v>2</v>
      </c>
      <c r="G1240" s="17" t="n">
        <v>5100</v>
      </c>
      <c r="H1240" s="17" t="n">
        <v>18.1</v>
      </c>
      <c r="I1240" s="17" t="n">
        <v>8353.8</v>
      </c>
      <c r="J1240" s="15" t="s">
        <v>98</v>
      </c>
      <c r="K1240" s="15" t="s">
        <v>123</v>
      </c>
    </row>
    <row r="1241" customFormat="false" ht="14.25" hidden="false" customHeight="false" outlineLevel="0" collapsed="false">
      <c r="A1241" s="15" t="s">
        <v>1737</v>
      </c>
      <c r="B1241" s="16" t="n">
        <v>45575</v>
      </c>
      <c r="C1241" s="15" t="s">
        <v>325</v>
      </c>
      <c r="D1241" s="15" t="s">
        <v>375</v>
      </c>
      <c r="E1241" s="15" t="s">
        <v>357</v>
      </c>
      <c r="F1241" s="17" t="n">
        <v>6</v>
      </c>
      <c r="G1241" s="17" t="n">
        <v>5330</v>
      </c>
      <c r="H1241" s="17" t="n">
        <v>0.3</v>
      </c>
      <c r="I1241" s="17" t="n">
        <v>31884.06</v>
      </c>
      <c r="J1241" s="15" t="s">
        <v>104</v>
      </c>
      <c r="K1241" s="15" t="s">
        <v>99</v>
      </c>
    </row>
    <row r="1242" customFormat="false" ht="14.25" hidden="false" customHeight="false" outlineLevel="0" collapsed="false">
      <c r="A1242" s="15" t="s">
        <v>1738</v>
      </c>
      <c r="B1242" s="16" t="n">
        <v>45449</v>
      </c>
      <c r="C1242" s="15" t="s">
        <v>1017</v>
      </c>
      <c r="D1242" s="15" t="s">
        <v>126</v>
      </c>
      <c r="E1242" s="15" t="s">
        <v>240</v>
      </c>
      <c r="F1242" s="17" t="n">
        <v>5</v>
      </c>
      <c r="G1242" s="17" t="n">
        <v>960</v>
      </c>
      <c r="H1242" s="17" t="n">
        <v>16.6</v>
      </c>
      <c r="I1242" s="17" t="n">
        <v>4003.2</v>
      </c>
      <c r="J1242" s="15" t="s">
        <v>98</v>
      </c>
      <c r="K1242" s="15" t="s">
        <v>128</v>
      </c>
    </row>
    <row r="1243" customFormat="false" ht="14.25" hidden="false" customHeight="false" outlineLevel="0" collapsed="false">
      <c r="A1243" s="15" t="s">
        <v>1739</v>
      </c>
      <c r="B1243" s="16" t="n">
        <v>45481</v>
      </c>
      <c r="C1243" s="15" t="s">
        <v>316</v>
      </c>
      <c r="D1243" s="15" t="s">
        <v>96</v>
      </c>
      <c r="E1243" s="15" t="s">
        <v>296</v>
      </c>
      <c r="F1243" s="17" t="n">
        <v>7</v>
      </c>
      <c r="G1243" s="17" t="n">
        <v>3620</v>
      </c>
      <c r="H1243" s="17" t="n">
        <v>5.4</v>
      </c>
      <c r="I1243" s="17" t="n">
        <v>23971.64</v>
      </c>
      <c r="J1243" s="15" t="s">
        <v>98</v>
      </c>
      <c r="K1243" s="15" t="s">
        <v>144</v>
      </c>
    </row>
    <row r="1244" customFormat="false" ht="14.25" hidden="false" customHeight="false" outlineLevel="0" collapsed="false">
      <c r="A1244" s="15" t="s">
        <v>1740</v>
      </c>
      <c r="B1244" s="16" t="n">
        <v>45368</v>
      </c>
      <c r="C1244" s="15" t="s">
        <v>1639</v>
      </c>
      <c r="D1244" s="15" t="s">
        <v>149</v>
      </c>
      <c r="E1244" s="15" t="s">
        <v>114</v>
      </c>
      <c r="F1244" s="17" t="n">
        <v>6</v>
      </c>
      <c r="G1244" s="17" t="n">
        <v>2600</v>
      </c>
      <c r="H1244" s="17" t="n">
        <v>25.9</v>
      </c>
      <c r="I1244" s="17" t="n">
        <v>11559.6</v>
      </c>
      <c r="J1244" s="15" t="s">
        <v>98</v>
      </c>
      <c r="K1244" s="15" t="s">
        <v>105</v>
      </c>
    </row>
    <row r="1245" customFormat="false" ht="14.25" hidden="false" customHeight="false" outlineLevel="0" collapsed="false">
      <c r="A1245" s="15" t="s">
        <v>1741</v>
      </c>
      <c r="B1245" s="16" t="n">
        <v>45298</v>
      </c>
      <c r="C1245" s="15" t="s">
        <v>496</v>
      </c>
      <c r="D1245" s="15" t="s">
        <v>290</v>
      </c>
      <c r="E1245" s="15" t="s">
        <v>263</v>
      </c>
      <c r="F1245" s="17" t="n">
        <v>7</v>
      </c>
      <c r="G1245" s="17" t="n">
        <v>2660</v>
      </c>
      <c r="H1245" s="17" t="n">
        <v>20.2</v>
      </c>
      <c r="I1245" s="17" t="n">
        <v>14858.76</v>
      </c>
      <c r="J1245" s="15" t="s">
        <v>98</v>
      </c>
      <c r="K1245" s="15" t="s">
        <v>99</v>
      </c>
    </row>
    <row r="1246" customFormat="false" ht="14.25" hidden="false" customHeight="false" outlineLevel="0" collapsed="false">
      <c r="A1246" s="15" t="s">
        <v>1742</v>
      </c>
      <c r="B1246" s="16" t="n">
        <v>45472</v>
      </c>
      <c r="C1246" s="15" t="s">
        <v>970</v>
      </c>
      <c r="D1246" s="15" t="s">
        <v>178</v>
      </c>
      <c r="E1246" s="15" t="s">
        <v>296</v>
      </c>
      <c r="F1246" s="17" t="n">
        <v>9</v>
      </c>
      <c r="G1246" s="17" t="n">
        <v>2480</v>
      </c>
      <c r="H1246" s="17" t="n">
        <v>14.7</v>
      </c>
      <c r="I1246" s="17" t="n">
        <v>19038.96</v>
      </c>
      <c r="J1246" s="15" t="s">
        <v>98</v>
      </c>
      <c r="K1246" s="15" t="s">
        <v>123</v>
      </c>
    </row>
    <row r="1247" customFormat="false" ht="14.25" hidden="false" customHeight="false" outlineLevel="0" collapsed="false">
      <c r="A1247" s="15" t="s">
        <v>1743</v>
      </c>
      <c r="B1247" s="16" t="n">
        <v>45568</v>
      </c>
      <c r="C1247" s="15" t="s">
        <v>368</v>
      </c>
      <c r="D1247" s="15" t="s">
        <v>290</v>
      </c>
      <c r="E1247" s="15" t="s">
        <v>199</v>
      </c>
      <c r="F1247" s="17" t="n">
        <v>4</v>
      </c>
      <c r="G1247" s="17" t="n">
        <v>2660</v>
      </c>
      <c r="H1247" s="17" t="n">
        <v>8.9</v>
      </c>
      <c r="I1247" s="17" t="n">
        <v>9693.04</v>
      </c>
      <c r="J1247" s="15" t="s">
        <v>98</v>
      </c>
      <c r="K1247" s="15" t="s">
        <v>110</v>
      </c>
    </row>
    <row r="1248" customFormat="false" ht="14.25" hidden="false" customHeight="false" outlineLevel="0" collapsed="false">
      <c r="A1248" s="15" t="s">
        <v>1744</v>
      </c>
      <c r="B1248" s="16" t="n">
        <v>45540</v>
      </c>
      <c r="C1248" s="15" t="s">
        <v>911</v>
      </c>
      <c r="D1248" s="15" t="s">
        <v>375</v>
      </c>
      <c r="E1248" s="15" t="s">
        <v>143</v>
      </c>
      <c r="F1248" s="17" t="n">
        <v>1</v>
      </c>
      <c r="G1248" s="17" t="n">
        <v>5330</v>
      </c>
      <c r="H1248" s="17" t="n">
        <v>26.8</v>
      </c>
      <c r="I1248" s="17" t="n">
        <v>3901.56</v>
      </c>
      <c r="J1248" s="15" t="s">
        <v>98</v>
      </c>
      <c r="K1248" s="15" t="s">
        <v>128</v>
      </c>
    </row>
    <row r="1249" customFormat="false" ht="14.25" hidden="false" customHeight="false" outlineLevel="0" collapsed="false">
      <c r="A1249" s="15" t="s">
        <v>1745</v>
      </c>
      <c r="B1249" s="16" t="n">
        <v>45544</v>
      </c>
      <c r="C1249" s="15" t="s">
        <v>1634</v>
      </c>
      <c r="D1249" s="15" t="s">
        <v>172</v>
      </c>
      <c r="E1249" s="15" t="s">
        <v>354</v>
      </c>
      <c r="F1249" s="17" t="n">
        <v>6</v>
      </c>
      <c r="G1249" s="17" t="n">
        <v>3450</v>
      </c>
      <c r="H1249" s="17" t="n">
        <v>19.2</v>
      </c>
      <c r="I1249" s="17" t="n">
        <v>16725.6</v>
      </c>
      <c r="J1249" s="15" t="s">
        <v>104</v>
      </c>
      <c r="K1249" s="15" t="s">
        <v>128</v>
      </c>
    </row>
    <row r="1250" customFormat="false" ht="14.25" hidden="false" customHeight="false" outlineLevel="0" collapsed="false">
      <c r="A1250" s="15" t="s">
        <v>1746</v>
      </c>
      <c r="B1250" s="16" t="n">
        <v>45334</v>
      </c>
      <c r="C1250" s="15" t="s">
        <v>180</v>
      </c>
      <c r="D1250" s="15" t="s">
        <v>158</v>
      </c>
      <c r="E1250" s="15" t="s">
        <v>122</v>
      </c>
      <c r="F1250" s="17" t="n">
        <v>10</v>
      </c>
      <c r="G1250" s="17" t="n">
        <v>190</v>
      </c>
      <c r="H1250" s="17" t="n">
        <v>18.1</v>
      </c>
      <c r="I1250" s="17" t="n">
        <v>1556.1</v>
      </c>
      <c r="J1250" s="15" t="s">
        <v>98</v>
      </c>
      <c r="K1250" s="15" t="s">
        <v>123</v>
      </c>
    </row>
    <row r="1251" customFormat="false" ht="14.25" hidden="false" customHeight="false" outlineLevel="0" collapsed="false">
      <c r="A1251" s="15" t="s">
        <v>1747</v>
      </c>
      <c r="B1251" s="16" t="n">
        <v>45584</v>
      </c>
      <c r="C1251" s="15" t="s">
        <v>632</v>
      </c>
      <c r="D1251" s="15" t="s">
        <v>419</v>
      </c>
      <c r="E1251" s="15" t="s">
        <v>215</v>
      </c>
      <c r="F1251" s="17" t="n">
        <v>9</v>
      </c>
      <c r="G1251" s="17" t="n">
        <v>3970</v>
      </c>
      <c r="H1251" s="17" t="n">
        <v>18.2</v>
      </c>
      <c r="I1251" s="17" t="n">
        <v>29227.14</v>
      </c>
      <c r="J1251" s="15" t="s">
        <v>104</v>
      </c>
      <c r="K1251" s="15" t="s">
        <v>105</v>
      </c>
    </row>
    <row r="1252" customFormat="false" ht="14.25" hidden="false" customHeight="false" outlineLevel="0" collapsed="false">
      <c r="A1252" s="15" t="s">
        <v>1748</v>
      </c>
      <c r="B1252" s="16" t="n">
        <v>45404</v>
      </c>
      <c r="C1252" s="15" t="s">
        <v>141</v>
      </c>
      <c r="D1252" s="15" t="s">
        <v>281</v>
      </c>
      <c r="E1252" s="15" t="s">
        <v>308</v>
      </c>
      <c r="F1252" s="17" t="n">
        <v>4</v>
      </c>
      <c r="G1252" s="17" t="n">
        <v>4610</v>
      </c>
      <c r="H1252" s="17" t="n">
        <v>15.1</v>
      </c>
      <c r="I1252" s="17" t="n">
        <v>15655.56</v>
      </c>
      <c r="J1252" s="15" t="s">
        <v>151</v>
      </c>
      <c r="K1252" s="15" t="s">
        <v>144</v>
      </c>
    </row>
    <row r="1253" customFormat="false" ht="14.25" hidden="false" customHeight="false" outlineLevel="0" collapsed="false">
      <c r="A1253" s="15" t="s">
        <v>1749</v>
      </c>
      <c r="B1253" s="16" t="n">
        <v>45476</v>
      </c>
      <c r="C1253" s="15" t="s">
        <v>403</v>
      </c>
      <c r="D1253" s="15" t="s">
        <v>303</v>
      </c>
      <c r="E1253" s="15" t="s">
        <v>122</v>
      </c>
      <c r="F1253" s="17" t="n">
        <v>2</v>
      </c>
      <c r="G1253" s="17" t="n">
        <v>620</v>
      </c>
      <c r="H1253" s="17" t="n">
        <v>3.3</v>
      </c>
      <c r="I1253" s="17" t="n">
        <v>1199.08</v>
      </c>
      <c r="J1253" s="15" t="s">
        <v>98</v>
      </c>
      <c r="K1253" s="15" t="s">
        <v>123</v>
      </c>
    </row>
    <row r="1254" customFormat="false" ht="14.25" hidden="false" customHeight="false" outlineLevel="0" collapsed="false">
      <c r="A1254" s="15" t="s">
        <v>1750</v>
      </c>
      <c r="B1254" s="16" t="n">
        <v>45481</v>
      </c>
      <c r="C1254" s="15" t="s">
        <v>768</v>
      </c>
      <c r="D1254" s="15" t="s">
        <v>270</v>
      </c>
      <c r="E1254" s="15" t="s">
        <v>122</v>
      </c>
      <c r="F1254" s="17" t="n">
        <v>7</v>
      </c>
      <c r="G1254" s="17" t="n">
        <v>1540</v>
      </c>
      <c r="H1254" s="17" t="n">
        <v>27.5</v>
      </c>
      <c r="I1254" s="17" t="n">
        <v>7815.5</v>
      </c>
      <c r="J1254" s="15" t="s">
        <v>98</v>
      </c>
      <c r="K1254" s="15" t="s">
        <v>128</v>
      </c>
    </row>
    <row r="1255" customFormat="false" ht="14.25" hidden="false" customHeight="false" outlineLevel="0" collapsed="false">
      <c r="A1255" s="15" t="s">
        <v>1751</v>
      </c>
      <c r="B1255" s="16" t="n">
        <v>45480</v>
      </c>
      <c r="C1255" s="15" t="s">
        <v>806</v>
      </c>
      <c r="D1255" s="15" t="s">
        <v>108</v>
      </c>
      <c r="E1255" s="15" t="s">
        <v>249</v>
      </c>
      <c r="F1255" s="17" t="n">
        <v>10</v>
      </c>
      <c r="G1255" s="17" t="n">
        <v>470</v>
      </c>
      <c r="H1255" s="17" t="n">
        <v>3.9</v>
      </c>
      <c r="I1255" s="17" t="n">
        <v>4516.7</v>
      </c>
      <c r="J1255" s="15" t="s">
        <v>98</v>
      </c>
      <c r="K1255" s="15" t="s">
        <v>105</v>
      </c>
    </row>
    <row r="1256" customFormat="false" ht="14.25" hidden="false" customHeight="false" outlineLevel="0" collapsed="false">
      <c r="A1256" s="15" t="s">
        <v>1752</v>
      </c>
      <c r="B1256" s="16" t="n">
        <v>45603</v>
      </c>
      <c r="C1256" s="15" t="s">
        <v>979</v>
      </c>
      <c r="D1256" s="15" t="s">
        <v>195</v>
      </c>
      <c r="E1256" s="15" t="s">
        <v>308</v>
      </c>
      <c r="F1256" s="17" t="n">
        <v>5</v>
      </c>
      <c r="G1256" s="17" t="n">
        <v>4880</v>
      </c>
      <c r="H1256" s="17" t="n">
        <v>27.4</v>
      </c>
      <c r="I1256" s="17" t="n">
        <v>17714.4</v>
      </c>
      <c r="J1256" s="15" t="s">
        <v>98</v>
      </c>
      <c r="K1256" s="15" t="s">
        <v>110</v>
      </c>
    </row>
    <row r="1257" customFormat="false" ht="14.25" hidden="false" customHeight="false" outlineLevel="0" collapsed="false">
      <c r="A1257" s="15" t="s">
        <v>1753</v>
      </c>
      <c r="B1257" s="16" t="n">
        <v>45548</v>
      </c>
      <c r="C1257" s="15" t="s">
        <v>1083</v>
      </c>
      <c r="D1257" s="15" t="s">
        <v>371</v>
      </c>
      <c r="E1257" s="15" t="s">
        <v>240</v>
      </c>
      <c r="F1257" s="17" t="n">
        <v>1</v>
      </c>
      <c r="G1257" s="17" t="n">
        <v>5410</v>
      </c>
      <c r="H1257" s="17" t="n">
        <v>8.3</v>
      </c>
      <c r="I1257" s="17" t="n">
        <v>4960.97</v>
      </c>
      <c r="J1257" s="15" t="s">
        <v>98</v>
      </c>
      <c r="K1257" s="15" t="s">
        <v>123</v>
      </c>
    </row>
    <row r="1258" customFormat="false" ht="14.25" hidden="false" customHeight="false" outlineLevel="0" collapsed="false">
      <c r="A1258" s="15" t="s">
        <v>1754</v>
      </c>
      <c r="B1258" s="16" t="n">
        <v>45482</v>
      </c>
      <c r="C1258" s="15" t="s">
        <v>283</v>
      </c>
      <c r="D1258" s="15" t="s">
        <v>259</v>
      </c>
      <c r="E1258" s="15" t="s">
        <v>296</v>
      </c>
      <c r="F1258" s="17" t="n">
        <v>8</v>
      </c>
      <c r="G1258" s="17" t="n">
        <v>3870</v>
      </c>
      <c r="H1258" s="17" t="n">
        <v>9.3</v>
      </c>
      <c r="I1258" s="17" t="n">
        <v>28080.72</v>
      </c>
      <c r="J1258" s="15" t="s">
        <v>104</v>
      </c>
      <c r="K1258" s="15" t="s">
        <v>105</v>
      </c>
    </row>
    <row r="1259" customFormat="false" ht="14.25" hidden="false" customHeight="false" outlineLevel="0" collapsed="false">
      <c r="A1259" s="15" t="s">
        <v>1755</v>
      </c>
      <c r="B1259" s="16" t="n">
        <v>45457</v>
      </c>
      <c r="C1259" s="15" t="s">
        <v>736</v>
      </c>
      <c r="D1259" s="15" t="s">
        <v>146</v>
      </c>
      <c r="E1259" s="15" t="s">
        <v>249</v>
      </c>
      <c r="F1259" s="17" t="n">
        <v>10</v>
      </c>
      <c r="G1259" s="17" t="n">
        <v>2640</v>
      </c>
      <c r="H1259" s="17" t="n">
        <v>19.9</v>
      </c>
      <c r="I1259" s="17" t="n">
        <v>21146.4</v>
      </c>
      <c r="J1259" s="15" t="s">
        <v>98</v>
      </c>
      <c r="K1259" s="15" t="s">
        <v>110</v>
      </c>
    </row>
    <row r="1260" customFormat="false" ht="14.25" hidden="false" customHeight="false" outlineLevel="0" collapsed="false">
      <c r="A1260" s="15" t="s">
        <v>1756</v>
      </c>
      <c r="B1260" s="16" t="n">
        <v>45508</v>
      </c>
      <c r="C1260" s="15" t="s">
        <v>632</v>
      </c>
      <c r="D1260" s="15" t="s">
        <v>454</v>
      </c>
      <c r="E1260" s="15" t="s">
        <v>97</v>
      </c>
      <c r="F1260" s="17" t="n">
        <v>1</v>
      </c>
      <c r="G1260" s="17" t="n">
        <v>5080</v>
      </c>
      <c r="H1260" s="17" t="n">
        <v>8.6</v>
      </c>
      <c r="I1260" s="17" t="n">
        <v>4643.12</v>
      </c>
      <c r="J1260" s="15" t="s">
        <v>98</v>
      </c>
      <c r="K1260" s="15" t="s">
        <v>105</v>
      </c>
    </row>
    <row r="1261" customFormat="false" ht="14.25" hidden="false" customHeight="false" outlineLevel="0" collapsed="false">
      <c r="A1261" s="15" t="s">
        <v>1757</v>
      </c>
      <c r="B1261" s="16" t="n">
        <v>45399</v>
      </c>
      <c r="C1261" s="15" t="s">
        <v>711</v>
      </c>
      <c r="D1261" s="15" t="s">
        <v>154</v>
      </c>
      <c r="E1261" s="15" t="s">
        <v>314</v>
      </c>
      <c r="F1261" s="17" t="n">
        <v>9</v>
      </c>
      <c r="G1261" s="17" t="n">
        <v>3250</v>
      </c>
      <c r="H1261" s="17" t="n">
        <v>18.2</v>
      </c>
      <c r="I1261" s="17" t="n">
        <v>23926.5</v>
      </c>
      <c r="J1261" s="15" t="s">
        <v>104</v>
      </c>
      <c r="K1261" s="15" t="s">
        <v>105</v>
      </c>
    </row>
    <row r="1262" customFormat="false" ht="14.25" hidden="false" customHeight="false" outlineLevel="0" collapsed="false">
      <c r="A1262" s="15" t="s">
        <v>1758</v>
      </c>
      <c r="B1262" s="16" t="n">
        <v>45607</v>
      </c>
      <c r="C1262" s="15" t="s">
        <v>174</v>
      </c>
      <c r="D1262" s="15" t="s">
        <v>419</v>
      </c>
      <c r="E1262" s="15" t="s">
        <v>308</v>
      </c>
      <c r="F1262" s="17" t="n">
        <v>8</v>
      </c>
      <c r="G1262" s="17" t="n">
        <v>3970</v>
      </c>
      <c r="H1262" s="17" t="n">
        <v>22.4</v>
      </c>
      <c r="I1262" s="17" t="n">
        <v>24645.76</v>
      </c>
      <c r="J1262" s="15" t="s">
        <v>98</v>
      </c>
      <c r="K1262" s="15" t="s">
        <v>105</v>
      </c>
    </row>
    <row r="1263" customFormat="false" ht="14.25" hidden="false" customHeight="false" outlineLevel="0" collapsed="false">
      <c r="A1263" s="15" t="s">
        <v>1759</v>
      </c>
      <c r="B1263" s="16" t="n">
        <v>45407</v>
      </c>
      <c r="C1263" s="15" t="s">
        <v>468</v>
      </c>
      <c r="D1263" s="15" t="s">
        <v>214</v>
      </c>
      <c r="E1263" s="15" t="s">
        <v>249</v>
      </c>
      <c r="F1263" s="17" t="n">
        <v>3</v>
      </c>
      <c r="G1263" s="17" t="n">
        <v>660</v>
      </c>
      <c r="H1263" s="17" t="n">
        <v>3.1</v>
      </c>
      <c r="I1263" s="17" t="n">
        <v>1918.62</v>
      </c>
      <c r="J1263" s="15" t="s">
        <v>98</v>
      </c>
      <c r="K1263" s="15" t="s">
        <v>99</v>
      </c>
    </row>
    <row r="1264" customFormat="false" ht="14.25" hidden="false" customHeight="false" outlineLevel="0" collapsed="false">
      <c r="A1264" s="15" t="s">
        <v>1760</v>
      </c>
      <c r="B1264" s="16" t="n">
        <v>45357</v>
      </c>
      <c r="C1264" s="15" t="s">
        <v>1242</v>
      </c>
      <c r="D1264" s="15" t="s">
        <v>149</v>
      </c>
      <c r="E1264" s="15" t="s">
        <v>296</v>
      </c>
      <c r="F1264" s="17" t="n">
        <v>7</v>
      </c>
      <c r="G1264" s="17" t="n">
        <v>2600</v>
      </c>
      <c r="H1264" s="17" t="n">
        <v>15.4</v>
      </c>
      <c r="I1264" s="17" t="n">
        <v>15397.2</v>
      </c>
      <c r="J1264" s="15" t="s">
        <v>98</v>
      </c>
      <c r="K1264" s="15" t="s">
        <v>99</v>
      </c>
    </row>
    <row r="1265" customFormat="false" ht="14.25" hidden="false" customHeight="false" outlineLevel="0" collapsed="false">
      <c r="A1265" s="15" t="s">
        <v>1761</v>
      </c>
      <c r="B1265" s="16" t="n">
        <v>45565</v>
      </c>
      <c r="C1265" s="15" t="s">
        <v>619</v>
      </c>
      <c r="D1265" s="15" t="s">
        <v>214</v>
      </c>
      <c r="E1265" s="15" t="s">
        <v>199</v>
      </c>
      <c r="F1265" s="17" t="n">
        <v>9</v>
      </c>
      <c r="G1265" s="17" t="n">
        <v>660</v>
      </c>
      <c r="H1265" s="17" t="n">
        <v>23.7</v>
      </c>
      <c r="I1265" s="17" t="n">
        <v>4532.22</v>
      </c>
      <c r="J1265" s="15" t="s">
        <v>98</v>
      </c>
      <c r="K1265" s="15" t="s">
        <v>99</v>
      </c>
    </row>
    <row r="1266" customFormat="false" ht="14.25" hidden="false" customHeight="false" outlineLevel="0" collapsed="false">
      <c r="A1266" s="15" t="s">
        <v>1762</v>
      </c>
      <c r="B1266" s="16" t="n">
        <v>45395</v>
      </c>
      <c r="C1266" s="15" t="s">
        <v>269</v>
      </c>
      <c r="D1266" s="15" t="s">
        <v>378</v>
      </c>
      <c r="E1266" s="15" t="s">
        <v>169</v>
      </c>
      <c r="F1266" s="17" t="n">
        <v>3</v>
      </c>
      <c r="G1266" s="17" t="n">
        <v>2380</v>
      </c>
      <c r="H1266" s="17" t="n">
        <v>19.5</v>
      </c>
      <c r="I1266" s="17" t="n">
        <v>5747.7</v>
      </c>
      <c r="J1266" s="15" t="s">
        <v>151</v>
      </c>
      <c r="K1266" s="15" t="s">
        <v>110</v>
      </c>
    </row>
    <row r="1267" customFormat="false" ht="14.25" hidden="false" customHeight="false" outlineLevel="0" collapsed="false">
      <c r="A1267" s="15" t="s">
        <v>1763</v>
      </c>
      <c r="B1267" s="16" t="n">
        <v>45624</v>
      </c>
      <c r="C1267" s="15" t="s">
        <v>339</v>
      </c>
      <c r="D1267" s="15" t="s">
        <v>187</v>
      </c>
      <c r="E1267" s="15" t="s">
        <v>143</v>
      </c>
      <c r="F1267" s="17" t="n">
        <v>9</v>
      </c>
      <c r="G1267" s="17" t="n">
        <v>1650</v>
      </c>
      <c r="H1267" s="17" t="n">
        <v>2.5</v>
      </c>
      <c r="I1267" s="17" t="n">
        <v>14478.75</v>
      </c>
      <c r="J1267" s="15" t="s">
        <v>98</v>
      </c>
      <c r="K1267" s="15" t="s">
        <v>105</v>
      </c>
    </row>
    <row r="1268" customFormat="false" ht="14.25" hidden="false" customHeight="false" outlineLevel="0" collapsed="false">
      <c r="A1268" s="15" t="s">
        <v>1764</v>
      </c>
      <c r="B1268" s="16" t="n">
        <v>45650</v>
      </c>
      <c r="C1268" s="15" t="s">
        <v>1765</v>
      </c>
      <c r="D1268" s="15" t="s">
        <v>146</v>
      </c>
      <c r="E1268" s="15" t="s">
        <v>114</v>
      </c>
      <c r="F1268" s="17" t="n">
        <v>8</v>
      </c>
      <c r="G1268" s="17" t="n">
        <v>2640</v>
      </c>
      <c r="H1268" s="17" t="n">
        <v>24.4</v>
      </c>
      <c r="I1268" s="17" t="n">
        <v>15966.72</v>
      </c>
      <c r="J1268" s="15" t="s">
        <v>98</v>
      </c>
      <c r="K1268" s="15" t="s">
        <v>123</v>
      </c>
    </row>
    <row r="1269" customFormat="false" ht="14.25" hidden="false" customHeight="false" outlineLevel="0" collapsed="false">
      <c r="A1269" s="15" t="s">
        <v>1766</v>
      </c>
      <c r="B1269" s="16" t="n">
        <v>45370</v>
      </c>
      <c r="C1269" s="15" t="s">
        <v>608</v>
      </c>
      <c r="D1269" s="15" t="s">
        <v>378</v>
      </c>
      <c r="E1269" s="15" t="s">
        <v>263</v>
      </c>
      <c r="F1269" s="17" t="n">
        <v>8</v>
      </c>
      <c r="G1269" s="17" t="n">
        <v>2380</v>
      </c>
      <c r="H1269" s="17" t="n">
        <v>24.2</v>
      </c>
      <c r="I1269" s="17" t="n">
        <v>14432.32</v>
      </c>
      <c r="J1269" s="15" t="s">
        <v>98</v>
      </c>
      <c r="K1269" s="15" t="s">
        <v>123</v>
      </c>
    </row>
    <row r="1270" customFormat="false" ht="14.25" hidden="false" customHeight="false" outlineLevel="0" collapsed="false">
      <c r="A1270" s="15" t="s">
        <v>1767</v>
      </c>
      <c r="B1270" s="16" t="n">
        <v>45373</v>
      </c>
      <c r="C1270" s="15" t="s">
        <v>269</v>
      </c>
      <c r="D1270" s="15" t="s">
        <v>349</v>
      </c>
      <c r="E1270" s="15" t="s">
        <v>97</v>
      </c>
      <c r="F1270" s="17" t="n">
        <v>10</v>
      </c>
      <c r="G1270" s="17" t="n">
        <v>2210</v>
      </c>
      <c r="H1270" s="17" t="n">
        <v>3.6</v>
      </c>
      <c r="I1270" s="17" t="n">
        <v>21304.4</v>
      </c>
      <c r="J1270" s="15" t="s">
        <v>98</v>
      </c>
      <c r="K1270" s="15" t="s">
        <v>110</v>
      </c>
    </row>
    <row r="1271" customFormat="false" ht="14.25" hidden="false" customHeight="false" outlineLevel="0" collapsed="false">
      <c r="A1271" s="15" t="s">
        <v>1768</v>
      </c>
      <c r="B1271" s="16" t="n">
        <v>45391</v>
      </c>
      <c r="C1271" s="15" t="s">
        <v>846</v>
      </c>
      <c r="D1271" s="15" t="s">
        <v>252</v>
      </c>
      <c r="E1271" s="15" t="s">
        <v>314</v>
      </c>
      <c r="F1271" s="17" t="n">
        <v>9</v>
      </c>
      <c r="G1271" s="17" t="n">
        <v>6080</v>
      </c>
      <c r="H1271" s="17" t="n">
        <v>17.2</v>
      </c>
      <c r="I1271" s="17" t="n">
        <v>45308.16</v>
      </c>
      <c r="J1271" s="15" t="s">
        <v>104</v>
      </c>
      <c r="K1271" s="15" t="s">
        <v>128</v>
      </c>
    </row>
    <row r="1272" customFormat="false" ht="14.25" hidden="false" customHeight="false" outlineLevel="0" collapsed="false">
      <c r="A1272" s="15" t="s">
        <v>1769</v>
      </c>
      <c r="B1272" s="16" t="n">
        <v>45332</v>
      </c>
      <c r="C1272" s="15" t="s">
        <v>708</v>
      </c>
      <c r="D1272" s="15" t="s">
        <v>193</v>
      </c>
      <c r="E1272" s="15" t="s">
        <v>296</v>
      </c>
      <c r="F1272" s="17" t="n">
        <v>8</v>
      </c>
      <c r="G1272" s="17" t="n">
        <v>1010</v>
      </c>
      <c r="H1272" s="17" t="n">
        <v>12.3</v>
      </c>
      <c r="I1272" s="17" t="n">
        <v>7086.16</v>
      </c>
      <c r="J1272" s="15" t="s">
        <v>98</v>
      </c>
      <c r="K1272" s="15" t="s">
        <v>144</v>
      </c>
    </row>
    <row r="1273" customFormat="false" ht="14.25" hidden="false" customHeight="false" outlineLevel="0" collapsed="false">
      <c r="A1273" s="15" t="s">
        <v>1770</v>
      </c>
      <c r="B1273" s="16" t="n">
        <v>45582</v>
      </c>
      <c r="C1273" s="15" t="s">
        <v>959</v>
      </c>
      <c r="D1273" s="15" t="s">
        <v>113</v>
      </c>
      <c r="E1273" s="15" t="s">
        <v>284</v>
      </c>
      <c r="F1273" s="17" t="n">
        <v>8</v>
      </c>
      <c r="G1273" s="17" t="n">
        <v>3660</v>
      </c>
      <c r="H1273" s="17" t="n">
        <v>8.4</v>
      </c>
      <c r="I1273" s="17" t="n">
        <v>26820.48</v>
      </c>
      <c r="J1273" s="15" t="s">
        <v>98</v>
      </c>
      <c r="K1273" s="15" t="s">
        <v>99</v>
      </c>
    </row>
    <row r="1274" customFormat="false" ht="14.25" hidden="false" customHeight="false" outlineLevel="0" collapsed="false">
      <c r="A1274" s="15" t="s">
        <v>1771</v>
      </c>
      <c r="B1274" s="16" t="n">
        <v>45443</v>
      </c>
      <c r="C1274" s="15" t="s">
        <v>1027</v>
      </c>
      <c r="D1274" s="15" t="s">
        <v>281</v>
      </c>
      <c r="E1274" s="15" t="s">
        <v>240</v>
      </c>
      <c r="F1274" s="17" t="n">
        <v>8</v>
      </c>
      <c r="G1274" s="17" t="n">
        <v>4610</v>
      </c>
      <c r="H1274" s="17" t="n">
        <v>15.4</v>
      </c>
      <c r="I1274" s="17" t="n">
        <v>31200.48</v>
      </c>
      <c r="J1274" s="15" t="s">
        <v>151</v>
      </c>
      <c r="K1274" s="15" t="s">
        <v>128</v>
      </c>
    </row>
    <row r="1275" customFormat="false" ht="14.25" hidden="false" customHeight="false" outlineLevel="0" collapsed="false">
      <c r="A1275" s="15" t="s">
        <v>1772</v>
      </c>
      <c r="B1275" s="16" t="n">
        <v>45525</v>
      </c>
      <c r="C1275" s="15" t="s">
        <v>1027</v>
      </c>
      <c r="D1275" s="15" t="s">
        <v>202</v>
      </c>
      <c r="E1275" s="15" t="s">
        <v>114</v>
      </c>
      <c r="F1275" s="17" t="n">
        <v>9</v>
      </c>
      <c r="G1275" s="17" t="n">
        <v>5100</v>
      </c>
      <c r="H1275" s="17" t="n">
        <v>25.2</v>
      </c>
      <c r="I1275" s="17" t="n">
        <v>34333.2</v>
      </c>
      <c r="J1275" s="15" t="s">
        <v>151</v>
      </c>
      <c r="K1275" s="15" t="s">
        <v>128</v>
      </c>
    </row>
    <row r="1276" customFormat="false" ht="14.25" hidden="false" customHeight="false" outlineLevel="0" collapsed="false">
      <c r="A1276" s="15" t="s">
        <v>1773</v>
      </c>
      <c r="B1276" s="16" t="n">
        <v>45377</v>
      </c>
      <c r="C1276" s="15" t="s">
        <v>414</v>
      </c>
      <c r="D1276" s="15" t="s">
        <v>287</v>
      </c>
      <c r="E1276" s="15" t="s">
        <v>132</v>
      </c>
      <c r="F1276" s="17" t="n">
        <v>5</v>
      </c>
      <c r="G1276" s="17" t="n">
        <v>3020</v>
      </c>
      <c r="H1276" s="17" t="n">
        <v>23</v>
      </c>
      <c r="I1276" s="17" t="n">
        <v>11627</v>
      </c>
      <c r="J1276" s="15" t="s">
        <v>98</v>
      </c>
      <c r="K1276" s="15" t="s">
        <v>128</v>
      </c>
    </row>
    <row r="1277" customFormat="false" ht="14.25" hidden="false" customHeight="false" outlineLevel="0" collapsed="false">
      <c r="A1277" s="15" t="s">
        <v>1774</v>
      </c>
      <c r="B1277" s="16" t="n">
        <v>45413</v>
      </c>
      <c r="C1277" s="15" t="s">
        <v>617</v>
      </c>
      <c r="D1277" s="15" t="s">
        <v>472</v>
      </c>
      <c r="E1277" s="15" t="s">
        <v>199</v>
      </c>
      <c r="F1277" s="17" t="n">
        <v>8</v>
      </c>
      <c r="G1277" s="17" t="n">
        <v>3780</v>
      </c>
      <c r="H1277" s="17" t="n">
        <v>17.1</v>
      </c>
      <c r="I1277" s="17" t="n">
        <v>25068.96</v>
      </c>
      <c r="J1277" s="15" t="s">
        <v>98</v>
      </c>
      <c r="K1277" s="15" t="s">
        <v>123</v>
      </c>
    </row>
    <row r="1278" customFormat="false" ht="14.25" hidden="false" customHeight="false" outlineLevel="0" collapsed="false">
      <c r="A1278" s="15" t="s">
        <v>1775</v>
      </c>
      <c r="B1278" s="16" t="n">
        <v>45437</v>
      </c>
      <c r="C1278" s="15" t="s">
        <v>208</v>
      </c>
      <c r="D1278" s="15" t="s">
        <v>349</v>
      </c>
      <c r="E1278" s="15" t="s">
        <v>226</v>
      </c>
      <c r="F1278" s="17" t="n">
        <v>10</v>
      </c>
      <c r="G1278" s="17" t="n">
        <v>2210</v>
      </c>
      <c r="H1278" s="17" t="n">
        <v>8.5</v>
      </c>
      <c r="I1278" s="17" t="n">
        <v>20221.5</v>
      </c>
      <c r="J1278" s="15" t="s">
        <v>98</v>
      </c>
      <c r="K1278" s="15" t="s">
        <v>99</v>
      </c>
    </row>
    <row r="1279" customFormat="false" ht="14.25" hidden="false" customHeight="false" outlineLevel="0" collapsed="false">
      <c r="A1279" s="15" t="s">
        <v>1776</v>
      </c>
      <c r="B1279" s="16" t="n">
        <v>45604</v>
      </c>
      <c r="C1279" s="15" t="s">
        <v>1242</v>
      </c>
      <c r="D1279" s="15" t="s">
        <v>349</v>
      </c>
      <c r="E1279" s="15" t="s">
        <v>199</v>
      </c>
      <c r="F1279" s="17" t="n">
        <v>4</v>
      </c>
      <c r="G1279" s="17" t="n">
        <v>2210</v>
      </c>
      <c r="H1279" s="17" t="n">
        <v>3.1</v>
      </c>
      <c r="I1279" s="17" t="n">
        <v>8565.96</v>
      </c>
      <c r="J1279" s="15" t="s">
        <v>98</v>
      </c>
      <c r="K1279" s="15" t="s">
        <v>99</v>
      </c>
    </row>
    <row r="1280" customFormat="false" ht="14.25" hidden="false" customHeight="false" outlineLevel="0" collapsed="false">
      <c r="A1280" s="15" t="s">
        <v>1777</v>
      </c>
      <c r="B1280" s="16" t="n">
        <v>45540</v>
      </c>
      <c r="C1280" s="15" t="s">
        <v>471</v>
      </c>
      <c r="D1280" s="15" t="s">
        <v>187</v>
      </c>
      <c r="E1280" s="15" t="s">
        <v>199</v>
      </c>
      <c r="F1280" s="17" t="n">
        <v>1</v>
      </c>
      <c r="G1280" s="17" t="n">
        <v>1650</v>
      </c>
      <c r="H1280" s="17" t="n">
        <v>10</v>
      </c>
      <c r="I1280" s="17" t="n">
        <v>1485</v>
      </c>
      <c r="J1280" s="15" t="s">
        <v>98</v>
      </c>
      <c r="K1280" s="15" t="s">
        <v>99</v>
      </c>
    </row>
    <row r="1281" customFormat="false" ht="14.25" hidden="false" customHeight="false" outlineLevel="0" collapsed="false">
      <c r="A1281" s="15" t="s">
        <v>1778</v>
      </c>
      <c r="B1281" s="16" t="n">
        <v>45597</v>
      </c>
      <c r="C1281" s="15" t="s">
        <v>422</v>
      </c>
      <c r="D1281" s="15" t="s">
        <v>158</v>
      </c>
      <c r="E1281" s="15" t="s">
        <v>103</v>
      </c>
      <c r="F1281" s="17" t="n">
        <v>6</v>
      </c>
      <c r="G1281" s="17" t="n">
        <v>190</v>
      </c>
      <c r="H1281" s="17" t="n">
        <v>3.5</v>
      </c>
      <c r="I1281" s="17" t="n">
        <v>1100.1</v>
      </c>
      <c r="J1281" s="15" t="s">
        <v>151</v>
      </c>
      <c r="K1281" s="15" t="s">
        <v>123</v>
      </c>
    </row>
    <row r="1282" customFormat="false" ht="14.25" hidden="false" customHeight="false" outlineLevel="0" collapsed="false">
      <c r="A1282" s="15" t="s">
        <v>1779</v>
      </c>
      <c r="B1282" s="16" t="n">
        <v>45589</v>
      </c>
      <c r="C1282" s="15" t="s">
        <v>405</v>
      </c>
      <c r="D1282" s="15" t="s">
        <v>206</v>
      </c>
      <c r="E1282" s="15" t="s">
        <v>354</v>
      </c>
      <c r="F1282" s="17" t="n">
        <v>8</v>
      </c>
      <c r="G1282" s="17" t="n">
        <v>2860</v>
      </c>
      <c r="H1282" s="17" t="n">
        <v>14.7</v>
      </c>
      <c r="I1282" s="17" t="n">
        <v>19516.64</v>
      </c>
      <c r="J1282" s="15" t="s">
        <v>98</v>
      </c>
      <c r="K1282" s="15" t="s">
        <v>128</v>
      </c>
    </row>
    <row r="1283" customFormat="false" ht="14.25" hidden="false" customHeight="false" outlineLevel="0" collapsed="false">
      <c r="A1283" s="15" t="s">
        <v>1780</v>
      </c>
      <c r="B1283" s="16" t="n">
        <v>45448</v>
      </c>
      <c r="C1283" s="15" t="s">
        <v>230</v>
      </c>
      <c r="D1283" s="15" t="s">
        <v>293</v>
      </c>
      <c r="E1283" s="15" t="s">
        <v>181</v>
      </c>
      <c r="F1283" s="17" t="n">
        <v>9</v>
      </c>
      <c r="G1283" s="17" t="n">
        <v>300</v>
      </c>
      <c r="H1283" s="17" t="n">
        <v>19.5</v>
      </c>
      <c r="I1283" s="17" t="n">
        <v>2173.5</v>
      </c>
      <c r="J1283" s="15" t="s">
        <v>98</v>
      </c>
      <c r="K1283" s="15" t="s">
        <v>110</v>
      </c>
    </row>
    <row r="1284" customFormat="false" ht="14.25" hidden="false" customHeight="false" outlineLevel="0" collapsed="false">
      <c r="A1284" s="15" t="s">
        <v>1781</v>
      </c>
      <c r="B1284" s="16" t="n">
        <v>45608</v>
      </c>
      <c r="C1284" s="15" t="s">
        <v>981</v>
      </c>
      <c r="D1284" s="15" t="s">
        <v>391</v>
      </c>
      <c r="E1284" s="15" t="s">
        <v>97</v>
      </c>
      <c r="F1284" s="17" t="n">
        <v>10</v>
      </c>
      <c r="G1284" s="17" t="n">
        <v>960</v>
      </c>
      <c r="H1284" s="17" t="n">
        <v>9.7</v>
      </c>
      <c r="I1284" s="17" t="n">
        <v>8668.8</v>
      </c>
      <c r="J1284" s="15" t="s">
        <v>98</v>
      </c>
      <c r="K1284" s="15" t="s">
        <v>123</v>
      </c>
    </row>
    <row r="1285" customFormat="false" ht="14.25" hidden="false" customHeight="false" outlineLevel="0" collapsed="false">
      <c r="A1285" s="15" t="s">
        <v>1782</v>
      </c>
      <c r="B1285" s="16" t="n">
        <v>45421</v>
      </c>
      <c r="C1285" s="15" t="s">
        <v>956</v>
      </c>
      <c r="D1285" s="15" t="s">
        <v>102</v>
      </c>
      <c r="E1285" s="15" t="s">
        <v>263</v>
      </c>
      <c r="F1285" s="17" t="n">
        <v>5</v>
      </c>
      <c r="G1285" s="17" t="n">
        <v>820</v>
      </c>
      <c r="H1285" s="17" t="n">
        <v>0.5</v>
      </c>
      <c r="I1285" s="17" t="n">
        <v>4079.5</v>
      </c>
      <c r="J1285" s="15" t="s">
        <v>98</v>
      </c>
      <c r="K1285" s="15" t="s">
        <v>99</v>
      </c>
    </row>
    <row r="1286" customFormat="false" ht="14.25" hidden="false" customHeight="false" outlineLevel="0" collapsed="false">
      <c r="A1286" s="15" t="s">
        <v>1783</v>
      </c>
      <c r="B1286" s="16" t="n">
        <v>45383</v>
      </c>
      <c r="C1286" s="15" t="s">
        <v>295</v>
      </c>
      <c r="D1286" s="15" t="s">
        <v>121</v>
      </c>
      <c r="E1286" s="15" t="s">
        <v>150</v>
      </c>
      <c r="F1286" s="17" t="n">
        <v>2</v>
      </c>
      <c r="G1286" s="17" t="n">
        <v>370</v>
      </c>
      <c r="H1286" s="17" t="n">
        <v>10.5</v>
      </c>
      <c r="I1286" s="17" t="n">
        <v>662.3</v>
      </c>
      <c r="J1286" s="15" t="s">
        <v>104</v>
      </c>
      <c r="K1286" s="15" t="s">
        <v>105</v>
      </c>
    </row>
    <row r="1287" customFormat="false" ht="14.25" hidden="false" customHeight="false" outlineLevel="0" collapsed="false">
      <c r="A1287" s="15" t="s">
        <v>1784</v>
      </c>
      <c r="B1287" s="16" t="n">
        <v>45453</v>
      </c>
      <c r="C1287" s="15" t="s">
        <v>697</v>
      </c>
      <c r="D1287" s="15" t="s">
        <v>135</v>
      </c>
      <c r="E1287" s="15" t="s">
        <v>165</v>
      </c>
      <c r="F1287" s="17" t="n">
        <v>9</v>
      </c>
      <c r="G1287" s="17" t="n">
        <v>5490</v>
      </c>
      <c r="H1287" s="17" t="n">
        <v>14.2</v>
      </c>
      <c r="I1287" s="17" t="n">
        <v>42393.78</v>
      </c>
      <c r="J1287" s="15" t="s">
        <v>151</v>
      </c>
      <c r="K1287" s="15" t="s">
        <v>123</v>
      </c>
    </row>
    <row r="1288" customFormat="false" ht="14.25" hidden="false" customHeight="false" outlineLevel="0" collapsed="false">
      <c r="A1288" s="15" t="s">
        <v>1785</v>
      </c>
      <c r="B1288" s="16" t="n">
        <v>45398</v>
      </c>
      <c r="C1288" s="15" t="s">
        <v>894</v>
      </c>
      <c r="D1288" s="15" t="s">
        <v>121</v>
      </c>
      <c r="E1288" s="15" t="s">
        <v>314</v>
      </c>
      <c r="F1288" s="17" t="n">
        <v>3</v>
      </c>
      <c r="G1288" s="17" t="n">
        <v>370</v>
      </c>
      <c r="H1288" s="17" t="n">
        <v>18.4</v>
      </c>
      <c r="I1288" s="17" t="n">
        <v>905.76</v>
      </c>
      <c r="J1288" s="15" t="s">
        <v>98</v>
      </c>
      <c r="K1288" s="15" t="s">
        <v>144</v>
      </c>
    </row>
    <row r="1289" customFormat="false" ht="14.25" hidden="false" customHeight="false" outlineLevel="0" collapsed="false">
      <c r="A1289" s="15" t="s">
        <v>1786</v>
      </c>
      <c r="B1289" s="16" t="n">
        <v>45584</v>
      </c>
      <c r="C1289" s="15" t="s">
        <v>606</v>
      </c>
      <c r="D1289" s="15" t="s">
        <v>158</v>
      </c>
      <c r="E1289" s="15" t="s">
        <v>314</v>
      </c>
      <c r="F1289" s="17" t="n">
        <v>6</v>
      </c>
      <c r="G1289" s="17" t="n">
        <v>190</v>
      </c>
      <c r="H1289" s="17" t="n">
        <v>12.9</v>
      </c>
      <c r="I1289" s="17" t="n">
        <v>992.94</v>
      </c>
      <c r="J1289" s="15" t="s">
        <v>98</v>
      </c>
      <c r="K1289" s="15" t="s">
        <v>110</v>
      </c>
    </row>
    <row r="1290" customFormat="false" ht="14.25" hidden="false" customHeight="false" outlineLevel="0" collapsed="false">
      <c r="A1290" s="15" t="s">
        <v>1787</v>
      </c>
      <c r="B1290" s="16" t="n">
        <v>45397</v>
      </c>
      <c r="C1290" s="15" t="s">
        <v>387</v>
      </c>
      <c r="D1290" s="15" t="s">
        <v>349</v>
      </c>
      <c r="E1290" s="15" t="s">
        <v>165</v>
      </c>
      <c r="F1290" s="17" t="n">
        <v>8</v>
      </c>
      <c r="G1290" s="17" t="n">
        <v>2210</v>
      </c>
      <c r="H1290" s="17" t="n">
        <v>9.8</v>
      </c>
      <c r="I1290" s="17" t="n">
        <v>15947.36</v>
      </c>
      <c r="J1290" s="15" t="s">
        <v>98</v>
      </c>
      <c r="K1290" s="15" t="s">
        <v>128</v>
      </c>
    </row>
    <row r="1291" customFormat="false" ht="14.25" hidden="false" customHeight="false" outlineLevel="0" collapsed="false">
      <c r="A1291" s="15" t="s">
        <v>1788</v>
      </c>
      <c r="B1291" s="16" t="n">
        <v>45453</v>
      </c>
      <c r="C1291" s="15" t="s">
        <v>440</v>
      </c>
      <c r="D1291" s="15" t="s">
        <v>187</v>
      </c>
      <c r="E1291" s="15" t="s">
        <v>215</v>
      </c>
      <c r="F1291" s="17" t="n">
        <v>7</v>
      </c>
      <c r="G1291" s="17" t="n">
        <v>1650</v>
      </c>
      <c r="H1291" s="17" t="n">
        <v>8.4</v>
      </c>
      <c r="I1291" s="17" t="n">
        <v>10579.8</v>
      </c>
      <c r="J1291" s="15" t="s">
        <v>98</v>
      </c>
      <c r="K1291" s="15" t="s">
        <v>128</v>
      </c>
    </row>
    <row r="1292" customFormat="false" ht="14.25" hidden="false" customHeight="false" outlineLevel="0" collapsed="false">
      <c r="A1292" s="15" t="s">
        <v>1789</v>
      </c>
      <c r="B1292" s="16" t="n">
        <v>45359</v>
      </c>
      <c r="C1292" s="15" t="s">
        <v>834</v>
      </c>
      <c r="D1292" s="15" t="s">
        <v>214</v>
      </c>
      <c r="E1292" s="15" t="s">
        <v>263</v>
      </c>
      <c r="F1292" s="17" t="n">
        <v>8</v>
      </c>
      <c r="G1292" s="17" t="n">
        <v>660</v>
      </c>
      <c r="H1292" s="17" t="n">
        <v>7.5</v>
      </c>
      <c r="I1292" s="17" t="n">
        <v>4884</v>
      </c>
      <c r="J1292" s="15" t="s">
        <v>98</v>
      </c>
      <c r="K1292" s="15" t="s">
        <v>105</v>
      </c>
    </row>
    <row r="1293" customFormat="false" ht="14.25" hidden="false" customHeight="false" outlineLevel="0" collapsed="false">
      <c r="A1293" s="15" t="s">
        <v>1790</v>
      </c>
      <c r="B1293" s="16" t="n">
        <v>45644</v>
      </c>
      <c r="C1293" s="15" t="s">
        <v>1017</v>
      </c>
      <c r="D1293" s="15" t="s">
        <v>281</v>
      </c>
      <c r="E1293" s="15" t="s">
        <v>150</v>
      </c>
      <c r="F1293" s="17" t="n">
        <v>3</v>
      </c>
      <c r="G1293" s="17" t="n">
        <v>4610</v>
      </c>
      <c r="H1293" s="17" t="n">
        <v>29.6</v>
      </c>
      <c r="I1293" s="17" t="n">
        <v>9736.32</v>
      </c>
      <c r="J1293" s="15" t="s">
        <v>98</v>
      </c>
      <c r="K1293" s="15" t="s">
        <v>128</v>
      </c>
    </row>
    <row r="1294" customFormat="false" ht="14.25" hidden="false" customHeight="false" outlineLevel="0" collapsed="false">
      <c r="A1294" s="15" t="s">
        <v>1791</v>
      </c>
      <c r="B1294" s="16" t="n">
        <v>45325</v>
      </c>
      <c r="C1294" s="15" t="s">
        <v>361</v>
      </c>
      <c r="D1294" s="15" t="s">
        <v>349</v>
      </c>
      <c r="E1294" s="15" t="s">
        <v>122</v>
      </c>
      <c r="F1294" s="17" t="n">
        <v>6</v>
      </c>
      <c r="G1294" s="17" t="n">
        <v>2210</v>
      </c>
      <c r="H1294" s="17" t="n">
        <v>9.5</v>
      </c>
      <c r="I1294" s="17" t="n">
        <v>12000.3</v>
      </c>
      <c r="J1294" s="15" t="s">
        <v>98</v>
      </c>
      <c r="K1294" s="15" t="s">
        <v>123</v>
      </c>
    </row>
    <row r="1295" customFormat="false" ht="14.25" hidden="false" customHeight="false" outlineLevel="0" collapsed="false">
      <c r="A1295" s="15" t="s">
        <v>1792</v>
      </c>
      <c r="B1295" s="16" t="n">
        <v>45533</v>
      </c>
      <c r="C1295" s="15" t="s">
        <v>380</v>
      </c>
      <c r="D1295" s="15" t="s">
        <v>397</v>
      </c>
      <c r="E1295" s="15" t="s">
        <v>249</v>
      </c>
      <c r="F1295" s="17" t="n">
        <v>4</v>
      </c>
      <c r="G1295" s="17" t="n">
        <v>2290</v>
      </c>
      <c r="H1295" s="17" t="n">
        <v>3.3</v>
      </c>
      <c r="I1295" s="17" t="n">
        <v>8857.72</v>
      </c>
      <c r="J1295" s="15" t="s">
        <v>98</v>
      </c>
      <c r="K1295" s="15" t="s">
        <v>105</v>
      </c>
    </row>
    <row r="1296" customFormat="false" ht="14.25" hidden="false" customHeight="false" outlineLevel="0" collapsed="false">
      <c r="A1296" s="15" t="s">
        <v>1793</v>
      </c>
      <c r="B1296" s="16" t="n">
        <v>45369</v>
      </c>
      <c r="C1296" s="15" t="s">
        <v>112</v>
      </c>
      <c r="D1296" s="15" t="s">
        <v>175</v>
      </c>
      <c r="E1296" s="15" t="s">
        <v>212</v>
      </c>
      <c r="F1296" s="17" t="n">
        <v>5</v>
      </c>
      <c r="G1296" s="17" t="n">
        <v>1080</v>
      </c>
      <c r="H1296" s="17" t="n">
        <v>26.1</v>
      </c>
      <c r="I1296" s="17" t="n">
        <v>3990.6</v>
      </c>
      <c r="J1296" s="15" t="s">
        <v>98</v>
      </c>
      <c r="K1296" s="15" t="s">
        <v>110</v>
      </c>
    </row>
    <row r="1297" customFormat="false" ht="14.25" hidden="false" customHeight="false" outlineLevel="0" collapsed="false">
      <c r="A1297" s="15" t="s">
        <v>1794</v>
      </c>
      <c r="B1297" s="16" t="n">
        <v>45312</v>
      </c>
      <c r="C1297" s="15" t="s">
        <v>451</v>
      </c>
      <c r="D1297" s="15" t="s">
        <v>126</v>
      </c>
      <c r="E1297" s="15" t="s">
        <v>143</v>
      </c>
      <c r="F1297" s="17" t="n">
        <v>7</v>
      </c>
      <c r="G1297" s="17" t="n">
        <v>960</v>
      </c>
      <c r="H1297" s="17" t="n">
        <v>17.7</v>
      </c>
      <c r="I1297" s="17" t="n">
        <v>5530.56</v>
      </c>
      <c r="J1297" s="15" t="s">
        <v>98</v>
      </c>
      <c r="K1297" s="15" t="s">
        <v>99</v>
      </c>
    </row>
    <row r="1298" customFormat="false" ht="14.25" hidden="false" customHeight="false" outlineLevel="0" collapsed="false">
      <c r="A1298" s="15" t="s">
        <v>1795</v>
      </c>
      <c r="B1298" s="16" t="n">
        <v>45445</v>
      </c>
      <c r="C1298" s="15" t="s">
        <v>1038</v>
      </c>
      <c r="D1298" s="15" t="s">
        <v>162</v>
      </c>
      <c r="E1298" s="15" t="s">
        <v>118</v>
      </c>
      <c r="F1298" s="17" t="n">
        <v>1</v>
      </c>
      <c r="G1298" s="17" t="n">
        <v>2400</v>
      </c>
      <c r="H1298" s="17" t="n">
        <v>29.9</v>
      </c>
      <c r="I1298" s="17" t="n">
        <v>1682.4</v>
      </c>
      <c r="J1298" s="15" t="s">
        <v>98</v>
      </c>
      <c r="K1298" s="15" t="s">
        <v>123</v>
      </c>
    </row>
    <row r="1299" customFormat="false" ht="14.25" hidden="false" customHeight="false" outlineLevel="0" collapsed="false">
      <c r="A1299" s="15" t="s">
        <v>1796</v>
      </c>
      <c r="B1299" s="16" t="n">
        <v>45636</v>
      </c>
      <c r="C1299" s="15" t="s">
        <v>1361</v>
      </c>
      <c r="D1299" s="15" t="s">
        <v>397</v>
      </c>
      <c r="E1299" s="15" t="s">
        <v>143</v>
      </c>
      <c r="F1299" s="17" t="n">
        <v>9</v>
      </c>
      <c r="G1299" s="17" t="n">
        <v>2290</v>
      </c>
      <c r="H1299" s="17" t="n">
        <v>28.8</v>
      </c>
      <c r="I1299" s="17" t="n">
        <v>14674.32</v>
      </c>
      <c r="J1299" s="15" t="s">
        <v>98</v>
      </c>
      <c r="K1299" s="15" t="s">
        <v>123</v>
      </c>
    </row>
    <row r="1300" customFormat="false" ht="14.25" hidden="false" customHeight="false" outlineLevel="0" collapsed="false">
      <c r="A1300" s="15" t="s">
        <v>1797</v>
      </c>
      <c r="B1300" s="16" t="n">
        <v>45294</v>
      </c>
      <c r="C1300" s="15" t="s">
        <v>236</v>
      </c>
      <c r="D1300" s="15" t="s">
        <v>175</v>
      </c>
      <c r="E1300" s="15" t="s">
        <v>314</v>
      </c>
      <c r="F1300" s="17" t="n">
        <v>9</v>
      </c>
      <c r="G1300" s="17" t="n">
        <v>1080</v>
      </c>
      <c r="H1300" s="17" t="n">
        <v>10.3</v>
      </c>
      <c r="I1300" s="17" t="n">
        <v>8718.84</v>
      </c>
      <c r="J1300" s="15" t="s">
        <v>98</v>
      </c>
      <c r="K1300" s="15" t="s">
        <v>105</v>
      </c>
    </row>
    <row r="1301" customFormat="false" ht="14.25" hidden="false" customHeight="false" outlineLevel="0" collapsed="false">
      <c r="A1301" s="15" t="s">
        <v>1798</v>
      </c>
      <c r="B1301" s="16" t="n">
        <v>45449</v>
      </c>
      <c r="C1301" s="15" t="s">
        <v>921</v>
      </c>
      <c r="D1301" s="15" t="s">
        <v>513</v>
      </c>
      <c r="E1301" s="15" t="s">
        <v>150</v>
      </c>
      <c r="F1301" s="17" t="n">
        <v>1</v>
      </c>
      <c r="G1301" s="17" t="n">
        <v>1090</v>
      </c>
      <c r="H1301" s="17" t="n">
        <v>5.8</v>
      </c>
      <c r="I1301" s="17" t="n">
        <v>1026.78</v>
      </c>
      <c r="J1301" s="15" t="s">
        <v>151</v>
      </c>
      <c r="K1301" s="15" t="s">
        <v>110</v>
      </c>
    </row>
    <row r="1302" customFormat="false" ht="14.25" hidden="false" customHeight="false" outlineLevel="0" collapsed="false">
      <c r="A1302" s="15" t="s">
        <v>1799</v>
      </c>
      <c r="B1302" s="16" t="n">
        <v>45560</v>
      </c>
      <c r="C1302" s="15" t="s">
        <v>913</v>
      </c>
      <c r="D1302" s="15" t="s">
        <v>349</v>
      </c>
      <c r="E1302" s="15" t="s">
        <v>314</v>
      </c>
      <c r="F1302" s="17" t="n">
        <v>3</v>
      </c>
      <c r="G1302" s="17" t="n">
        <v>2210</v>
      </c>
      <c r="H1302" s="17" t="n">
        <v>18.2</v>
      </c>
      <c r="I1302" s="17" t="n">
        <v>5423.34</v>
      </c>
      <c r="J1302" s="15" t="s">
        <v>104</v>
      </c>
      <c r="K1302" s="15" t="s">
        <v>123</v>
      </c>
    </row>
    <row r="1303" customFormat="false" ht="14.25" hidden="false" customHeight="false" outlineLevel="0" collapsed="false">
      <c r="A1303" s="15" t="s">
        <v>1800</v>
      </c>
      <c r="B1303" s="16" t="n">
        <v>45588</v>
      </c>
      <c r="C1303" s="15" t="s">
        <v>208</v>
      </c>
      <c r="D1303" s="15" t="s">
        <v>96</v>
      </c>
      <c r="E1303" s="15" t="s">
        <v>199</v>
      </c>
      <c r="F1303" s="17" t="n">
        <v>8</v>
      </c>
      <c r="G1303" s="17" t="n">
        <v>3620</v>
      </c>
      <c r="H1303" s="17" t="n">
        <v>1.4</v>
      </c>
      <c r="I1303" s="17" t="n">
        <v>28554.56</v>
      </c>
      <c r="J1303" s="15" t="s">
        <v>98</v>
      </c>
      <c r="K1303" s="15" t="s">
        <v>99</v>
      </c>
    </row>
    <row r="1304" customFormat="false" ht="14.25" hidden="false" customHeight="false" outlineLevel="0" collapsed="false">
      <c r="A1304" s="15" t="s">
        <v>1801</v>
      </c>
      <c r="B1304" s="16" t="n">
        <v>45360</v>
      </c>
      <c r="C1304" s="15" t="s">
        <v>219</v>
      </c>
      <c r="D1304" s="15" t="s">
        <v>306</v>
      </c>
      <c r="E1304" s="15" t="s">
        <v>284</v>
      </c>
      <c r="F1304" s="17" t="n">
        <v>7</v>
      </c>
      <c r="G1304" s="17" t="n">
        <v>2030</v>
      </c>
      <c r="H1304" s="17" t="n">
        <v>27.7</v>
      </c>
      <c r="I1304" s="17" t="n">
        <v>10273.83</v>
      </c>
      <c r="J1304" s="15" t="s">
        <v>98</v>
      </c>
      <c r="K1304" s="15" t="s">
        <v>144</v>
      </c>
    </row>
    <row r="1305" customFormat="false" ht="14.25" hidden="false" customHeight="false" outlineLevel="0" collapsed="false">
      <c r="A1305" s="15" t="s">
        <v>1802</v>
      </c>
      <c r="B1305" s="16" t="n">
        <v>45316</v>
      </c>
      <c r="C1305" s="15" t="s">
        <v>610</v>
      </c>
      <c r="D1305" s="15" t="s">
        <v>259</v>
      </c>
      <c r="E1305" s="15" t="s">
        <v>165</v>
      </c>
      <c r="F1305" s="17" t="n">
        <v>1</v>
      </c>
      <c r="G1305" s="17" t="n">
        <v>3870</v>
      </c>
      <c r="H1305" s="17" t="n">
        <v>29.6</v>
      </c>
      <c r="I1305" s="17" t="n">
        <v>2724.48</v>
      </c>
      <c r="J1305" s="15" t="s">
        <v>98</v>
      </c>
      <c r="K1305" s="15" t="s">
        <v>128</v>
      </c>
    </row>
    <row r="1306" customFormat="false" ht="14.25" hidden="false" customHeight="false" outlineLevel="0" collapsed="false">
      <c r="A1306" s="15" t="s">
        <v>1803</v>
      </c>
      <c r="B1306" s="16" t="n">
        <v>45324</v>
      </c>
      <c r="C1306" s="15" t="s">
        <v>846</v>
      </c>
      <c r="D1306" s="15" t="s">
        <v>198</v>
      </c>
      <c r="E1306" s="15" t="s">
        <v>109</v>
      </c>
      <c r="F1306" s="17" t="n">
        <v>5</v>
      </c>
      <c r="G1306" s="17" t="n">
        <v>3570</v>
      </c>
      <c r="H1306" s="17" t="n">
        <v>11.8</v>
      </c>
      <c r="I1306" s="17" t="n">
        <v>15743.7</v>
      </c>
      <c r="J1306" s="15" t="s">
        <v>155</v>
      </c>
      <c r="K1306" s="15" t="s">
        <v>128</v>
      </c>
    </row>
    <row r="1307" customFormat="false" ht="14.25" hidden="false" customHeight="false" outlineLevel="0" collapsed="false">
      <c r="A1307" s="15" t="s">
        <v>1804</v>
      </c>
      <c r="B1307" s="16" t="n">
        <v>45650</v>
      </c>
      <c r="C1307" s="15" t="s">
        <v>1115</v>
      </c>
      <c r="D1307" s="15" t="s">
        <v>375</v>
      </c>
      <c r="E1307" s="15" t="s">
        <v>132</v>
      </c>
      <c r="F1307" s="17" t="n">
        <v>7</v>
      </c>
      <c r="G1307" s="17" t="n">
        <v>5330</v>
      </c>
      <c r="H1307" s="17" t="n">
        <v>8.2</v>
      </c>
      <c r="I1307" s="17" t="n">
        <v>34250.58</v>
      </c>
      <c r="J1307" s="15" t="s">
        <v>98</v>
      </c>
      <c r="K1307" s="15" t="s">
        <v>128</v>
      </c>
    </row>
    <row r="1308" customFormat="false" ht="14.25" hidden="false" customHeight="false" outlineLevel="0" collapsed="false">
      <c r="A1308" s="15" t="s">
        <v>1805</v>
      </c>
      <c r="B1308" s="16" t="n">
        <v>45564</v>
      </c>
      <c r="C1308" s="15" t="s">
        <v>818</v>
      </c>
      <c r="D1308" s="15" t="s">
        <v>278</v>
      </c>
      <c r="E1308" s="15" t="s">
        <v>215</v>
      </c>
      <c r="F1308" s="17" t="n">
        <v>5</v>
      </c>
      <c r="G1308" s="17" t="n">
        <v>1220</v>
      </c>
      <c r="H1308" s="17" t="n">
        <v>17.8</v>
      </c>
      <c r="I1308" s="17" t="n">
        <v>5014.2</v>
      </c>
      <c r="J1308" s="15" t="s">
        <v>155</v>
      </c>
      <c r="K1308" s="15" t="s">
        <v>99</v>
      </c>
    </row>
    <row r="1309" customFormat="false" ht="14.25" hidden="false" customHeight="false" outlineLevel="0" collapsed="false">
      <c r="A1309" s="15" t="s">
        <v>1806</v>
      </c>
      <c r="B1309" s="16" t="n">
        <v>45587</v>
      </c>
      <c r="C1309" s="15" t="s">
        <v>174</v>
      </c>
      <c r="D1309" s="15" t="s">
        <v>463</v>
      </c>
      <c r="E1309" s="15" t="s">
        <v>132</v>
      </c>
      <c r="F1309" s="17" t="n">
        <v>7</v>
      </c>
      <c r="G1309" s="17" t="n">
        <v>3450</v>
      </c>
      <c r="H1309" s="17" t="n">
        <v>29.3</v>
      </c>
      <c r="I1309" s="17" t="n">
        <v>17074.05</v>
      </c>
      <c r="J1309" s="15" t="s">
        <v>98</v>
      </c>
      <c r="K1309" s="15" t="s">
        <v>105</v>
      </c>
    </row>
    <row r="1310" customFormat="false" ht="14.25" hidden="false" customHeight="false" outlineLevel="0" collapsed="false">
      <c r="A1310" s="15" t="s">
        <v>1807</v>
      </c>
      <c r="B1310" s="16" t="n">
        <v>45538</v>
      </c>
      <c r="C1310" s="15" t="s">
        <v>628</v>
      </c>
      <c r="D1310" s="15" t="s">
        <v>670</v>
      </c>
      <c r="E1310" s="15" t="s">
        <v>263</v>
      </c>
      <c r="F1310" s="17" t="n">
        <v>6</v>
      </c>
      <c r="G1310" s="17" t="n">
        <v>3560</v>
      </c>
      <c r="H1310" s="17" t="n">
        <v>9.4</v>
      </c>
      <c r="I1310" s="17" t="n">
        <v>19352.16</v>
      </c>
      <c r="J1310" s="15" t="s">
        <v>104</v>
      </c>
      <c r="K1310" s="15" t="s">
        <v>123</v>
      </c>
    </row>
    <row r="1311" customFormat="false" ht="14.25" hidden="false" customHeight="false" outlineLevel="0" collapsed="false">
      <c r="A1311" s="15" t="s">
        <v>1808</v>
      </c>
      <c r="B1311" s="16" t="n">
        <v>45385</v>
      </c>
      <c r="C1311" s="15" t="s">
        <v>515</v>
      </c>
      <c r="D1311" s="15" t="s">
        <v>121</v>
      </c>
      <c r="E1311" s="15" t="s">
        <v>103</v>
      </c>
      <c r="F1311" s="17" t="n">
        <v>4</v>
      </c>
      <c r="G1311" s="17" t="n">
        <v>370</v>
      </c>
      <c r="H1311" s="17" t="n">
        <v>4.9</v>
      </c>
      <c r="I1311" s="17" t="n">
        <v>1407.48</v>
      </c>
      <c r="J1311" s="15" t="s">
        <v>98</v>
      </c>
      <c r="K1311" s="15" t="s">
        <v>128</v>
      </c>
    </row>
    <row r="1312" customFormat="false" ht="14.25" hidden="false" customHeight="false" outlineLevel="0" collapsed="false">
      <c r="A1312" s="15" t="s">
        <v>1809</v>
      </c>
      <c r="B1312" s="16" t="n">
        <v>45647</v>
      </c>
      <c r="C1312" s="15" t="s">
        <v>731</v>
      </c>
      <c r="D1312" s="15" t="s">
        <v>278</v>
      </c>
      <c r="E1312" s="15" t="s">
        <v>159</v>
      </c>
      <c r="F1312" s="17" t="n">
        <v>1</v>
      </c>
      <c r="G1312" s="17" t="n">
        <v>1220</v>
      </c>
      <c r="H1312" s="17" t="n">
        <v>15.2</v>
      </c>
      <c r="I1312" s="17" t="n">
        <v>1034.56</v>
      </c>
      <c r="J1312" s="15" t="s">
        <v>98</v>
      </c>
      <c r="K1312" s="15" t="s">
        <v>99</v>
      </c>
    </row>
    <row r="1313" customFormat="false" ht="14.25" hidden="false" customHeight="false" outlineLevel="0" collapsed="false">
      <c r="A1313" s="15" t="s">
        <v>1810</v>
      </c>
      <c r="B1313" s="16" t="n">
        <v>45466</v>
      </c>
      <c r="C1313" s="15" t="s">
        <v>813</v>
      </c>
      <c r="D1313" s="15" t="s">
        <v>248</v>
      </c>
      <c r="E1313" s="15" t="s">
        <v>114</v>
      </c>
      <c r="F1313" s="17" t="n">
        <v>3</v>
      </c>
      <c r="G1313" s="17" t="n">
        <v>3640</v>
      </c>
      <c r="H1313" s="17" t="n">
        <v>12.3</v>
      </c>
      <c r="I1313" s="17" t="n">
        <v>9576.84</v>
      </c>
      <c r="J1313" s="15" t="s">
        <v>104</v>
      </c>
      <c r="K1313" s="15" t="s">
        <v>105</v>
      </c>
    </row>
    <row r="1314" customFormat="false" ht="14.25" hidden="false" customHeight="false" outlineLevel="0" collapsed="false">
      <c r="A1314" s="15" t="s">
        <v>1811</v>
      </c>
      <c r="B1314" s="16" t="n">
        <v>45559</v>
      </c>
      <c r="C1314" s="15" t="s">
        <v>883</v>
      </c>
      <c r="D1314" s="15" t="s">
        <v>287</v>
      </c>
      <c r="E1314" s="15" t="s">
        <v>143</v>
      </c>
      <c r="F1314" s="17" t="n">
        <v>8</v>
      </c>
      <c r="G1314" s="17" t="n">
        <v>3020</v>
      </c>
      <c r="H1314" s="17" t="n">
        <v>28.2</v>
      </c>
      <c r="I1314" s="17" t="n">
        <v>17346.88</v>
      </c>
      <c r="J1314" s="15" t="s">
        <v>104</v>
      </c>
      <c r="K1314" s="15" t="s">
        <v>123</v>
      </c>
    </row>
    <row r="1315" customFormat="false" ht="14.25" hidden="false" customHeight="false" outlineLevel="0" collapsed="false">
      <c r="A1315" s="15" t="s">
        <v>1812</v>
      </c>
      <c r="B1315" s="16" t="n">
        <v>45469</v>
      </c>
      <c r="C1315" s="15" t="s">
        <v>666</v>
      </c>
      <c r="D1315" s="15" t="s">
        <v>202</v>
      </c>
      <c r="E1315" s="15" t="s">
        <v>118</v>
      </c>
      <c r="F1315" s="17" t="n">
        <v>3</v>
      </c>
      <c r="G1315" s="17" t="n">
        <v>5100</v>
      </c>
      <c r="H1315" s="17" t="n">
        <v>7.8</v>
      </c>
      <c r="I1315" s="17" t="n">
        <v>14106.6</v>
      </c>
      <c r="J1315" s="15" t="s">
        <v>98</v>
      </c>
      <c r="K1315" s="15" t="s">
        <v>144</v>
      </c>
    </row>
    <row r="1316" customFormat="false" ht="14.25" hidden="false" customHeight="false" outlineLevel="0" collapsed="false">
      <c r="A1316" s="15" t="s">
        <v>1813</v>
      </c>
      <c r="B1316" s="16" t="n">
        <v>45407</v>
      </c>
      <c r="C1316" s="15" t="s">
        <v>496</v>
      </c>
      <c r="D1316" s="15" t="s">
        <v>293</v>
      </c>
      <c r="E1316" s="15" t="s">
        <v>226</v>
      </c>
      <c r="F1316" s="17" t="n">
        <v>9</v>
      </c>
      <c r="G1316" s="17" t="n">
        <v>300</v>
      </c>
      <c r="H1316" s="17" t="n">
        <v>19</v>
      </c>
      <c r="I1316" s="17" t="n">
        <v>2187</v>
      </c>
      <c r="J1316" s="15" t="s">
        <v>98</v>
      </c>
      <c r="K1316" s="15" t="s">
        <v>99</v>
      </c>
    </row>
    <row r="1317" customFormat="false" ht="14.25" hidden="false" customHeight="false" outlineLevel="0" collapsed="false">
      <c r="A1317" s="15" t="s">
        <v>1814</v>
      </c>
      <c r="B1317" s="16" t="n">
        <v>45634</v>
      </c>
      <c r="C1317" s="15" t="s">
        <v>205</v>
      </c>
      <c r="D1317" s="15" t="s">
        <v>397</v>
      </c>
      <c r="E1317" s="15" t="s">
        <v>97</v>
      </c>
      <c r="F1317" s="17" t="n">
        <v>10</v>
      </c>
      <c r="G1317" s="17" t="n">
        <v>2290</v>
      </c>
      <c r="H1317" s="17" t="n">
        <v>27.7</v>
      </c>
      <c r="I1317" s="17" t="n">
        <v>16556.7</v>
      </c>
      <c r="J1317" s="15" t="s">
        <v>98</v>
      </c>
      <c r="K1317" s="15" t="s">
        <v>99</v>
      </c>
    </row>
    <row r="1318" customFormat="false" ht="14.25" hidden="false" customHeight="false" outlineLevel="0" collapsed="false">
      <c r="A1318" s="15" t="s">
        <v>1815</v>
      </c>
      <c r="B1318" s="16" t="n">
        <v>45454</v>
      </c>
      <c r="C1318" s="15" t="s">
        <v>189</v>
      </c>
      <c r="D1318" s="15" t="s">
        <v>248</v>
      </c>
      <c r="E1318" s="15" t="s">
        <v>127</v>
      </c>
      <c r="F1318" s="17" t="n">
        <v>9</v>
      </c>
      <c r="G1318" s="17" t="n">
        <v>3640</v>
      </c>
      <c r="H1318" s="17" t="n">
        <v>20.1</v>
      </c>
      <c r="I1318" s="17" t="n">
        <v>26175.24</v>
      </c>
      <c r="J1318" s="15" t="s">
        <v>98</v>
      </c>
      <c r="K1318" s="15" t="s">
        <v>105</v>
      </c>
    </row>
    <row r="1319" customFormat="false" ht="14.25" hidden="false" customHeight="false" outlineLevel="0" collapsed="false">
      <c r="A1319" s="15" t="s">
        <v>1816</v>
      </c>
      <c r="B1319" s="16" t="n">
        <v>45565</v>
      </c>
      <c r="C1319" s="15" t="s">
        <v>617</v>
      </c>
      <c r="D1319" s="15" t="s">
        <v>102</v>
      </c>
      <c r="E1319" s="15" t="s">
        <v>296</v>
      </c>
      <c r="F1319" s="17" t="n">
        <v>4</v>
      </c>
      <c r="G1319" s="17" t="n">
        <v>820</v>
      </c>
      <c r="H1319" s="17" t="n">
        <v>7.6</v>
      </c>
      <c r="I1319" s="17" t="n">
        <v>3030.72</v>
      </c>
      <c r="J1319" s="15" t="s">
        <v>98</v>
      </c>
      <c r="K1319" s="15" t="s">
        <v>123</v>
      </c>
    </row>
    <row r="1320" customFormat="false" ht="14.25" hidden="false" customHeight="false" outlineLevel="0" collapsed="false">
      <c r="A1320" s="15" t="s">
        <v>1817</v>
      </c>
      <c r="B1320" s="16" t="n">
        <v>45443</v>
      </c>
      <c r="C1320" s="15" t="s">
        <v>1369</v>
      </c>
      <c r="D1320" s="15" t="s">
        <v>138</v>
      </c>
      <c r="E1320" s="15" t="s">
        <v>109</v>
      </c>
      <c r="F1320" s="17" t="n">
        <v>1</v>
      </c>
      <c r="G1320" s="17" t="n">
        <v>970</v>
      </c>
      <c r="H1320" s="17" t="n">
        <v>1.7</v>
      </c>
      <c r="I1320" s="17" t="n">
        <v>953.51</v>
      </c>
      <c r="J1320" s="15" t="s">
        <v>98</v>
      </c>
      <c r="K1320" s="15" t="s">
        <v>123</v>
      </c>
    </row>
    <row r="1321" customFormat="false" ht="14.25" hidden="false" customHeight="false" outlineLevel="0" collapsed="false">
      <c r="A1321" s="15" t="s">
        <v>1818</v>
      </c>
      <c r="B1321" s="16" t="n">
        <v>45318</v>
      </c>
      <c r="C1321" s="15" t="s">
        <v>141</v>
      </c>
      <c r="D1321" s="15" t="s">
        <v>670</v>
      </c>
      <c r="E1321" s="15" t="s">
        <v>132</v>
      </c>
      <c r="F1321" s="17" t="n">
        <v>5</v>
      </c>
      <c r="G1321" s="17" t="n">
        <v>3560</v>
      </c>
      <c r="H1321" s="17" t="n">
        <v>10.5</v>
      </c>
      <c r="I1321" s="17" t="n">
        <v>15931</v>
      </c>
      <c r="J1321" s="15" t="s">
        <v>98</v>
      </c>
      <c r="K1321" s="15" t="s">
        <v>144</v>
      </c>
    </row>
    <row r="1322" customFormat="false" ht="14.25" hidden="false" customHeight="false" outlineLevel="0" collapsed="false">
      <c r="A1322" s="15" t="s">
        <v>1819</v>
      </c>
      <c r="B1322" s="16" t="n">
        <v>45308</v>
      </c>
      <c r="C1322" s="15" t="s">
        <v>364</v>
      </c>
      <c r="D1322" s="15" t="s">
        <v>513</v>
      </c>
      <c r="E1322" s="15" t="s">
        <v>215</v>
      </c>
      <c r="F1322" s="17" t="n">
        <v>6</v>
      </c>
      <c r="G1322" s="17" t="n">
        <v>1090</v>
      </c>
      <c r="H1322" s="17" t="n">
        <v>2.4</v>
      </c>
      <c r="I1322" s="17" t="n">
        <v>6383.04</v>
      </c>
      <c r="J1322" s="15" t="s">
        <v>104</v>
      </c>
      <c r="K1322" s="15" t="s">
        <v>105</v>
      </c>
    </row>
    <row r="1323" customFormat="false" ht="14.25" hidden="false" customHeight="false" outlineLevel="0" collapsed="false">
      <c r="A1323" s="15" t="s">
        <v>1820</v>
      </c>
      <c r="B1323" s="16" t="n">
        <v>45306</v>
      </c>
      <c r="C1323" s="15" t="s">
        <v>718</v>
      </c>
      <c r="D1323" s="15" t="s">
        <v>290</v>
      </c>
      <c r="E1323" s="15" t="s">
        <v>249</v>
      </c>
      <c r="F1323" s="17" t="n">
        <v>6</v>
      </c>
      <c r="G1323" s="17" t="n">
        <v>2660</v>
      </c>
      <c r="H1323" s="17" t="n">
        <v>6.4</v>
      </c>
      <c r="I1323" s="17" t="n">
        <v>14938.56</v>
      </c>
      <c r="J1323" s="15" t="s">
        <v>98</v>
      </c>
      <c r="K1323" s="15" t="s">
        <v>123</v>
      </c>
    </row>
    <row r="1324" customFormat="false" ht="14.25" hidden="false" customHeight="false" outlineLevel="0" collapsed="false">
      <c r="A1324" s="15" t="s">
        <v>1821</v>
      </c>
      <c r="B1324" s="16" t="n">
        <v>45432</v>
      </c>
      <c r="C1324" s="15" t="s">
        <v>335</v>
      </c>
      <c r="D1324" s="15" t="s">
        <v>419</v>
      </c>
      <c r="E1324" s="15" t="s">
        <v>226</v>
      </c>
      <c r="F1324" s="17" t="n">
        <v>5</v>
      </c>
      <c r="G1324" s="17" t="n">
        <v>3970</v>
      </c>
      <c r="H1324" s="17" t="n">
        <v>18.8</v>
      </c>
      <c r="I1324" s="17" t="n">
        <v>16118.2</v>
      </c>
      <c r="J1324" s="15" t="s">
        <v>104</v>
      </c>
      <c r="K1324" s="15" t="s">
        <v>144</v>
      </c>
    </row>
    <row r="1325" customFormat="false" ht="14.25" hidden="false" customHeight="false" outlineLevel="0" collapsed="false">
      <c r="A1325" s="15" t="s">
        <v>1822</v>
      </c>
      <c r="B1325" s="16" t="n">
        <v>45369</v>
      </c>
      <c r="C1325" s="15" t="s">
        <v>347</v>
      </c>
      <c r="D1325" s="15" t="s">
        <v>526</v>
      </c>
      <c r="E1325" s="15" t="s">
        <v>169</v>
      </c>
      <c r="F1325" s="17" t="n">
        <v>7</v>
      </c>
      <c r="G1325" s="17" t="n">
        <v>6940</v>
      </c>
      <c r="H1325" s="17" t="n">
        <v>23.8</v>
      </c>
      <c r="I1325" s="17" t="n">
        <v>37017.96</v>
      </c>
      <c r="J1325" s="15" t="s">
        <v>155</v>
      </c>
      <c r="K1325" s="15" t="s">
        <v>123</v>
      </c>
    </row>
    <row r="1326" customFormat="false" ht="14.25" hidden="false" customHeight="false" outlineLevel="0" collapsed="false">
      <c r="A1326" s="15" t="s">
        <v>1823</v>
      </c>
      <c r="B1326" s="16" t="n">
        <v>45544</v>
      </c>
      <c r="C1326" s="15" t="s">
        <v>654</v>
      </c>
      <c r="D1326" s="15" t="s">
        <v>162</v>
      </c>
      <c r="E1326" s="15" t="s">
        <v>150</v>
      </c>
      <c r="F1326" s="17" t="n">
        <v>3</v>
      </c>
      <c r="G1326" s="17" t="n">
        <v>2400</v>
      </c>
      <c r="H1326" s="17" t="n">
        <v>9.8</v>
      </c>
      <c r="I1326" s="17" t="n">
        <v>6494.4</v>
      </c>
      <c r="J1326" s="15" t="s">
        <v>98</v>
      </c>
      <c r="K1326" s="15" t="s">
        <v>123</v>
      </c>
    </row>
    <row r="1327" customFormat="false" ht="14.25" hidden="false" customHeight="false" outlineLevel="0" collapsed="false">
      <c r="A1327" s="15" t="s">
        <v>1824</v>
      </c>
      <c r="B1327" s="16" t="n">
        <v>45395</v>
      </c>
      <c r="C1327" s="15" t="s">
        <v>1261</v>
      </c>
      <c r="D1327" s="15" t="s">
        <v>172</v>
      </c>
      <c r="E1327" s="15" t="s">
        <v>165</v>
      </c>
      <c r="F1327" s="17" t="n">
        <v>8</v>
      </c>
      <c r="G1327" s="17" t="n">
        <v>3450</v>
      </c>
      <c r="H1327" s="17" t="n">
        <v>26.6</v>
      </c>
      <c r="I1327" s="17" t="n">
        <v>20258.4</v>
      </c>
      <c r="J1327" s="15" t="s">
        <v>151</v>
      </c>
      <c r="K1327" s="15" t="s">
        <v>99</v>
      </c>
    </row>
    <row r="1328" customFormat="false" ht="14.25" hidden="false" customHeight="false" outlineLevel="0" collapsed="false">
      <c r="A1328" s="15" t="s">
        <v>1825</v>
      </c>
      <c r="B1328" s="16" t="n">
        <v>45389</v>
      </c>
      <c r="C1328" s="15" t="s">
        <v>451</v>
      </c>
      <c r="D1328" s="15" t="s">
        <v>278</v>
      </c>
      <c r="E1328" s="15" t="s">
        <v>150</v>
      </c>
      <c r="F1328" s="17" t="n">
        <v>4</v>
      </c>
      <c r="G1328" s="17" t="n">
        <v>1220</v>
      </c>
      <c r="H1328" s="17" t="n">
        <v>5.5</v>
      </c>
      <c r="I1328" s="17" t="n">
        <v>4611.6</v>
      </c>
      <c r="J1328" s="15" t="s">
        <v>98</v>
      </c>
      <c r="K1328" s="15" t="s">
        <v>99</v>
      </c>
    </row>
    <row r="1329" customFormat="false" ht="14.25" hidden="false" customHeight="false" outlineLevel="0" collapsed="false">
      <c r="A1329" s="15" t="s">
        <v>1826</v>
      </c>
      <c r="B1329" s="16" t="n">
        <v>45536</v>
      </c>
      <c r="C1329" s="15" t="s">
        <v>1827</v>
      </c>
      <c r="D1329" s="15" t="s">
        <v>303</v>
      </c>
      <c r="E1329" s="15" t="s">
        <v>97</v>
      </c>
      <c r="F1329" s="17" t="n">
        <v>1</v>
      </c>
      <c r="G1329" s="17" t="n">
        <v>620</v>
      </c>
      <c r="H1329" s="17" t="n">
        <v>22.3</v>
      </c>
      <c r="I1329" s="17" t="n">
        <v>481.74</v>
      </c>
      <c r="J1329" s="15" t="s">
        <v>104</v>
      </c>
      <c r="K1329" s="15" t="s">
        <v>110</v>
      </c>
    </row>
    <row r="1330" customFormat="false" ht="14.25" hidden="false" customHeight="false" outlineLevel="0" collapsed="false">
      <c r="A1330" s="15" t="s">
        <v>1828</v>
      </c>
      <c r="B1330" s="16" t="n">
        <v>45348</v>
      </c>
      <c r="C1330" s="15" t="s">
        <v>242</v>
      </c>
      <c r="D1330" s="15" t="s">
        <v>293</v>
      </c>
      <c r="E1330" s="15" t="s">
        <v>165</v>
      </c>
      <c r="F1330" s="17" t="n">
        <v>1</v>
      </c>
      <c r="G1330" s="17" t="n">
        <v>300</v>
      </c>
      <c r="H1330" s="17" t="n">
        <v>12.5</v>
      </c>
      <c r="I1330" s="17" t="n">
        <v>262.5</v>
      </c>
      <c r="J1330" s="15" t="s">
        <v>98</v>
      </c>
      <c r="K1330" s="15" t="s">
        <v>128</v>
      </c>
    </row>
    <row r="1331" customFormat="false" ht="14.25" hidden="false" customHeight="false" outlineLevel="0" collapsed="false">
      <c r="A1331" s="15" t="s">
        <v>1829</v>
      </c>
      <c r="B1331" s="16" t="n">
        <v>45502</v>
      </c>
      <c r="C1331" s="15" t="s">
        <v>911</v>
      </c>
      <c r="D1331" s="15" t="s">
        <v>193</v>
      </c>
      <c r="E1331" s="15" t="s">
        <v>203</v>
      </c>
      <c r="F1331" s="17" t="n">
        <v>3</v>
      </c>
      <c r="G1331" s="17" t="n">
        <v>1010</v>
      </c>
      <c r="H1331" s="17" t="n">
        <v>14.1</v>
      </c>
      <c r="I1331" s="17" t="n">
        <v>2602.77</v>
      </c>
      <c r="J1331" s="15" t="s">
        <v>98</v>
      </c>
      <c r="K1331" s="15" t="s">
        <v>128</v>
      </c>
    </row>
    <row r="1332" customFormat="false" ht="14.25" hidden="false" customHeight="false" outlineLevel="0" collapsed="false">
      <c r="A1332" s="15" t="s">
        <v>1830</v>
      </c>
      <c r="B1332" s="16" t="n">
        <v>45600</v>
      </c>
      <c r="C1332" s="15" t="s">
        <v>808</v>
      </c>
      <c r="D1332" s="15" t="s">
        <v>454</v>
      </c>
      <c r="E1332" s="15" t="s">
        <v>354</v>
      </c>
      <c r="F1332" s="17" t="n">
        <v>2</v>
      </c>
      <c r="G1332" s="17" t="n">
        <v>5080</v>
      </c>
      <c r="H1332" s="17" t="n">
        <v>16.8</v>
      </c>
      <c r="I1332" s="17" t="n">
        <v>8453.12</v>
      </c>
      <c r="J1332" s="15" t="s">
        <v>98</v>
      </c>
      <c r="K1332" s="15" t="s">
        <v>110</v>
      </c>
    </row>
    <row r="1333" customFormat="false" ht="14.25" hidden="false" customHeight="false" outlineLevel="0" collapsed="false">
      <c r="A1333" s="15" t="s">
        <v>1831</v>
      </c>
      <c r="B1333" s="16" t="n">
        <v>45416</v>
      </c>
      <c r="C1333" s="15" t="s">
        <v>186</v>
      </c>
      <c r="D1333" s="15" t="s">
        <v>117</v>
      </c>
      <c r="E1333" s="15" t="s">
        <v>354</v>
      </c>
      <c r="F1333" s="17" t="n">
        <v>2</v>
      </c>
      <c r="G1333" s="17" t="n">
        <v>3160</v>
      </c>
      <c r="H1333" s="17" t="n">
        <v>21.4</v>
      </c>
      <c r="I1333" s="17" t="n">
        <v>4967.52</v>
      </c>
      <c r="J1333" s="15" t="s">
        <v>98</v>
      </c>
      <c r="K1333" s="15" t="s">
        <v>1832</v>
      </c>
    </row>
    <row r="1334" customFormat="false" ht="14.25" hidden="false" customHeight="false" outlineLevel="0" collapsed="false">
      <c r="A1334" s="15" t="s">
        <v>1833</v>
      </c>
      <c r="B1334" s="16" t="n">
        <v>45535</v>
      </c>
      <c r="C1334" s="15" t="s">
        <v>1027</v>
      </c>
      <c r="D1334" s="15" t="s">
        <v>168</v>
      </c>
      <c r="E1334" s="15" t="s">
        <v>357</v>
      </c>
      <c r="F1334" s="17" t="n">
        <v>7</v>
      </c>
      <c r="G1334" s="17" t="n">
        <v>3450</v>
      </c>
      <c r="H1334" s="17" t="n">
        <v>21.3</v>
      </c>
      <c r="I1334" s="17" t="n">
        <v>19006.05</v>
      </c>
      <c r="J1334" s="15" t="s">
        <v>98</v>
      </c>
      <c r="K1334" s="15" t="s">
        <v>128</v>
      </c>
    </row>
    <row r="1335" customFormat="false" ht="14.25" hidden="false" customHeight="false" outlineLevel="0" collapsed="false">
      <c r="A1335" s="15" t="s">
        <v>1834</v>
      </c>
      <c r="B1335" s="16" t="n">
        <v>45322</v>
      </c>
      <c r="C1335" s="15" t="s">
        <v>581</v>
      </c>
      <c r="D1335" s="15" t="s">
        <v>375</v>
      </c>
      <c r="E1335" s="15" t="s">
        <v>114</v>
      </c>
      <c r="F1335" s="17" t="n">
        <v>2</v>
      </c>
      <c r="G1335" s="17" t="n">
        <v>5330</v>
      </c>
      <c r="H1335" s="17" t="n">
        <v>4.3</v>
      </c>
      <c r="I1335" s="17" t="n">
        <v>10201.62</v>
      </c>
      <c r="J1335" s="15" t="s">
        <v>98</v>
      </c>
      <c r="K1335" s="15" t="s">
        <v>110</v>
      </c>
    </row>
    <row r="1336" customFormat="false" ht="14.25" hidden="false" customHeight="false" outlineLevel="0" collapsed="false">
      <c r="A1336" s="15" t="s">
        <v>1835</v>
      </c>
      <c r="B1336" s="16" t="n">
        <v>45626</v>
      </c>
      <c r="C1336" s="15" t="s">
        <v>624</v>
      </c>
      <c r="D1336" s="15" t="s">
        <v>526</v>
      </c>
      <c r="E1336" s="15" t="s">
        <v>109</v>
      </c>
      <c r="F1336" s="17" t="n">
        <v>5</v>
      </c>
      <c r="G1336" s="17" t="n">
        <v>6940</v>
      </c>
      <c r="H1336" s="17" t="n">
        <v>2.9</v>
      </c>
      <c r="I1336" s="17" t="n">
        <v>33693.7</v>
      </c>
      <c r="J1336" s="15" t="s">
        <v>98</v>
      </c>
      <c r="K1336" s="15" t="s">
        <v>123</v>
      </c>
    </row>
    <row r="1337" customFormat="false" ht="14.25" hidden="false" customHeight="false" outlineLevel="0" collapsed="false">
      <c r="A1337" s="15" t="s">
        <v>1836</v>
      </c>
      <c r="B1337" s="16" t="n">
        <v>45534</v>
      </c>
      <c r="C1337" s="15" t="s">
        <v>615</v>
      </c>
      <c r="D1337" s="15" t="s">
        <v>214</v>
      </c>
      <c r="E1337" s="15" t="s">
        <v>139</v>
      </c>
      <c r="F1337" s="17" t="n">
        <v>5</v>
      </c>
      <c r="G1337" s="17" t="n">
        <v>660</v>
      </c>
      <c r="H1337" s="17" t="n">
        <v>15.8</v>
      </c>
      <c r="I1337" s="17" t="n">
        <v>2778.6</v>
      </c>
      <c r="J1337" s="15" t="s">
        <v>98</v>
      </c>
      <c r="K1337" s="15" t="s">
        <v>128</v>
      </c>
    </row>
    <row r="1338" customFormat="false" ht="14.25" hidden="false" customHeight="false" outlineLevel="0" collapsed="false">
      <c r="A1338" s="15" t="s">
        <v>1837</v>
      </c>
      <c r="B1338" s="16" t="n">
        <v>45519</v>
      </c>
      <c r="C1338" s="15" t="s">
        <v>997</v>
      </c>
      <c r="D1338" s="15" t="s">
        <v>202</v>
      </c>
      <c r="E1338" s="15" t="s">
        <v>263</v>
      </c>
      <c r="F1338" s="17" t="n">
        <v>9</v>
      </c>
      <c r="G1338" s="17" t="n">
        <v>5100</v>
      </c>
      <c r="H1338" s="17" t="n">
        <v>0.4</v>
      </c>
      <c r="I1338" s="17" t="n">
        <v>45716.4</v>
      </c>
      <c r="J1338" s="15" t="s">
        <v>98</v>
      </c>
      <c r="K1338" s="15" t="s">
        <v>105</v>
      </c>
    </row>
    <row r="1339" customFormat="false" ht="14.25" hidden="false" customHeight="false" outlineLevel="0" collapsed="false">
      <c r="A1339" s="15" t="s">
        <v>1838</v>
      </c>
      <c r="B1339" s="16" t="n">
        <v>45315</v>
      </c>
      <c r="C1339" s="15" t="s">
        <v>1839</v>
      </c>
      <c r="D1339" s="15" t="s">
        <v>187</v>
      </c>
      <c r="E1339" s="15" t="s">
        <v>109</v>
      </c>
      <c r="F1339" s="17" t="n">
        <v>5</v>
      </c>
      <c r="G1339" s="17" t="n">
        <v>1650</v>
      </c>
      <c r="H1339" s="17" t="n">
        <v>0.8</v>
      </c>
      <c r="I1339" s="17" t="n">
        <v>8184</v>
      </c>
      <c r="J1339" s="15" t="s">
        <v>104</v>
      </c>
      <c r="K1339" s="15" t="s">
        <v>105</v>
      </c>
    </row>
    <row r="1340" customFormat="false" ht="14.25" hidden="false" customHeight="false" outlineLevel="0" collapsed="false">
      <c r="A1340" s="15" t="s">
        <v>1840</v>
      </c>
      <c r="B1340" s="16" t="n">
        <v>45566</v>
      </c>
      <c r="C1340" s="15" t="s">
        <v>728</v>
      </c>
      <c r="D1340" s="15" t="s">
        <v>248</v>
      </c>
      <c r="E1340" s="15" t="s">
        <v>314</v>
      </c>
      <c r="F1340" s="17" t="n">
        <v>7</v>
      </c>
      <c r="G1340" s="17" t="n">
        <v>3640</v>
      </c>
      <c r="H1340" s="17" t="n">
        <v>25.5</v>
      </c>
      <c r="I1340" s="17" t="n">
        <v>18982.6</v>
      </c>
      <c r="J1340" s="15" t="s">
        <v>98</v>
      </c>
      <c r="K1340" s="15" t="s">
        <v>105</v>
      </c>
    </row>
    <row r="1341" customFormat="false" ht="14.25" hidden="false" customHeight="false" outlineLevel="0" collapsed="false">
      <c r="A1341" s="15" t="s">
        <v>1841</v>
      </c>
      <c r="B1341" s="16" t="n">
        <v>45643</v>
      </c>
      <c r="C1341" s="15" t="s">
        <v>247</v>
      </c>
      <c r="D1341" s="15" t="s">
        <v>195</v>
      </c>
      <c r="E1341" s="15" t="s">
        <v>240</v>
      </c>
      <c r="F1341" s="17" t="n">
        <v>6</v>
      </c>
      <c r="G1341" s="17" t="n">
        <v>4880</v>
      </c>
      <c r="H1341" s="17" t="n">
        <v>12.6</v>
      </c>
      <c r="I1341" s="17" t="n">
        <v>25590.72</v>
      </c>
      <c r="J1341" s="15" t="s">
        <v>151</v>
      </c>
      <c r="K1341" s="15" t="s">
        <v>144</v>
      </c>
    </row>
    <row r="1342" customFormat="false" ht="14.25" hidden="false" customHeight="false" outlineLevel="0" collapsed="false">
      <c r="A1342" s="15" t="s">
        <v>1842</v>
      </c>
      <c r="B1342" s="16" t="n">
        <v>45422</v>
      </c>
      <c r="C1342" s="15" t="s">
        <v>911</v>
      </c>
      <c r="D1342" s="15" t="s">
        <v>375</v>
      </c>
      <c r="E1342" s="15" t="s">
        <v>139</v>
      </c>
      <c r="F1342" s="17" t="n">
        <v>4</v>
      </c>
      <c r="G1342" s="17" t="n">
        <v>5330</v>
      </c>
      <c r="H1342" s="17" t="n">
        <v>16.2</v>
      </c>
      <c r="I1342" s="17" t="n">
        <v>17866.16</v>
      </c>
      <c r="J1342" s="15" t="s">
        <v>98</v>
      </c>
      <c r="K1342" s="15" t="s">
        <v>128</v>
      </c>
    </row>
    <row r="1343" customFormat="false" ht="14.25" hidden="false" customHeight="false" outlineLevel="0" collapsed="false">
      <c r="A1343" s="15" t="s">
        <v>1843</v>
      </c>
      <c r="B1343" s="16" t="n">
        <v>45400</v>
      </c>
      <c r="C1343" s="15" t="s">
        <v>490</v>
      </c>
      <c r="D1343" s="15" t="s">
        <v>135</v>
      </c>
      <c r="E1343" s="15" t="s">
        <v>165</v>
      </c>
      <c r="F1343" s="17" t="n">
        <v>3</v>
      </c>
      <c r="G1343" s="17" t="n">
        <v>5490</v>
      </c>
      <c r="H1343" s="17" t="n">
        <v>26.7</v>
      </c>
      <c r="I1343" s="17" t="n">
        <v>12072.51</v>
      </c>
      <c r="J1343" s="15" t="s">
        <v>98</v>
      </c>
      <c r="K1343" s="15" t="s">
        <v>99</v>
      </c>
    </row>
    <row r="1344" customFormat="false" ht="14.25" hidden="false" customHeight="false" outlineLevel="0" collapsed="false">
      <c r="A1344" s="15" t="s">
        <v>1844</v>
      </c>
      <c r="B1344" s="16" t="n">
        <v>45564</v>
      </c>
      <c r="C1344" s="15" t="s">
        <v>189</v>
      </c>
      <c r="D1344" s="15" t="s">
        <v>158</v>
      </c>
      <c r="E1344" s="15" t="s">
        <v>308</v>
      </c>
      <c r="F1344" s="17" t="n">
        <v>7</v>
      </c>
      <c r="G1344" s="17" t="n">
        <v>190</v>
      </c>
      <c r="H1344" s="17" t="n">
        <v>11.6</v>
      </c>
      <c r="I1344" s="17" t="n">
        <v>1175.72</v>
      </c>
      <c r="J1344" s="15" t="s">
        <v>98</v>
      </c>
      <c r="K1344" s="15" t="s">
        <v>105</v>
      </c>
    </row>
    <row r="1345" customFormat="false" ht="14.25" hidden="false" customHeight="false" outlineLevel="0" collapsed="false">
      <c r="A1345" s="15" t="s">
        <v>1845</v>
      </c>
      <c r="B1345" s="16" t="n">
        <v>45437</v>
      </c>
      <c r="C1345" s="15" t="s">
        <v>125</v>
      </c>
      <c r="D1345" s="15" t="s">
        <v>117</v>
      </c>
      <c r="E1345" s="15" t="s">
        <v>357</v>
      </c>
      <c r="F1345" s="17" t="n">
        <v>5</v>
      </c>
      <c r="G1345" s="17" t="n">
        <v>3160</v>
      </c>
      <c r="H1345" s="17" t="n">
        <v>24.1</v>
      </c>
      <c r="I1345" s="17" t="n">
        <v>11992.2</v>
      </c>
      <c r="J1345" s="15" t="s">
        <v>98</v>
      </c>
      <c r="K1345" s="15" t="s">
        <v>128</v>
      </c>
    </row>
    <row r="1346" customFormat="false" ht="14.25" hidden="false" customHeight="false" outlineLevel="0" collapsed="false">
      <c r="A1346" s="15" t="s">
        <v>1846</v>
      </c>
      <c r="B1346" s="16" t="n">
        <v>45395</v>
      </c>
      <c r="C1346" s="15" t="s">
        <v>396</v>
      </c>
      <c r="D1346" s="15" t="s">
        <v>513</v>
      </c>
      <c r="E1346" s="15" t="s">
        <v>165</v>
      </c>
      <c r="F1346" s="17" t="n">
        <v>1</v>
      </c>
      <c r="G1346" s="17" t="n">
        <v>1090</v>
      </c>
      <c r="H1346" s="17" t="n">
        <v>9.6</v>
      </c>
      <c r="I1346" s="17" t="n">
        <v>985.36</v>
      </c>
      <c r="J1346" s="15" t="s">
        <v>155</v>
      </c>
      <c r="K1346" s="15" t="s">
        <v>128</v>
      </c>
    </row>
    <row r="1347" customFormat="false" ht="14.25" hidden="false" customHeight="false" outlineLevel="0" collapsed="false">
      <c r="A1347" s="15" t="s">
        <v>1847</v>
      </c>
      <c r="B1347" s="16" t="n">
        <v>45447</v>
      </c>
      <c r="C1347" s="15" t="s">
        <v>393</v>
      </c>
      <c r="D1347" s="15" t="s">
        <v>121</v>
      </c>
      <c r="E1347" s="15" t="s">
        <v>150</v>
      </c>
      <c r="F1347" s="17" t="n">
        <v>9</v>
      </c>
      <c r="G1347" s="17" t="n">
        <v>370</v>
      </c>
      <c r="H1347" s="17" t="n">
        <v>4</v>
      </c>
      <c r="I1347" s="17" t="n">
        <v>3196.8</v>
      </c>
      <c r="J1347" s="15" t="s">
        <v>98</v>
      </c>
      <c r="K1347" s="15" t="s">
        <v>110</v>
      </c>
    </row>
    <row r="1348" customFormat="false" ht="14.25" hidden="false" customHeight="false" outlineLevel="0" collapsed="false">
      <c r="A1348" s="15" t="s">
        <v>1848</v>
      </c>
      <c r="B1348" s="16" t="n">
        <v>45300</v>
      </c>
      <c r="C1348" s="15" t="s">
        <v>228</v>
      </c>
      <c r="D1348" s="15" t="s">
        <v>290</v>
      </c>
      <c r="E1348" s="15" t="s">
        <v>308</v>
      </c>
      <c r="F1348" s="17" t="n">
        <v>5</v>
      </c>
      <c r="G1348" s="17" t="n">
        <v>2660</v>
      </c>
      <c r="H1348" s="17" t="n">
        <v>24.6</v>
      </c>
      <c r="I1348" s="17" t="n">
        <v>10028.2</v>
      </c>
      <c r="J1348" s="15" t="s">
        <v>151</v>
      </c>
      <c r="K1348" s="15" t="s">
        <v>105</v>
      </c>
    </row>
    <row r="1349" customFormat="false" ht="14.25" hidden="false" customHeight="false" outlineLevel="0" collapsed="false">
      <c r="A1349" s="15" t="s">
        <v>1849</v>
      </c>
      <c r="B1349" s="16" t="n">
        <v>45327</v>
      </c>
      <c r="C1349" s="15" t="s">
        <v>1372</v>
      </c>
      <c r="D1349" s="15" t="s">
        <v>670</v>
      </c>
      <c r="E1349" s="15" t="s">
        <v>314</v>
      </c>
      <c r="F1349" s="17" t="n">
        <v>4</v>
      </c>
      <c r="G1349" s="17" t="n">
        <v>3560</v>
      </c>
      <c r="H1349" s="17" t="n">
        <v>25.7</v>
      </c>
      <c r="I1349" s="17" t="n">
        <v>10580.32</v>
      </c>
      <c r="J1349" s="15" t="s">
        <v>98</v>
      </c>
      <c r="K1349" s="15" t="s">
        <v>105</v>
      </c>
    </row>
    <row r="1350" customFormat="false" ht="14.25" hidden="false" customHeight="false" outlineLevel="0" collapsed="false">
      <c r="A1350" s="15" t="s">
        <v>1850</v>
      </c>
      <c r="B1350" s="16" t="n">
        <v>45410</v>
      </c>
      <c r="C1350" s="15" t="s">
        <v>997</v>
      </c>
      <c r="D1350" s="15" t="s">
        <v>391</v>
      </c>
      <c r="E1350" s="15" t="s">
        <v>103</v>
      </c>
      <c r="F1350" s="17" t="n">
        <v>8</v>
      </c>
      <c r="G1350" s="17" t="n">
        <v>960</v>
      </c>
      <c r="H1350" s="17" t="n">
        <v>0.1</v>
      </c>
      <c r="I1350" s="17" t="n">
        <v>7672.32</v>
      </c>
      <c r="J1350" s="15" t="s">
        <v>98</v>
      </c>
      <c r="K1350" s="15" t="s">
        <v>105</v>
      </c>
    </row>
    <row r="1351" customFormat="false" ht="14.25" hidden="false" customHeight="false" outlineLevel="0" collapsed="false">
      <c r="A1351" s="15" t="s">
        <v>1851</v>
      </c>
      <c r="B1351" s="16" t="n">
        <v>45644</v>
      </c>
      <c r="C1351" s="15" t="s">
        <v>236</v>
      </c>
      <c r="D1351" s="15" t="s">
        <v>121</v>
      </c>
      <c r="E1351" s="15" t="s">
        <v>127</v>
      </c>
      <c r="F1351" s="17" t="n">
        <v>10</v>
      </c>
      <c r="G1351" s="17" t="n">
        <v>370</v>
      </c>
      <c r="H1351" s="17" t="n">
        <v>16.4</v>
      </c>
      <c r="I1351" s="17" t="n">
        <v>3093.2</v>
      </c>
      <c r="J1351" s="15" t="s">
        <v>151</v>
      </c>
      <c r="K1351" s="15" t="s">
        <v>105</v>
      </c>
    </row>
    <row r="1352" customFormat="false" ht="14.25" hidden="false" customHeight="false" outlineLevel="0" collapsed="false">
      <c r="A1352" s="15" t="s">
        <v>1852</v>
      </c>
      <c r="B1352" s="16" t="n">
        <v>45399</v>
      </c>
      <c r="C1352" s="15" t="s">
        <v>848</v>
      </c>
      <c r="D1352" s="15" t="s">
        <v>184</v>
      </c>
      <c r="E1352" s="15" t="s">
        <v>240</v>
      </c>
      <c r="F1352" s="17" t="n">
        <v>4</v>
      </c>
      <c r="G1352" s="17" t="n">
        <v>2720</v>
      </c>
      <c r="H1352" s="17" t="n">
        <v>3.1</v>
      </c>
      <c r="I1352" s="17" t="n">
        <v>10542.72</v>
      </c>
      <c r="J1352" s="15" t="s">
        <v>98</v>
      </c>
      <c r="K1352" s="15" t="s">
        <v>128</v>
      </c>
    </row>
    <row r="1353" customFormat="false" ht="14.25" hidden="false" customHeight="false" outlineLevel="0" collapsed="false">
      <c r="A1353" s="15" t="s">
        <v>1853</v>
      </c>
      <c r="B1353" s="16" t="n">
        <v>45441</v>
      </c>
      <c r="C1353" s="15" t="s">
        <v>416</v>
      </c>
      <c r="D1353" s="15" t="s">
        <v>454</v>
      </c>
      <c r="E1353" s="15" t="s">
        <v>103</v>
      </c>
      <c r="F1353" s="17" t="n">
        <v>10</v>
      </c>
      <c r="G1353" s="17" t="n">
        <v>5080</v>
      </c>
      <c r="H1353" s="17" t="n">
        <v>6.8</v>
      </c>
      <c r="I1353" s="17" t="n">
        <v>47345.6</v>
      </c>
      <c r="J1353" s="15" t="s">
        <v>98</v>
      </c>
      <c r="K1353" s="15" t="s">
        <v>105</v>
      </c>
    </row>
    <row r="1354" customFormat="false" ht="14.25" hidden="false" customHeight="false" outlineLevel="0" collapsed="false">
      <c r="A1354" s="15" t="s">
        <v>1854</v>
      </c>
      <c r="B1354" s="16" t="n">
        <v>45379</v>
      </c>
      <c r="C1354" s="15" t="s">
        <v>1545</v>
      </c>
      <c r="D1354" s="15" t="s">
        <v>397</v>
      </c>
      <c r="E1354" s="15" t="s">
        <v>118</v>
      </c>
      <c r="F1354" s="17" t="n">
        <v>6</v>
      </c>
      <c r="G1354" s="17" t="n">
        <v>2290</v>
      </c>
      <c r="H1354" s="17" t="n">
        <v>22.6</v>
      </c>
      <c r="I1354" s="17" t="n">
        <v>10634.76</v>
      </c>
      <c r="J1354" s="15" t="s">
        <v>98</v>
      </c>
      <c r="K1354" s="15" t="s">
        <v>144</v>
      </c>
    </row>
    <row r="1355" customFormat="false" ht="14.25" hidden="false" customHeight="false" outlineLevel="0" collapsed="false">
      <c r="A1355" s="15" t="s">
        <v>1855</v>
      </c>
      <c r="B1355" s="16" t="n">
        <v>45502</v>
      </c>
      <c r="C1355" s="15" t="s">
        <v>779</v>
      </c>
      <c r="D1355" s="15" t="s">
        <v>211</v>
      </c>
      <c r="E1355" s="15" t="s">
        <v>114</v>
      </c>
      <c r="F1355" s="17" t="n">
        <v>4</v>
      </c>
      <c r="G1355" s="17" t="n">
        <v>2760</v>
      </c>
      <c r="H1355" s="17" t="n">
        <v>27.2</v>
      </c>
      <c r="I1355" s="17" t="n">
        <v>8037.12</v>
      </c>
      <c r="J1355" s="15" t="s">
        <v>155</v>
      </c>
      <c r="K1355" s="15" t="s">
        <v>99</v>
      </c>
    </row>
    <row r="1356" customFormat="false" ht="14.25" hidden="false" customHeight="false" outlineLevel="0" collapsed="false">
      <c r="A1356" s="15" t="s">
        <v>1856</v>
      </c>
      <c r="B1356" s="16" t="n">
        <v>45466</v>
      </c>
      <c r="C1356" s="15" t="s">
        <v>453</v>
      </c>
      <c r="D1356" s="15" t="s">
        <v>142</v>
      </c>
      <c r="E1356" s="15" t="s">
        <v>354</v>
      </c>
      <c r="F1356" s="17" t="n">
        <v>9</v>
      </c>
      <c r="G1356" s="17" t="n">
        <v>2270</v>
      </c>
      <c r="H1356" s="17" t="n">
        <v>5.2</v>
      </c>
      <c r="I1356" s="17" t="n">
        <v>19367.64</v>
      </c>
      <c r="J1356" s="15" t="s">
        <v>98</v>
      </c>
      <c r="K1356" s="15" t="s">
        <v>99</v>
      </c>
    </row>
    <row r="1357" customFormat="false" ht="14.25" hidden="false" customHeight="false" outlineLevel="0" collapsed="false">
      <c r="A1357" s="15" t="s">
        <v>1857</v>
      </c>
      <c r="B1357" s="16" t="n">
        <v>45500</v>
      </c>
      <c r="C1357" s="15" t="s">
        <v>389</v>
      </c>
      <c r="D1357" s="15" t="s">
        <v>366</v>
      </c>
      <c r="E1357" s="15" t="s">
        <v>118</v>
      </c>
      <c r="F1357" s="17" t="n">
        <v>3</v>
      </c>
      <c r="G1357" s="17" t="n">
        <v>2510</v>
      </c>
      <c r="H1357" s="17" t="n">
        <v>16.4</v>
      </c>
      <c r="I1357" s="17" t="n">
        <v>6295.08</v>
      </c>
      <c r="J1357" s="15" t="s">
        <v>98</v>
      </c>
      <c r="K1357" s="15" t="s">
        <v>105</v>
      </c>
    </row>
    <row r="1358" customFormat="false" ht="14.25" hidden="false" customHeight="false" outlineLevel="0" collapsed="false">
      <c r="A1358" s="15" t="s">
        <v>1858</v>
      </c>
      <c r="B1358" s="16" t="n">
        <v>45337</v>
      </c>
      <c r="C1358" s="15" t="s">
        <v>323</v>
      </c>
      <c r="D1358" s="15" t="s">
        <v>378</v>
      </c>
      <c r="E1358" s="15" t="s">
        <v>336</v>
      </c>
      <c r="F1358" s="17" t="n">
        <v>1</v>
      </c>
      <c r="G1358" s="17" t="n">
        <v>2380</v>
      </c>
      <c r="H1358" s="17" t="n">
        <v>23.5</v>
      </c>
      <c r="I1358" s="17" t="n">
        <v>1820.7</v>
      </c>
      <c r="J1358" s="15" t="s">
        <v>98</v>
      </c>
      <c r="K1358" s="15" t="s">
        <v>144</v>
      </c>
    </row>
    <row r="1359" customFormat="false" ht="14.25" hidden="false" customHeight="false" outlineLevel="0" collapsed="false">
      <c r="A1359" s="15" t="s">
        <v>1859</v>
      </c>
      <c r="B1359" s="16" t="n">
        <v>45447</v>
      </c>
      <c r="C1359" s="15" t="s">
        <v>848</v>
      </c>
      <c r="D1359" s="15" t="s">
        <v>472</v>
      </c>
      <c r="E1359" s="15" t="s">
        <v>132</v>
      </c>
      <c r="F1359" s="17" t="n">
        <v>2</v>
      </c>
      <c r="G1359" s="17" t="n">
        <v>3780</v>
      </c>
      <c r="H1359" s="17" t="n">
        <v>29.1</v>
      </c>
      <c r="I1359" s="17" t="n">
        <v>5360.04</v>
      </c>
      <c r="J1359" s="15" t="s">
        <v>98</v>
      </c>
      <c r="K1359" s="15" t="s">
        <v>128</v>
      </c>
    </row>
    <row r="1360" customFormat="false" ht="14.25" hidden="false" customHeight="false" outlineLevel="0" collapsed="false">
      <c r="A1360" s="15" t="s">
        <v>1860</v>
      </c>
      <c r="B1360" s="16" t="n">
        <v>45546</v>
      </c>
      <c r="C1360" s="15" t="s">
        <v>963</v>
      </c>
      <c r="D1360" s="15" t="s">
        <v>463</v>
      </c>
      <c r="E1360" s="15" t="s">
        <v>212</v>
      </c>
      <c r="F1360" s="17" t="n">
        <v>1</v>
      </c>
      <c r="G1360" s="17" t="n">
        <v>3450</v>
      </c>
      <c r="H1360" s="17" t="n">
        <v>17.8</v>
      </c>
      <c r="I1360" s="17" t="n">
        <v>2835.9</v>
      </c>
      <c r="J1360" s="15" t="s">
        <v>98</v>
      </c>
      <c r="K1360" s="15" t="s">
        <v>144</v>
      </c>
    </row>
    <row r="1361" customFormat="false" ht="14.25" hidden="false" customHeight="false" outlineLevel="0" collapsed="false">
      <c r="A1361" s="15" t="s">
        <v>1861</v>
      </c>
      <c r="B1361" s="16" t="n">
        <v>45451</v>
      </c>
      <c r="C1361" s="15" t="s">
        <v>399</v>
      </c>
      <c r="D1361" s="15" t="s">
        <v>195</v>
      </c>
      <c r="E1361" s="15" t="s">
        <v>114</v>
      </c>
      <c r="F1361" s="17" t="n">
        <v>6</v>
      </c>
      <c r="G1361" s="17" t="n">
        <v>4880</v>
      </c>
      <c r="H1361" s="17" t="n">
        <v>15.6</v>
      </c>
      <c r="I1361" s="17" t="n">
        <v>24712.32</v>
      </c>
      <c r="J1361" s="15" t="s">
        <v>104</v>
      </c>
      <c r="K1361" s="15" t="s">
        <v>144</v>
      </c>
    </row>
    <row r="1362" customFormat="false" ht="14.25" hidden="false" customHeight="false" outlineLevel="0" collapsed="false">
      <c r="A1362" s="15" t="s">
        <v>1862</v>
      </c>
      <c r="B1362" s="16" t="n">
        <v>45427</v>
      </c>
      <c r="C1362" s="15" t="s">
        <v>186</v>
      </c>
      <c r="D1362" s="15" t="s">
        <v>391</v>
      </c>
      <c r="E1362" s="15" t="s">
        <v>357</v>
      </c>
      <c r="F1362" s="17" t="n">
        <v>6</v>
      </c>
      <c r="G1362" s="17" t="n">
        <v>960</v>
      </c>
      <c r="H1362" s="17" t="n">
        <v>7.5</v>
      </c>
      <c r="I1362" s="17" t="n">
        <v>5328</v>
      </c>
      <c r="J1362" s="15" t="s">
        <v>104</v>
      </c>
      <c r="K1362" s="15" t="s">
        <v>144</v>
      </c>
    </row>
    <row r="1363" customFormat="false" ht="14.25" hidden="false" customHeight="false" outlineLevel="0" collapsed="false">
      <c r="A1363" s="15" t="s">
        <v>1863</v>
      </c>
      <c r="B1363" s="16" t="n">
        <v>45532</v>
      </c>
      <c r="C1363" s="15" t="s">
        <v>424</v>
      </c>
      <c r="D1363" s="15" t="s">
        <v>670</v>
      </c>
      <c r="E1363" s="15" t="s">
        <v>165</v>
      </c>
      <c r="F1363" s="17" t="n">
        <v>1</v>
      </c>
      <c r="G1363" s="17" t="n">
        <v>3560</v>
      </c>
      <c r="H1363" s="17" t="n">
        <v>12.9</v>
      </c>
      <c r="I1363" s="17" t="n">
        <v>3100.76</v>
      </c>
      <c r="J1363" s="15" t="s">
        <v>98</v>
      </c>
      <c r="K1363" s="15" t="s">
        <v>99</v>
      </c>
    </row>
    <row r="1364" customFormat="false" ht="14.25" hidden="false" customHeight="false" outlineLevel="0" collapsed="false">
      <c r="A1364" s="15" t="s">
        <v>1864</v>
      </c>
      <c r="B1364" s="16" t="n">
        <v>45466</v>
      </c>
      <c r="C1364" s="15" t="s">
        <v>596</v>
      </c>
      <c r="D1364" s="15" t="s">
        <v>362</v>
      </c>
      <c r="E1364" s="15" t="s">
        <v>103</v>
      </c>
      <c r="F1364" s="17" t="n">
        <v>5</v>
      </c>
      <c r="G1364" s="17" t="n">
        <v>4060</v>
      </c>
      <c r="H1364" s="17" t="n">
        <v>18.1</v>
      </c>
      <c r="I1364" s="17" t="n">
        <v>16625.7</v>
      </c>
      <c r="J1364" s="15" t="s">
        <v>104</v>
      </c>
      <c r="K1364" s="15" t="s">
        <v>105</v>
      </c>
    </row>
    <row r="1365" customFormat="false" ht="14.25" hidden="false" customHeight="false" outlineLevel="0" collapsed="false">
      <c r="A1365" s="15" t="s">
        <v>1865</v>
      </c>
      <c r="B1365" s="16" t="n">
        <v>45545</v>
      </c>
      <c r="C1365" s="15" t="s">
        <v>112</v>
      </c>
      <c r="D1365" s="15" t="s">
        <v>184</v>
      </c>
      <c r="E1365" s="15" t="s">
        <v>203</v>
      </c>
      <c r="F1365" s="17" t="n">
        <v>10</v>
      </c>
      <c r="G1365" s="17" t="n">
        <v>2720</v>
      </c>
      <c r="H1365" s="17" t="n">
        <v>23.2</v>
      </c>
      <c r="I1365" s="17" t="n">
        <v>20889.6</v>
      </c>
      <c r="J1365" s="15" t="s">
        <v>98</v>
      </c>
      <c r="K1365" s="15" t="s">
        <v>110</v>
      </c>
    </row>
    <row r="1366" customFormat="false" ht="14.25" hidden="false" customHeight="false" outlineLevel="0" collapsed="false">
      <c r="A1366" s="15" t="s">
        <v>1739</v>
      </c>
      <c r="B1366" s="16" t="n">
        <v>45547</v>
      </c>
      <c r="C1366" s="15" t="s">
        <v>572</v>
      </c>
      <c r="D1366" s="15" t="s">
        <v>349</v>
      </c>
      <c r="E1366" s="15" t="s">
        <v>296</v>
      </c>
      <c r="F1366" s="17" t="n">
        <v>1</v>
      </c>
      <c r="G1366" s="17" t="n">
        <v>2210</v>
      </c>
      <c r="H1366" s="17" t="n">
        <v>5.8</v>
      </c>
      <c r="I1366" s="17" t="n">
        <v>2081.82</v>
      </c>
      <c r="J1366" s="15" t="s">
        <v>104</v>
      </c>
      <c r="K1366" s="15" t="s">
        <v>144</v>
      </c>
    </row>
    <row r="1367" customFormat="false" ht="14.25" hidden="false" customHeight="false" outlineLevel="0" collapsed="false">
      <c r="A1367" s="15" t="s">
        <v>1866</v>
      </c>
      <c r="B1367" s="16" t="n">
        <v>45547</v>
      </c>
      <c r="C1367" s="15" t="s">
        <v>171</v>
      </c>
      <c r="D1367" s="15" t="s">
        <v>168</v>
      </c>
      <c r="E1367" s="15" t="s">
        <v>263</v>
      </c>
      <c r="F1367" s="17" t="n">
        <v>5</v>
      </c>
      <c r="G1367" s="17" t="n">
        <v>3450</v>
      </c>
      <c r="H1367" s="17" t="n">
        <v>27.9</v>
      </c>
      <c r="I1367" s="17" t="n">
        <v>12437.25</v>
      </c>
      <c r="J1367" s="15" t="s">
        <v>104</v>
      </c>
      <c r="K1367" s="15" t="s">
        <v>123</v>
      </c>
    </row>
    <row r="1368" customFormat="false" ht="14.25" hidden="false" customHeight="false" outlineLevel="0" collapsed="false">
      <c r="A1368" s="15" t="s">
        <v>1867</v>
      </c>
      <c r="B1368" s="16" t="n">
        <v>45550</v>
      </c>
      <c r="C1368" s="15" t="s">
        <v>223</v>
      </c>
      <c r="D1368" s="15" t="s">
        <v>378</v>
      </c>
      <c r="E1368" s="15" t="s">
        <v>165</v>
      </c>
      <c r="F1368" s="17" t="n">
        <v>9</v>
      </c>
      <c r="G1368" s="17" t="n">
        <v>2380</v>
      </c>
      <c r="H1368" s="17" t="n">
        <v>15.2</v>
      </c>
      <c r="I1368" s="17" t="n">
        <v>18164.16</v>
      </c>
      <c r="J1368" s="15" t="s">
        <v>155</v>
      </c>
      <c r="K1368" s="15" t="s">
        <v>123</v>
      </c>
    </row>
    <row r="1369" customFormat="false" ht="14.25" hidden="false" customHeight="false" outlineLevel="0" collapsed="false">
      <c r="A1369" s="15" t="s">
        <v>1868</v>
      </c>
      <c r="B1369" s="16" t="n">
        <v>45551</v>
      </c>
      <c r="C1369" s="15" t="s">
        <v>410</v>
      </c>
      <c r="D1369" s="15" t="s">
        <v>378</v>
      </c>
      <c r="E1369" s="15" t="s">
        <v>308</v>
      </c>
      <c r="F1369" s="17" t="n">
        <v>2</v>
      </c>
      <c r="G1369" s="17" t="n">
        <v>2380</v>
      </c>
      <c r="H1369" s="17" t="n">
        <v>24.3</v>
      </c>
      <c r="I1369" s="17" t="n">
        <v>3603.32</v>
      </c>
      <c r="J1369" s="15" t="s">
        <v>98</v>
      </c>
      <c r="K1369" s="15" t="s">
        <v>110</v>
      </c>
    </row>
    <row r="1370" customFormat="false" ht="14.25" hidden="false" customHeight="false" outlineLevel="0" collapsed="false">
      <c r="A1370" s="15" t="s">
        <v>1869</v>
      </c>
      <c r="B1370" s="16" t="n">
        <v>45560</v>
      </c>
      <c r="C1370" s="15" t="s">
        <v>112</v>
      </c>
      <c r="D1370" s="15" t="s">
        <v>670</v>
      </c>
      <c r="E1370" s="15" t="s">
        <v>336</v>
      </c>
      <c r="F1370" s="17" t="n">
        <v>9</v>
      </c>
      <c r="G1370" s="17" t="n">
        <v>3560</v>
      </c>
      <c r="H1370" s="17" t="n">
        <v>6.6</v>
      </c>
      <c r="I1370" s="17" t="n">
        <v>29925.36</v>
      </c>
      <c r="J1370" s="15" t="s">
        <v>155</v>
      </c>
      <c r="K1370" s="15" t="s">
        <v>110</v>
      </c>
    </row>
    <row r="1371" customFormat="false" ht="14.25" hidden="false" customHeight="false" outlineLevel="0" collapsed="false">
      <c r="A1371" s="15" t="s">
        <v>1870</v>
      </c>
      <c r="B1371" s="16" t="n">
        <v>45330</v>
      </c>
      <c r="C1371" s="15" t="s">
        <v>483</v>
      </c>
      <c r="D1371" s="15" t="s">
        <v>278</v>
      </c>
      <c r="E1371" s="15" t="s">
        <v>314</v>
      </c>
      <c r="F1371" s="17" t="n">
        <v>7</v>
      </c>
      <c r="G1371" s="17" t="n">
        <v>1220</v>
      </c>
      <c r="H1371" s="17" t="n">
        <v>29.4</v>
      </c>
      <c r="I1371" s="17" t="n">
        <v>6029.24</v>
      </c>
      <c r="J1371" s="15" t="s">
        <v>98</v>
      </c>
      <c r="K1371" s="15" t="s">
        <v>105</v>
      </c>
    </row>
    <row r="1372" customFormat="false" ht="14.25" hidden="false" customHeight="false" outlineLevel="0" collapsed="false">
      <c r="A1372" s="15" t="s">
        <v>1871</v>
      </c>
      <c r="B1372" s="16" t="n">
        <v>45560</v>
      </c>
      <c r="C1372" s="15" t="s">
        <v>566</v>
      </c>
      <c r="D1372" s="15" t="s">
        <v>526</v>
      </c>
      <c r="E1372" s="15" t="s">
        <v>249</v>
      </c>
      <c r="F1372" s="17" t="n">
        <v>7</v>
      </c>
      <c r="G1372" s="17" t="n">
        <v>6940</v>
      </c>
      <c r="H1372" s="17" t="n">
        <v>9.6</v>
      </c>
      <c r="I1372" s="17" t="n">
        <v>43916.32</v>
      </c>
      <c r="J1372" s="15" t="s">
        <v>98</v>
      </c>
      <c r="K1372" s="15" t="s">
        <v>123</v>
      </c>
    </row>
    <row r="1373" customFormat="false" ht="14.25" hidden="false" customHeight="false" outlineLevel="0" collapsed="false">
      <c r="A1373" s="15" t="s">
        <v>1872</v>
      </c>
      <c r="B1373" s="16" t="n">
        <v>45395</v>
      </c>
      <c r="C1373" s="15" t="s">
        <v>916</v>
      </c>
      <c r="D1373" s="15" t="s">
        <v>513</v>
      </c>
      <c r="E1373" s="15" t="s">
        <v>296</v>
      </c>
      <c r="F1373" s="17" t="n">
        <v>2</v>
      </c>
      <c r="G1373" s="17" t="n">
        <v>1090</v>
      </c>
      <c r="H1373" s="17" t="n">
        <v>17</v>
      </c>
      <c r="I1373" s="17" t="n">
        <v>1809.4</v>
      </c>
      <c r="J1373" s="15" t="s">
        <v>98</v>
      </c>
      <c r="K1373" s="15" t="s">
        <v>123</v>
      </c>
    </row>
    <row r="1374" customFormat="false" ht="14.25" hidden="false" customHeight="false" outlineLevel="0" collapsed="false">
      <c r="A1374" s="15" t="s">
        <v>1873</v>
      </c>
      <c r="B1374" s="16" t="n">
        <v>45486</v>
      </c>
      <c r="C1374" s="15" t="s">
        <v>796</v>
      </c>
      <c r="D1374" s="15" t="s">
        <v>378</v>
      </c>
      <c r="E1374" s="15" t="s">
        <v>139</v>
      </c>
      <c r="F1374" s="17" t="n">
        <v>4</v>
      </c>
      <c r="G1374" s="17" t="n">
        <v>2380</v>
      </c>
      <c r="H1374" s="17" t="n">
        <v>18.9</v>
      </c>
      <c r="I1374" s="17" t="n">
        <v>7720.72</v>
      </c>
      <c r="J1374" s="15" t="s">
        <v>104</v>
      </c>
      <c r="K1374" s="15" t="s">
        <v>99</v>
      </c>
    </row>
    <row r="1375" customFormat="false" ht="14.25" hidden="false" customHeight="false" outlineLevel="0" collapsed="false">
      <c r="A1375" s="15" t="s">
        <v>1874</v>
      </c>
      <c r="B1375" s="16" t="n">
        <v>45578</v>
      </c>
      <c r="C1375" s="15" t="s">
        <v>916</v>
      </c>
      <c r="D1375" s="15" t="s">
        <v>142</v>
      </c>
      <c r="E1375" s="15" t="s">
        <v>150</v>
      </c>
      <c r="F1375" s="17" t="n">
        <v>6</v>
      </c>
      <c r="G1375" s="17" t="n">
        <v>2270</v>
      </c>
      <c r="H1375" s="17" t="n">
        <v>20.9</v>
      </c>
      <c r="I1375" s="17" t="n">
        <v>10773.42</v>
      </c>
      <c r="J1375" s="15" t="s">
        <v>104</v>
      </c>
      <c r="K1375" s="15" t="s">
        <v>123</v>
      </c>
    </row>
    <row r="1376" customFormat="false" ht="14.25" hidden="false" customHeight="false" outlineLevel="0" collapsed="false">
      <c r="A1376" s="15" t="s">
        <v>1875</v>
      </c>
      <c r="B1376" s="16" t="n">
        <v>45581</v>
      </c>
      <c r="C1376" s="15" t="s">
        <v>827</v>
      </c>
      <c r="D1376" s="15" t="s">
        <v>306</v>
      </c>
      <c r="E1376" s="15" t="s">
        <v>132</v>
      </c>
      <c r="F1376" s="17" t="n">
        <v>10</v>
      </c>
      <c r="G1376" s="17" t="n">
        <v>2030</v>
      </c>
      <c r="H1376" s="17" t="n">
        <v>25</v>
      </c>
      <c r="I1376" s="17" t="n">
        <v>15225</v>
      </c>
      <c r="J1376" s="15" t="s">
        <v>98</v>
      </c>
      <c r="K1376" s="15" t="s">
        <v>99</v>
      </c>
    </row>
    <row r="1377" customFormat="false" ht="14.25" hidden="false" customHeight="false" outlineLevel="0" collapsed="false">
      <c r="A1377" s="15" t="s">
        <v>1876</v>
      </c>
      <c r="B1377" s="16" t="n">
        <v>45508</v>
      </c>
      <c r="C1377" s="15" t="s">
        <v>401</v>
      </c>
      <c r="D1377" s="15" t="s">
        <v>513</v>
      </c>
      <c r="E1377" s="15" t="s">
        <v>354</v>
      </c>
      <c r="F1377" s="17" t="n">
        <v>3</v>
      </c>
      <c r="G1377" s="17" t="n">
        <v>1090</v>
      </c>
      <c r="H1377" s="17" t="n">
        <v>12.1</v>
      </c>
      <c r="I1377" s="17" t="n">
        <v>2874.33</v>
      </c>
      <c r="J1377" s="15" t="s">
        <v>98</v>
      </c>
      <c r="K1377" s="15" t="s">
        <v>99</v>
      </c>
    </row>
    <row r="1378" customFormat="false" ht="14.25" hidden="false" customHeight="false" outlineLevel="0" collapsed="false">
      <c r="A1378" s="15" t="s">
        <v>1877</v>
      </c>
      <c r="B1378" s="16" t="n">
        <v>45303</v>
      </c>
      <c r="C1378" s="15" t="s">
        <v>916</v>
      </c>
      <c r="D1378" s="15" t="s">
        <v>366</v>
      </c>
      <c r="E1378" s="15" t="s">
        <v>249</v>
      </c>
      <c r="F1378" s="17" t="n">
        <v>3</v>
      </c>
      <c r="G1378" s="17" t="n">
        <v>2510</v>
      </c>
      <c r="H1378" s="17" t="n">
        <v>28.7</v>
      </c>
      <c r="I1378" s="17" t="n">
        <v>5368.89</v>
      </c>
      <c r="J1378" s="15" t="s">
        <v>98</v>
      </c>
      <c r="K1378" s="15" t="s">
        <v>123</v>
      </c>
    </row>
    <row r="1379" customFormat="false" ht="14.25" hidden="false" customHeight="false" outlineLevel="0" collapsed="false">
      <c r="A1379" s="15" t="s">
        <v>1878</v>
      </c>
      <c r="B1379" s="16" t="n">
        <v>45412</v>
      </c>
      <c r="C1379" s="15" t="s">
        <v>1634</v>
      </c>
      <c r="D1379" s="15" t="s">
        <v>142</v>
      </c>
      <c r="E1379" s="15" t="s">
        <v>212</v>
      </c>
      <c r="F1379" s="17" t="n">
        <v>9</v>
      </c>
      <c r="G1379" s="17" t="n">
        <v>2270</v>
      </c>
      <c r="H1379" s="17" t="n">
        <v>25.4</v>
      </c>
      <c r="I1379" s="17" t="n">
        <v>15240.78</v>
      </c>
      <c r="J1379" s="15" t="s">
        <v>104</v>
      </c>
      <c r="K1379" s="15" t="s">
        <v>128</v>
      </c>
    </row>
    <row r="1380" customFormat="false" ht="14.25" hidden="false" customHeight="false" outlineLevel="0" collapsed="false">
      <c r="A1380" s="15" t="s">
        <v>1879</v>
      </c>
      <c r="B1380" s="16" t="n">
        <v>45400</v>
      </c>
      <c r="C1380" s="15" t="s">
        <v>112</v>
      </c>
      <c r="D1380" s="15" t="s">
        <v>419</v>
      </c>
      <c r="E1380" s="15" t="s">
        <v>240</v>
      </c>
      <c r="F1380" s="17" t="n">
        <v>9</v>
      </c>
      <c r="G1380" s="17" t="n">
        <v>3970</v>
      </c>
      <c r="H1380" s="17" t="n">
        <v>10.1</v>
      </c>
      <c r="I1380" s="17" t="n">
        <v>32121.27</v>
      </c>
      <c r="J1380" s="15" t="s">
        <v>151</v>
      </c>
      <c r="K1380" s="15" t="s">
        <v>110</v>
      </c>
    </row>
    <row r="1381" customFormat="false" ht="14.25" hidden="false" customHeight="false" outlineLevel="0" collapsed="false">
      <c r="A1381" s="15" t="s">
        <v>1880</v>
      </c>
      <c r="B1381" s="16" t="n">
        <v>45570</v>
      </c>
      <c r="C1381" s="15" t="s">
        <v>628</v>
      </c>
      <c r="D1381" s="15" t="s">
        <v>349</v>
      </c>
      <c r="E1381" s="15" t="s">
        <v>109</v>
      </c>
      <c r="F1381" s="17" t="n">
        <v>6</v>
      </c>
      <c r="G1381" s="17" t="n">
        <v>2210</v>
      </c>
      <c r="H1381" s="17" t="n">
        <v>7.4</v>
      </c>
      <c r="I1381" s="17" t="n">
        <v>12278.76</v>
      </c>
      <c r="J1381" s="15" t="s">
        <v>98</v>
      </c>
      <c r="K1381" s="15" t="s">
        <v>123</v>
      </c>
    </row>
    <row r="1382" customFormat="false" ht="14.25" hidden="false" customHeight="false" outlineLevel="0" collapsed="false">
      <c r="A1382" s="15" t="s">
        <v>1881</v>
      </c>
      <c r="B1382" s="16" t="n">
        <v>45360</v>
      </c>
      <c r="C1382" s="15" t="s">
        <v>286</v>
      </c>
      <c r="D1382" s="15" t="s">
        <v>270</v>
      </c>
      <c r="E1382" s="15" t="s">
        <v>249</v>
      </c>
      <c r="F1382" s="17" t="n">
        <v>7</v>
      </c>
      <c r="G1382" s="17" t="n">
        <v>1540</v>
      </c>
      <c r="H1382" s="17" t="n">
        <v>20.6</v>
      </c>
      <c r="I1382" s="17" t="n">
        <v>8559.32</v>
      </c>
      <c r="J1382" s="15" t="s">
        <v>98</v>
      </c>
      <c r="K1382" s="15" t="s">
        <v>99</v>
      </c>
    </row>
    <row r="1383" customFormat="false" ht="14.25" hidden="false" customHeight="false" outlineLevel="0" collapsed="false">
      <c r="A1383" s="15" t="s">
        <v>1882</v>
      </c>
      <c r="B1383" s="16" t="n">
        <v>45334</v>
      </c>
      <c r="C1383" s="15" t="s">
        <v>808</v>
      </c>
      <c r="D1383" s="15" t="s">
        <v>281</v>
      </c>
      <c r="E1383" s="15" t="s">
        <v>354</v>
      </c>
      <c r="F1383" s="17" t="n">
        <v>9</v>
      </c>
      <c r="G1383" s="17" t="n">
        <v>4610</v>
      </c>
      <c r="H1383" s="17" t="n">
        <v>2.1</v>
      </c>
      <c r="I1383" s="17" t="n">
        <v>40618.71</v>
      </c>
      <c r="J1383" s="15" t="s">
        <v>98</v>
      </c>
      <c r="K1383" s="15" t="s">
        <v>110</v>
      </c>
    </row>
    <row r="1384" customFormat="false" ht="14.25" hidden="false" customHeight="false" outlineLevel="0" collapsed="false">
      <c r="A1384" s="15" t="s">
        <v>1883</v>
      </c>
      <c r="B1384" s="16" t="n">
        <v>45527</v>
      </c>
      <c r="C1384" s="15" t="s">
        <v>740</v>
      </c>
      <c r="D1384" s="15" t="s">
        <v>419</v>
      </c>
      <c r="E1384" s="15" t="s">
        <v>308</v>
      </c>
      <c r="F1384" s="17" t="n">
        <v>10</v>
      </c>
      <c r="G1384" s="17" t="n">
        <v>3970</v>
      </c>
      <c r="H1384" s="17" t="n">
        <v>13.3</v>
      </c>
      <c r="I1384" s="17" t="n">
        <v>34419.9</v>
      </c>
      <c r="J1384" s="15" t="s">
        <v>104</v>
      </c>
      <c r="K1384" s="15" t="s">
        <v>123</v>
      </c>
    </row>
    <row r="1385" customFormat="false" ht="14.25" hidden="false" customHeight="false" outlineLevel="0" collapsed="false">
      <c r="A1385" s="15" t="s">
        <v>1884</v>
      </c>
      <c r="B1385" s="16" t="n">
        <v>45534</v>
      </c>
      <c r="C1385" s="15" t="s">
        <v>695</v>
      </c>
      <c r="D1385" s="15" t="s">
        <v>290</v>
      </c>
      <c r="E1385" s="15" t="s">
        <v>118</v>
      </c>
      <c r="F1385" s="17" t="n">
        <v>8</v>
      </c>
      <c r="G1385" s="17" t="n">
        <v>2660</v>
      </c>
      <c r="H1385" s="17" t="n">
        <v>16.8</v>
      </c>
      <c r="I1385" s="17" t="n">
        <v>17704.96</v>
      </c>
      <c r="J1385" s="15" t="s">
        <v>98</v>
      </c>
      <c r="K1385" s="15" t="s">
        <v>110</v>
      </c>
    </row>
    <row r="1386" customFormat="false" ht="14.25" hidden="false" customHeight="false" outlineLevel="0" collapsed="false">
      <c r="A1386" s="15" t="s">
        <v>1885</v>
      </c>
      <c r="B1386" s="16" t="n">
        <v>45329</v>
      </c>
      <c r="C1386" s="15" t="s">
        <v>1886</v>
      </c>
      <c r="D1386" s="15" t="s">
        <v>168</v>
      </c>
      <c r="E1386" s="15" t="s">
        <v>169</v>
      </c>
      <c r="F1386" s="17" t="n">
        <v>6</v>
      </c>
      <c r="G1386" s="17" t="n">
        <v>3450</v>
      </c>
      <c r="H1386" s="17" t="n">
        <v>23.4</v>
      </c>
      <c r="I1386" s="17" t="n">
        <v>15856.2</v>
      </c>
      <c r="J1386" s="15" t="s">
        <v>98</v>
      </c>
      <c r="K1386" s="15" t="s">
        <v>105</v>
      </c>
    </row>
    <row r="1387" customFormat="false" ht="14.25" hidden="false" customHeight="false" outlineLevel="0" collapsed="false">
      <c r="A1387" s="15" t="s">
        <v>1887</v>
      </c>
      <c r="B1387" s="16" t="n">
        <v>45621</v>
      </c>
      <c r="C1387" s="15" t="s">
        <v>606</v>
      </c>
      <c r="D1387" s="15" t="s">
        <v>108</v>
      </c>
      <c r="E1387" s="15" t="s">
        <v>97</v>
      </c>
      <c r="F1387" s="17" t="n">
        <v>10</v>
      </c>
      <c r="G1387" s="17" t="n">
        <v>470</v>
      </c>
      <c r="H1387" s="17" t="n">
        <v>21.2</v>
      </c>
      <c r="I1387" s="17" t="n">
        <v>3703.6</v>
      </c>
      <c r="J1387" s="15" t="s">
        <v>98</v>
      </c>
      <c r="K1387" s="15" t="s">
        <v>110</v>
      </c>
    </row>
    <row r="1388" customFormat="false" ht="14.25" hidden="false" customHeight="false" outlineLevel="0" collapsed="false">
      <c r="A1388" s="15" t="s">
        <v>487</v>
      </c>
      <c r="B1388" s="16" t="n">
        <v>45334</v>
      </c>
      <c r="C1388" s="15" t="s">
        <v>424</v>
      </c>
      <c r="D1388" s="15" t="s">
        <v>472</v>
      </c>
      <c r="E1388" s="15" t="s">
        <v>296</v>
      </c>
      <c r="F1388" s="17" t="n">
        <v>7</v>
      </c>
      <c r="G1388" s="17" t="n">
        <v>3780</v>
      </c>
      <c r="H1388" s="17" t="n">
        <v>10.1</v>
      </c>
      <c r="I1388" s="17" t="n">
        <v>23787.54</v>
      </c>
      <c r="J1388" s="15" t="s">
        <v>98</v>
      </c>
      <c r="K1388" s="15" t="s">
        <v>99</v>
      </c>
    </row>
    <row r="1389" customFormat="false" ht="14.25" hidden="false" customHeight="false" outlineLevel="0" collapsed="false">
      <c r="A1389" s="15" t="s">
        <v>1888</v>
      </c>
      <c r="B1389" s="16" t="n">
        <v>45324</v>
      </c>
      <c r="C1389" s="15" t="s">
        <v>994</v>
      </c>
      <c r="D1389" s="15" t="s">
        <v>96</v>
      </c>
      <c r="E1389" s="15" t="s">
        <v>354</v>
      </c>
      <c r="F1389" s="17" t="n">
        <v>3</v>
      </c>
      <c r="G1389" s="17" t="n">
        <v>3620</v>
      </c>
      <c r="H1389" s="17" t="n">
        <v>4.2</v>
      </c>
      <c r="I1389" s="17" t="n">
        <v>10403.88</v>
      </c>
      <c r="J1389" s="15" t="s">
        <v>98</v>
      </c>
      <c r="K1389" s="15" t="s">
        <v>128</v>
      </c>
    </row>
    <row r="1390" customFormat="false" ht="14.25" hidden="false" customHeight="false" outlineLevel="0" collapsed="false">
      <c r="A1390" s="15" t="s">
        <v>1889</v>
      </c>
      <c r="B1390" s="16" t="n">
        <v>45541</v>
      </c>
      <c r="C1390" s="15" t="s">
        <v>274</v>
      </c>
      <c r="D1390" s="15" t="s">
        <v>391</v>
      </c>
      <c r="E1390" s="15" t="s">
        <v>139</v>
      </c>
      <c r="F1390" s="17" t="n">
        <v>7</v>
      </c>
      <c r="G1390" s="17" t="n">
        <v>960</v>
      </c>
      <c r="H1390" s="17" t="n">
        <v>9</v>
      </c>
      <c r="I1390" s="17" t="n">
        <v>6115.2</v>
      </c>
      <c r="J1390" s="15" t="s">
        <v>98</v>
      </c>
      <c r="K1390" s="15" t="s">
        <v>144</v>
      </c>
    </row>
    <row r="1391" customFormat="false" ht="14.25" hidden="false" customHeight="false" outlineLevel="0" collapsed="false">
      <c r="A1391" s="15" t="s">
        <v>1890</v>
      </c>
      <c r="B1391" s="16" t="n">
        <v>45344</v>
      </c>
      <c r="C1391" s="15" t="s">
        <v>700</v>
      </c>
      <c r="D1391" s="15" t="s">
        <v>190</v>
      </c>
      <c r="E1391" s="15" t="s">
        <v>97</v>
      </c>
      <c r="F1391" s="17" t="n">
        <v>10</v>
      </c>
      <c r="G1391" s="17" t="n">
        <v>3350</v>
      </c>
      <c r="H1391" s="17" t="n">
        <v>1.2</v>
      </c>
      <c r="I1391" s="17" t="n">
        <v>33098</v>
      </c>
      <c r="J1391" s="15" t="s">
        <v>151</v>
      </c>
      <c r="K1391" s="15" t="s">
        <v>144</v>
      </c>
    </row>
    <row r="1392" customFormat="false" ht="14.25" hidden="false" customHeight="false" outlineLevel="0" collapsed="false">
      <c r="A1392" s="15" t="s">
        <v>1891</v>
      </c>
      <c r="B1392" s="16" t="n">
        <v>45388</v>
      </c>
      <c r="C1392" s="15" t="s">
        <v>370</v>
      </c>
      <c r="D1392" s="15" t="s">
        <v>162</v>
      </c>
      <c r="E1392" s="15" t="s">
        <v>181</v>
      </c>
      <c r="F1392" s="17" t="n">
        <v>3</v>
      </c>
      <c r="G1392" s="17" t="n">
        <v>2400</v>
      </c>
      <c r="H1392" s="17" t="n">
        <v>15.4</v>
      </c>
      <c r="I1392" s="17" t="n">
        <v>6091.2</v>
      </c>
      <c r="J1392" s="15" t="s">
        <v>98</v>
      </c>
      <c r="K1392" s="15" t="s">
        <v>110</v>
      </c>
    </row>
    <row r="1393" customFormat="false" ht="14.25" hidden="false" customHeight="false" outlineLevel="0" collapsed="false">
      <c r="A1393" s="15" t="s">
        <v>1892</v>
      </c>
      <c r="B1393" s="16" t="n">
        <v>45407</v>
      </c>
      <c r="C1393" s="15" t="s">
        <v>770</v>
      </c>
      <c r="D1393" s="15" t="s">
        <v>206</v>
      </c>
      <c r="E1393" s="15" t="s">
        <v>308</v>
      </c>
      <c r="F1393" s="17" t="n">
        <v>2</v>
      </c>
      <c r="G1393" s="17" t="n">
        <v>2860</v>
      </c>
      <c r="H1393" s="17" t="n">
        <v>10.5</v>
      </c>
      <c r="I1393" s="17" t="n">
        <v>5119.4</v>
      </c>
      <c r="J1393" s="15" t="s">
        <v>98</v>
      </c>
      <c r="K1393" s="15" t="s">
        <v>128</v>
      </c>
    </row>
    <row r="1394" customFormat="false" ht="14.25" hidden="false" customHeight="false" outlineLevel="0" collapsed="false">
      <c r="A1394" s="15" t="s">
        <v>1893</v>
      </c>
      <c r="B1394" s="16" t="n">
        <v>45620</v>
      </c>
      <c r="C1394" s="15" t="s">
        <v>711</v>
      </c>
      <c r="D1394" s="15" t="s">
        <v>397</v>
      </c>
      <c r="E1394" s="15" t="s">
        <v>118</v>
      </c>
      <c r="F1394" s="17" t="n">
        <v>4</v>
      </c>
      <c r="G1394" s="17" t="n">
        <v>2290</v>
      </c>
      <c r="H1394" s="17" t="n">
        <v>5.9</v>
      </c>
      <c r="I1394" s="17" t="n">
        <v>8619.56</v>
      </c>
      <c r="J1394" s="15" t="s">
        <v>98</v>
      </c>
      <c r="K1394" s="15" t="s">
        <v>105</v>
      </c>
    </row>
    <row r="1395" customFormat="false" ht="14.25" hidden="false" customHeight="false" outlineLevel="0" collapsed="false">
      <c r="A1395" s="15" t="s">
        <v>1894</v>
      </c>
      <c r="B1395" s="16" t="n">
        <v>45499</v>
      </c>
      <c r="C1395" s="15" t="s">
        <v>403</v>
      </c>
      <c r="D1395" s="15" t="s">
        <v>375</v>
      </c>
      <c r="E1395" s="15" t="s">
        <v>165</v>
      </c>
      <c r="F1395" s="17" t="n">
        <v>7</v>
      </c>
      <c r="G1395" s="17" t="n">
        <v>5330</v>
      </c>
      <c r="H1395" s="17" t="n">
        <v>3.5</v>
      </c>
      <c r="I1395" s="17" t="n">
        <v>36004.15</v>
      </c>
      <c r="J1395" s="15" t="s">
        <v>151</v>
      </c>
      <c r="K1395" s="15" t="s">
        <v>123</v>
      </c>
    </row>
    <row r="1396" customFormat="false" ht="14.25" hidden="false" customHeight="false" outlineLevel="0" collapsed="false">
      <c r="A1396" s="15" t="s">
        <v>1895</v>
      </c>
      <c r="B1396" s="16" t="n">
        <v>45585</v>
      </c>
      <c r="C1396" s="15" t="s">
        <v>312</v>
      </c>
      <c r="D1396" s="15" t="s">
        <v>248</v>
      </c>
      <c r="E1396" s="15" t="s">
        <v>314</v>
      </c>
      <c r="F1396" s="17" t="n">
        <v>10</v>
      </c>
      <c r="G1396" s="17" t="n">
        <v>3640</v>
      </c>
      <c r="H1396" s="17" t="n">
        <v>20.1</v>
      </c>
      <c r="I1396" s="17" t="n">
        <v>29083.6</v>
      </c>
      <c r="J1396" s="15" t="s">
        <v>98</v>
      </c>
      <c r="K1396" s="15" t="s">
        <v>105</v>
      </c>
    </row>
    <row r="1397" customFormat="false" ht="14.25" hidden="false" customHeight="false" outlineLevel="0" collapsed="false">
      <c r="A1397" s="15" t="s">
        <v>1896</v>
      </c>
      <c r="B1397" s="16" t="n">
        <v>45633</v>
      </c>
      <c r="C1397" s="15" t="s">
        <v>217</v>
      </c>
      <c r="D1397" s="15" t="s">
        <v>454</v>
      </c>
      <c r="E1397" s="15" t="s">
        <v>127</v>
      </c>
      <c r="F1397" s="17" t="n">
        <v>10</v>
      </c>
      <c r="G1397" s="17" t="n">
        <v>5080</v>
      </c>
      <c r="H1397" s="17" t="n">
        <v>2.1</v>
      </c>
      <c r="I1397" s="17" t="n">
        <v>49733.2</v>
      </c>
      <c r="J1397" s="15" t="s">
        <v>98</v>
      </c>
      <c r="K1397" s="15" t="s">
        <v>144</v>
      </c>
    </row>
    <row r="1398" customFormat="false" ht="14.25" hidden="false" customHeight="false" outlineLevel="0" collapsed="false">
      <c r="A1398" s="15" t="s">
        <v>1897</v>
      </c>
      <c r="B1398" s="16" t="n">
        <v>45517</v>
      </c>
      <c r="C1398" s="15" t="s">
        <v>736</v>
      </c>
      <c r="D1398" s="15" t="s">
        <v>513</v>
      </c>
      <c r="E1398" s="15" t="s">
        <v>314</v>
      </c>
      <c r="F1398" s="17" t="n">
        <v>4</v>
      </c>
      <c r="G1398" s="17" t="n">
        <v>1090</v>
      </c>
      <c r="H1398" s="17" t="n">
        <v>18.5</v>
      </c>
      <c r="I1398" s="17" t="n">
        <v>3553.4</v>
      </c>
      <c r="J1398" s="15" t="s">
        <v>155</v>
      </c>
      <c r="K1398" s="15" t="s">
        <v>110</v>
      </c>
    </row>
    <row r="1399" customFormat="false" ht="14.25" hidden="false" customHeight="false" outlineLevel="0" collapsed="false">
      <c r="A1399" s="15" t="s">
        <v>1898</v>
      </c>
      <c r="B1399" s="16" t="n">
        <v>45645</v>
      </c>
      <c r="C1399" s="15" t="s">
        <v>581</v>
      </c>
      <c r="D1399" s="15" t="s">
        <v>168</v>
      </c>
      <c r="E1399" s="15" t="s">
        <v>181</v>
      </c>
      <c r="F1399" s="17" t="n">
        <v>10</v>
      </c>
      <c r="G1399" s="17" t="n">
        <v>3450</v>
      </c>
      <c r="H1399" s="17" t="n">
        <v>26.5</v>
      </c>
      <c r="I1399" s="17" t="n">
        <v>25357.5</v>
      </c>
      <c r="J1399" s="15" t="s">
        <v>155</v>
      </c>
      <c r="K1399" s="15" t="s">
        <v>110</v>
      </c>
    </row>
    <row r="1400" customFormat="false" ht="14.25" hidden="false" customHeight="false" outlineLevel="0" collapsed="false">
      <c r="A1400" s="15" t="s">
        <v>1899</v>
      </c>
      <c r="B1400" s="16" t="n">
        <v>45483</v>
      </c>
      <c r="C1400" s="15" t="s">
        <v>274</v>
      </c>
      <c r="D1400" s="15" t="s">
        <v>371</v>
      </c>
      <c r="E1400" s="15" t="s">
        <v>215</v>
      </c>
      <c r="F1400" s="17" t="n">
        <v>9</v>
      </c>
      <c r="G1400" s="17" t="n">
        <v>5410</v>
      </c>
      <c r="H1400" s="17" t="n">
        <v>11.5</v>
      </c>
      <c r="I1400" s="17" t="n">
        <v>43090.65</v>
      </c>
      <c r="J1400" s="15" t="s">
        <v>98</v>
      </c>
      <c r="K1400" s="15" t="s">
        <v>144</v>
      </c>
    </row>
    <row r="1401" customFormat="false" ht="14.25" hidden="false" customHeight="false" outlineLevel="0" collapsed="false">
      <c r="A1401" s="15" t="s">
        <v>1900</v>
      </c>
      <c r="B1401" s="16" t="n">
        <v>45445</v>
      </c>
      <c r="C1401" s="15" t="s">
        <v>1901</v>
      </c>
      <c r="D1401" s="15" t="s">
        <v>463</v>
      </c>
      <c r="E1401" s="15" t="s">
        <v>181</v>
      </c>
      <c r="F1401" s="17" t="n">
        <v>9</v>
      </c>
      <c r="G1401" s="17" t="n">
        <v>3450</v>
      </c>
      <c r="H1401" s="17" t="n">
        <v>0.3</v>
      </c>
      <c r="I1401" s="17" t="n">
        <v>30956.85</v>
      </c>
      <c r="J1401" s="15" t="s">
        <v>155</v>
      </c>
      <c r="K1401" s="15" t="s">
        <v>144</v>
      </c>
    </row>
    <row r="1402" customFormat="false" ht="14.25" hidden="false" customHeight="false" outlineLevel="0" collapsed="false">
      <c r="A1402" s="15" t="s">
        <v>1902</v>
      </c>
      <c r="B1402" s="16" t="n">
        <v>45614</v>
      </c>
      <c r="C1402" s="15" t="s">
        <v>468</v>
      </c>
      <c r="D1402" s="15" t="s">
        <v>117</v>
      </c>
      <c r="E1402" s="15" t="s">
        <v>122</v>
      </c>
      <c r="F1402" s="17" t="n">
        <v>10</v>
      </c>
      <c r="G1402" s="17" t="n">
        <v>3160</v>
      </c>
      <c r="H1402" s="17" t="n">
        <v>13.6</v>
      </c>
      <c r="I1402" s="17" t="n">
        <v>27302.4</v>
      </c>
      <c r="J1402" s="15" t="s">
        <v>98</v>
      </c>
      <c r="K1402" s="15" t="s">
        <v>99</v>
      </c>
    </row>
    <row r="1403" customFormat="false" ht="14.25" hidden="false" customHeight="false" outlineLevel="0" collapsed="false">
      <c r="A1403" s="15" t="s">
        <v>1903</v>
      </c>
      <c r="B1403" s="16" t="n">
        <v>45433</v>
      </c>
      <c r="C1403" s="15" t="s">
        <v>130</v>
      </c>
      <c r="D1403" s="15" t="s">
        <v>270</v>
      </c>
      <c r="E1403" s="15" t="s">
        <v>212</v>
      </c>
      <c r="F1403" s="17" t="n">
        <v>3</v>
      </c>
      <c r="G1403" s="17" t="n">
        <v>1540</v>
      </c>
      <c r="H1403" s="17" t="n">
        <v>21.2</v>
      </c>
      <c r="I1403" s="17" t="n">
        <v>3640.56</v>
      </c>
      <c r="J1403" s="15" t="s">
        <v>98</v>
      </c>
      <c r="K1403" s="15" t="s">
        <v>128</v>
      </c>
    </row>
    <row r="1404" customFormat="false" ht="14.25" hidden="false" customHeight="false" outlineLevel="0" collapsed="false">
      <c r="A1404" s="15" t="s">
        <v>1904</v>
      </c>
      <c r="B1404" s="16" t="n">
        <v>45402</v>
      </c>
      <c r="C1404" s="15" t="s">
        <v>401</v>
      </c>
      <c r="D1404" s="15" t="s">
        <v>248</v>
      </c>
      <c r="E1404" s="15" t="s">
        <v>296</v>
      </c>
      <c r="F1404" s="17" t="n">
        <v>5</v>
      </c>
      <c r="G1404" s="17" t="n">
        <v>3640</v>
      </c>
      <c r="H1404" s="17" t="n">
        <v>17.5</v>
      </c>
      <c r="I1404" s="17" t="n">
        <v>15015</v>
      </c>
      <c r="J1404" s="15" t="s">
        <v>98</v>
      </c>
      <c r="K1404" s="15" t="s">
        <v>99</v>
      </c>
    </row>
    <row r="1405" customFormat="false" ht="14.25" hidden="false" customHeight="false" outlineLevel="0" collapsed="false">
      <c r="A1405" s="15" t="s">
        <v>1905</v>
      </c>
      <c r="B1405" s="16" t="n">
        <v>45302</v>
      </c>
      <c r="C1405" s="15" t="s">
        <v>141</v>
      </c>
      <c r="D1405" s="15" t="s">
        <v>472</v>
      </c>
      <c r="E1405" s="15" t="s">
        <v>308</v>
      </c>
      <c r="F1405" s="17" t="n">
        <v>4</v>
      </c>
      <c r="G1405" s="17" t="n">
        <v>3780</v>
      </c>
      <c r="H1405" s="17" t="n">
        <v>9</v>
      </c>
      <c r="I1405" s="17" t="n">
        <v>13759.2</v>
      </c>
      <c r="J1405" s="15" t="s">
        <v>104</v>
      </c>
      <c r="K1405" s="15" t="s">
        <v>144</v>
      </c>
    </row>
    <row r="1406" customFormat="false" ht="14.25" hidden="false" customHeight="false" outlineLevel="0" collapsed="false">
      <c r="A1406" s="15" t="s">
        <v>1906</v>
      </c>
      <c r="B1406" s="16" t="n">
        <v>45526</v>
      </c>
      <c r="C1406" s="15" t="s">
        <v>414</v>
      </c>
      <c r="D1406" s="15" t="s">
        <v>184</v>
      </c>
      <c r="E1406" s="15" t="s">
        <v>122</v>
      </c>
      <c r="F1406" s="17" t="n">
        <v>9</v>
      </c>
      <c r="G1406" s="17" t="n">
        <v>2720</v>
      </c>
      <c r="H1406" s="17" t="n">
        <v>8.9</v>
      </c>
      <c r="I1406" s="17" t="n">
        <v>22301.28</v>
      </c>
      <c r="J1406" s="15" t="s">
        <v>98</v>
      </c>
      <c r="K1406" s="15" t="s">
        <v>128</v>
      </c>
    </row>
    <row r="1407" customFormat="false" ht="14.25" hidden="false" customHeight="false" outlineLevel="0" collapsed="false">
      <c r="A1407" s="15" t="s">
        <v>1907</v>
      </c>
      <c r="B1407" s="16" t="n">
        <v>45648</v>
      </c>
      <c r="C1407" s="15" t="s">
        <v>1076</v>
      </c>
      <c r="D1407" s="15" t="s">
        <v>96</v>
      </c>
      <c r="E1407" s="15" t="s">
        <v>150</v>
      </c>
      <c r="F1407" s="17" t="n">
        <v>4</v>
      </c>
      <c r="G1407" s="17" t="n">
        <v>3620</v>
      </c>
      <c r="H1407" s="17" t="n">
        <v>8</v>
      </c>
      <c r="I1407" s="17" t="n">
        <v>13321.6</v>
      </c>
      <c r="J1407" s="15" t="s">
        <v>104</v>
      </c>
      <c r="K1407" s="15" t="s">
        <v>105</v>
      </c>
    </row>
    <row r="1408" customFormat="false" ht="14.25" hidden="false" customHeight="false" outlineLevel="0" collapsed="false">
      <c r="A1408" s="15" t="s">
        <v>1908</v>
      </c>
      <c r="B1408" s="16" t="n">
        <v>45325</v>
      </c>
      <c r="C1408" s="15" t="s">
        <v>523</v>
      </c>
      <c r="D1408" s="15" t="s">
        <v>463</v>
      </c>
      <c r="E1408" s="15" t="s">
        <v>150</v>
      </c>
      <c r="F1408" s="17" t="n">
        <v>1</v>
      </c>
      <c r="G1408" s="17" t="n">
        <v>3450</v>
      </c>
      <c r="H1408" s="17" t="n">
        <v>0.2</v>
      </c>
      <c r="I1408" s="17" t="n">
        <v>3443.1</v>
      </c>
      <c r="J1408" s="15" t="s">
        <v>98</v>
      </c>
      <c r="K1408" s="15" t="s">
        <v>144</v>
      </c>
    </row>
    <row r="1409" customFormat="false" ht="14.25" hidden="false" customHeight="false" outlineLevel="0" collapsed="false">
      <c r="A1409" s="15" t="s">
        <v>1909</v>
      </c>
      <c r="B1409" s="16" t="n">
        <v>45640</v>
      </c>
      <c r="C1409" s="15" t="s">
        <v>557</v>
      </c>
      <c r="D1409" s="15" t="s">
        <v>248</v>
      </c>
      <c r="E1409" s="15" t="s">
        <v>109</v>
      </c>
      <c r="F1409" s="17" t="n">
        <v>7</v>
      </c>
      <c r="G1409" s="17" t="n">
        <v>3640</v>
      </c>
      <c r="H1409" s="17" t="n">
        <v>4.6</v>
      </c>
      <c r="I1409" s="17" t="n">
        <v>24307.92</v>
      </c>
      <c r="J1409" s="15" t="s">
        <v>98</v>
      </c>
      <c r="K1409" s="15" t="s">
        <v>110</v>
      </c>
    </row>
    <row r="1410" customFormat="false" ht="14.25" hidden="false" customHeight="false" outlineLevel="0" collapsed="false">
      <c r="A1410" s="15" t="s">
        <v>1910</v>
      </c>
      <c r="B1410" s="16" t="n">
        <v>45423</v>
      </c>
      <c r="C1410" s="15" t="s">
        <v>1047</v>
      </c>
      <c r="D1410" s="15" t="s">
        <v>303</v>
      </c>
      <c r="E1410" s="15" t="s">
        <v>165</v>
      </c>
      <c r="F1410" s="17" t="n">
        <v>9</v>
      </c>
      <c r="G1410" s="17" t="n">
        <v>620</v>
      </c>
      <c r="H1410" s="17" t="n">
        <v>8.5</v>
      </c>
      <c r="I1410" s="17" t="n">
        <v>5105.7</v>
      </c>
      <c r="J1410" s="15" t="s">
        <v>98</v>
      </c>
      <c r="K1410" s="15" t="s">
        <v>123</v>
      </c>
    </row>
    <row r="1411" customFormat="false" ht="14.25" hidden="false" customHeight="false" outlineLevel="0" collapsed="false">
      <c r="A1411" s="15" t="s">
        <v>1911</v>
      </c>
      <c r="B1411" s="16" t="n">
        <v>45423</v>
      </c>
      <c r="C1411" s="15" t="s">
        <v>725</v>
      </c>
      <c r="D1411" s="15" t="s">
        <v>472</v>
      </c>
      <c r="E1411" s="15" t="s">
        <v>357</v>
      </c>
      <c r="F1411" s="17" t="n">
        <v>10</v>
      </c>
      <c r="G1411" s="17" t="n">
        <v>3780</v>
      </c>
      <c r="H1411" s="17" t="n">
        <v>5.8</v>
      </c>
      <c r="I1411" s="17" t="n">
        <v>35607.6</v>
      </c>
      <c r="J1411" s="15" t="s">
        <v>98</v>
      </c>
      <c r="K1411" s="15" t="s">
        <v>110</v>
      </c>
    </row>
    <row r="1412" customFormat="false" ht="14.25" hidden="false" customHeight="false" outlineLevel="0" collapsed="false">
      <c r="A1412" s="15" t="s">
        <v>1912</v>
      </c>
      <c r="B1412" s="16" t="n">
        <v>45518</v>
      </c>
      <c r="C1412" s="15" t="s">
        <v>533</v>
      </c>
      <c r="D1412" s="15" t="s">
        <v>198</v>
      </c>
      <c r="E1412" s="15" t="s">
        <v>215</v>
      </c>
      <c r="F1412" s="17" t="n">
        <v>7</v>
      </c>
      <c r="G1412" s="17" t="n">
        <v>3570</v>
      </c>
      <c r="H1412" s="17" t="n">
        <v>26.1</v>
      </c>
      <c r="I1412" s="17" t="n">
        <v>18467.61</v>
      </c>
      <c r="J1412" s="15" t="s">
        <v>98</v>
      </c>
      <c r="K1412" s="15" t="s">
        <v>110</v>
      </c>
    </row>
    <row r="1413" customFormat="false" ht="14.25" hidden="false" customHeight="false" outlineLevel="0" collapsed="false">
      <c r="A1413" s="15" t="s">
        <v>1913</v>
      </c>
      <c r="B1413" s="16" t="n">
        <v>45306</v>
      </c>
      <c r="C1413" s="15" t="s">
        <v>725</v>
      </c>
      <c r="D1413" s="15" t="s">
        <v>187</v>
      </c>
      <c r="E1413" s="15" t="s">
        <v>308</v>
      </c>
      <c r="F1413" s="17" t="n">
        <v>2</v>
      </c>
      <c r="G1413" s="17" t="n">
        <v>1650</v>
      </c>
      <c r="H1413" s="17" t="n">
        <v>3.8</v>
      </c>
      <c r="I1413" s="17" t="n">
        <v>3174.6</v>
      </c>
      <c r="J1413" s="15" t="s">
        <v>98</v>
      </c>
      <c r="K1413" s="15" t="s">
        <v>110</v>
      </c>
    </row>
    <row r="1414" customFormat="false" ht="14.25" hidden="false" customHeight="false" outlineLevel="0" collapsed="false">
      <c r="A1414" s="15" t="s">
        <v>1914</v>
      </c>
      <c r="B1414" s="16" t="n">
        <v>45346</v>
      </c>
      <c r="C1414" s="15" t="s">
        <v>1735</v>
      </c>
      <c r="D1414" s="15" t="s">
        <v>391</v>
      </c>
      <c r="E1414" s="15" t="s">
        <v>336</v>
      </c>
      <c r="F1414" s="17" t="n">
        <v>2</v>
      </c>
      <c r="G1414" s="17" t="n">
        <v>960</v>
      </c>
      <c r="H1414" s="17" t="n">
        <v>6.8</v>
      </c>
      <c r="I1414" s="17" t="n">
        <v>1789.44</v>
      </c>
      <c r="J1414" s="15" t="s">
        <v>98</v>
      </c>
      <c r="K1414" s="15" t="s">
        <v>128</v>
      </c>
    </row>
    <row r="1415" customFormat="false" ht="14.25" hidden="false" customHeight="false" outlineLevel="0" collapsed="false">
      <c r="A1415" s="15" t="s">
        <v>1915</v>
      </c>
      <c r="B1415" s="16" t="n">
        <v>45376</v>
      </c>
      <c r="C1415" s="15" t="s">
        <v>883</v>
      </c>
      <c r="D1415" s="15" t="s">
        <v>293</v>
      </c>
      <c r="E1415" s="15" t="s">
        <v>114</v>
      </c>
      <c r="F1415" s="17" t="n">
        <v>2</v>
      </c>
      <c r="G1415" s="17" t="n">
        <v>300</v>
      </c>
      <c r="H1415" s="17" t="n">
        <v>2.8</v>
      </c>
      <c r="I1415" s="17" t="n">
        <v>583.2</v>
      </c>
      <c r="J1415" s="15" t="s">
        <v>98</v>
      </c>
      <c r="K1415" s="15" t="s">
        <v>123</v>
      </c>
    </row>
    <row r="1416" customFormat="false" ht="14.25" hidden="false" customHeight="false" outlineLevel="0" collapsed="false">
      <c r="A1416" s="15" t="s">
        <v>1916</v>
      </c>
      <c r="B1416" s="16" t="n">
        <v>45561</v>
      </c>
      <c r="C1416" s="15" t="s">
        <v>504</v>
      </c>
      <c r="D1416" s="15" t="s">
        <v>362</v>
      </c>
      <c r="E1416" s="15" t="s">
        <v>354</v>
      </c>
      <c r="F1416" s="17" t="n">
        <v>10</v>
      </c>
      <c r="G1416" s="17" t="n">
        <v>4060</v>
      </c>
      <c r="H1416" s="17" t="n">
        <v>15.1</v>
      </c>
      <c r="I1416" s="17" t="n">
        <v>34469.4</v>
      </c>
      <c r="J1416" s="15" t="s">
        <v>98</v>
      </c>
      <c r="K1416" s="15" t="s">
        <v>99</v>
      </c>
    </row>
    <row r="1417" customFormat="false" ht="14.25" hidden="false" customHeight="false" outlineLevel="0" collapsed="false">
      <c r="A1417" s="15" t="s">
        <v>1917</v>
      </c>
      <c r="B1417" s="16" t="n">
        <v>45320</v>
      </c>
      <c r="C1417" s="15" t="s">
        <v>1202</v>
      </c>
      <c r="D1417" s="15" t="s">
        <v>375</v>
      </c>
      <c r="E1417" s="15" t="s">
        <v>296</v>
      </c>
      <c r="F1417" s="17" t="n">
        <v>6</v>
      </c>
      <c r="G1417" s="17" t="n">
        <v>5330</v>
      </c>
      <c r="H1417" s="17" t="n">
        <v>2</v>
      </c>
      <c r="I1417" s="17" t="n">
        <v>31340.4</v>
      </c>
      <c r="J1417" s="15" t="s">
        <v>98</v>
      </c>
      <c r="K1417" s="15" t="s">
        <v>128</v>
      </c>
    </row>
    <row r="1418" customFormat="false" ht="14.25" hidden="false" customHeight="false" outlineLevel="0" collapsed="false">
      <c r="A1418" s="15" t="s">
        <v>1918</v>
      </c>
      <c r="B1418" s="16" t="n">
        <v>45572</v>
      </c>
      <c r="C1418" s="15" t="s">
        <v>431</v>
      </c>
      <c r="D1418" s="15" t="s">
        <v>237</v>
      </c>
      <c r="E1418" s="15" t="s">
        <v>169</v>
      </c>
      <c r="F1418" s="17" t="n">
        <v>9</v>
      </c>
      <c r="G1418" s="17" t="n">
        <v>3730</v>
      </c>
      <c r="H1418" s="17" t="n">
        <v>24.5</v>
      </c>
      <c r="I1418" s="17" t="n">
        <v>25345.35</v>
      </c>
      <c r="J1418" s="15" t="s">
        <v>155</v>
      </c>
      <c r="K1418" s="15" t="s">
        <v>110</v>
      </c>
    </row>
    <row r="1419" customFormat="false" ht="14.25" hidden="false" customHeight="false" outlineLevel="0" collapsed="false">
      <c r="A1419" s="15" t="s">
        <v>1919</v>
      </c>
      <c r="B1419" s="16" t="n">
        <v>45611</v>
      </c>
      <c r="C1419" s="15" t="s">
        <v>364</v>
      </c>
      <c r="D1419" s="15" t="s">
        <v>252</v>
      </c>
      <c r="E1419" s="15" t="s">
        <v>181</v>
      </c>
      <c r="F1419" s="17" t="n">
        <v>1</v>
      </c>
      <c r="G1419" s="17" t="n">
        <v>6080</v>
      </c>
      <c r="H1419" s="17" t="n">
        <v>4.4</v>
      </c>
      <c r="I1419" s="17" t="n">
        <v>5812.48</v>
      </c>
      <c r="J1419" s="15" t="s">
        <v>151</v>
      </c>
      <c r="K1419" s="15" t="s">
        <v>105</v>
      </c>
    </row>
    <row r="1420" customFormat="false" ht="14.25" hidden="false" customHeight="false" outlineLevel="0" collapsed="false">
      <c r="A1420" s="15" t="s">
        <v>1920</v>
      </c>
      <c r="B1420" s="16" t="n">
        <v>45524</v>
      </c>
      <c r="C1420" s="15" t="s">
        <v>718</v>
      </c>
      <c r="D1420" s="15" t="s">
        <v>184</v>
      </c>
      <c r="E1420" s="15" t="s">
        <v>122</v>
      </c>
      <c r="F1420" s="17" t="n">
        <v>5</v>
      </c>
      <c r="G1420" s="17" t="n">
        <v>2720</v>
      </c>
      <c r="H1420" s="17" t="n">
        <v>9.2</v>
      </c>
      <c r="I1420" s="17" t="n">
        <v>12348.8</v>
      </c>
      <c r="J1420" s="15" t="s">
        <v>98</v>
      </c>
      <c r="K1420" s="15" t="s">
        <v>123</v>
      </c>
    </row>
    <row r="1421" customFormat="false" ht="14.25" hidden="false" customHeight="false" outlineLevel="0" collapsed="false">
      <c r="A1421" s="15" t="s">
        <v>1921</v>
      </c>
      <c r="B1421" s="16" t="n">
        <v>45438</v>
      </c>
      <c r="C1421" s="15" t="s">
        <v>422</v>
      </c>
      <c r="D1421" s="15" t="s">
        <v>463</v>
      </c>
      <c r="E1421" s="15" t="s">
        <v>165</v>
      </c>
      <c r="F1421" s="17" t="n">
        <v>1</v>
      </c>
      <c r="G1421" s="17" t="n">
        <v>3450</v>
      </c>
      <c r="H1421" s="17" t="n">
        <v>15.6</v>
      </c>
      <c r="I1421" s="17" t="n">
        <v>2911.8</v>
      </c>
      <c r="J1421" s="15" t="s">
        <v>98</v>
      </c>
      <c r="K1421" s="15" t="s">
        <v>123</v>
      </c>
    </row>
    <row r="1422" customFormat="false" ht="14.25" hidden="false" customHeight="false" outlineLevel="0" collapsed="false">
      <c r="A1422" s="15" t="s">
        <v>1922</v>
      </c>
      <c r="B1422" s="16" t="n">
        <v>45484</v>
      </c>
      <c r="C1422" s="15" t="s">
        <v>1634</v>
      </c>
      <c r="D1422" s="15" t="s">
        <v>513</v>
      </c>
      <c r="E1422" s="15" t="s">
        <v>296</v>
      </c>
      <c r="F1422" s="17" t="n">
        <v>2</v>
      </c>
      <c r="G1422" s="17" t="n">
        <v>1090</v>
      </c>
      <c r="H1422" s="17" t="n">
        <v>0.4</v>
      </c>
      <c r="I1422" s="17" t="n">
        <v>2171.28</v>
      </c>
      <c r="J1422" s="15" t="s">
        <v>155</v>
      </c>
      <c r="K1422" s="15" t="s">
        <v>128</v>
      </c>
    </row>
    <row r="1423" customFormat="false" ht="14.25" hidden="false" customHeight="false" outlineLevel="0" collapsed="false">
      <c r="A1423" s="15" t="s">
        <v>1923</v>
      </c>
      <c r="B1423" s="16" t="n">
        <v>45643</v>
      </c>
      <c r="C1423" s="15" t="s">
        <v>550</v>
      </c>
      <c r="D1423" s="15" t="s">
        <v>198</v>
      </c>
      <c r="E1423" s="15" t="s">
        <v>249</v>
      </c>
      <c r="F1423" s="17" t="n">
        <v>2</v>
      </c>
      <c r="G1423" s="17" t="n">
        <v>3570</v>
      </c>
      <c r="H1423" s="17" t="n">
        <v>9</v>
      </c>
      <c r="I1423" s="17" t="n">
        <v>6497.4</v>
      </c>
      <c r="J1423" s="15" t="s">
        <v>98</v>
      </c>
      <c r="K1423" s="15" t="s">
        <v>144</v>
      </c>
    </row>
    <row r="1424" customFormat="false" ht="14.25" hidden="false" customHeight="false" outlineLevel="0" collapsed="false">
      <c r="A1424" s="15" t="s">
        <v>1924</v>
      </c>
      <c r="B1424" s="16" t="n">
        <v>45437</v>
      </c>
      <c r="C1424" s="15" t="s">
        <v>533</v>
      </c>
      <c r="D1424" s="15" t="s">
        <v>178</v>
      </c>
      <c r="E1424" s="15" t="s">
        <v>109</v>
      </c>
      <c r="F1424" s="17" t="n">
        <v>9</v>
      </c>
      <c r="G1424" s="17" t="n">
        <v>2480</v>
      </c>
      <c r="H1424" s="17" t="n">
        <v>3.6</v>
      </c>
      <c r="I1424" s="17" t="n">
        <v>21516.48</v>
      </c>
      <c r="J1424" s="15" t="s">
        <v>104</v>
      </c>
      <c r="K1424" s="15" t="s">
        <v>110</v>
      </c>
    </row>
    <row r="1425" customFormat="false" ht="14.25" hidden="false" customHeight="false" outlineLevel="0" collapsed="false">
      <c r="A1425" s="15" t="s">
        <v>1925</v>
      </c>
      <c r="B1425" s="16" t="n">
        <v>45303</v>
      </c>
      <c r="C1425" s="15" t="s">
        <v>555</v>
      </c>
      <c r="D1425" s="15" t="s">
        <v>245</v>
      </c>
      <c r="E1425" s="15" t="s">
        <v>296</v>
      </c>
      <c r="F1425" s="17" t="n">
        <v>9</v>
      </c>
      <c r="G1425" s="17" t="n">
        <v>3780</v>
      </c>
      <c r="H1425" s="17" t="n">
        <v>4.5</v>
      </c>
      <c r="I1425" s="17" t="n">
        <v>32489.1</v>
      </c>
      <c r="J1425" s="15" t="s">
        <v>98</v>
      </c>
      <c r="K1425" s="15" t="s">
        <v>144</v>
      </c>
    </row>
    <row r="1426" customFormat="false" ht="14.25" hidden="false" customHeight="false" outlineLevel="0" collapsed="false">
      <c r="A1426" s="15" t="s">
        <v>1926</v>
      </c>
      <c r="B1426" s="16" t="n">
        <v>45631</v>
      </c>
      <c r="C1426" s="15" t="s">
        <v>370</v>
      </c>
      <c r="D1426" s="15" t="s">
        <v>362</v>
      </c>
      <c r="E1426" s="15" t="s">
        <v>143</v>
      </c>
      <c r="F1426" s="17" t="n">
        <v>5</v>
      </c>
      <c r="G1426" s="17" t="n">
        <v>4060</v>
      </c>
      <c r="H1426" s="17" t="n">
        <v>2.7</v>
      </c>
      <c r="I1426" s="17" t="n">
        <v>19751.9</v>
      </c>
      <c r="J1426" s="15" t="s">
        <v>98</v>
      </c>
      <c r="K1426" s="15" t="s">
        <v>110</v>
      </c>
    </row>
    <row r="1427" customFormat="false" ht="14.25" hidden="false" customHeight="false" outlineLevel="0" collapsed="false">
      <c r="A1427" s="15" t="s">
        <v>1927</v>
      </c>
      <c r="B1427" s="16" t="n">
        <v>45564</v>
      </c>
      <c r="C1427" s="15" t="s">
        <v>619</v>
      </c>
      <c r="D1427" s="15" t="s">
        <v>293</v>
      </c>
      <c r="E1427" s="15" t="s">
        <v>308</v>
      </c>
      <c r="F1427" s="17" t="n">
        <v>8</v>
      </c>
      <c r="G1427" s="17" t="n">
        <v>300</v>
      </c>
      <c r="H1427" s="17" t="n">
        <v>19.8</v>
      </c>
      <c r="I1427" s="17" t="n">
        <v>1924.8</v>
      </c>
      <c r="J1427" s="15" t="s">
        <v>151</v>
      </c>
      <c r="K1427" s="15" t="s">
        <v>99</v>
      </c>
    </row>
    <row r="1428" customFormat="false" ht="14.25" hidden="false" customHeight="false" outlineLevel="0" collapsed="false">
      <c r="A1428" s="15" t="s">
        <v>1928</v>
      </c>
      <c r="B1428" s="16" t="n">
        <v>45454</v>
      </c>
      <c r="C1428" s="15" t="s">
        <v>361</v>
      </c>
      <c r="D1428" s="15" t="s">
        <v>154</v>
      </c>
      <c r="E1428" s="15" t="s">
        <v>308</v>
      </c>
      <c r="F1428" s="17" t="n">
        <v>10</v>
      </c>
      <c r="G1428" s="17" t="n">
        <v>3250</v>
      </c>
      <c r="H1428" s="17" t="n">
        <v>21.3</v>
      </c>
      <c r="I1428" s="17" t="n">
        <v>25577.5</v>
      </c>
      <c r="J1428" s="15" t="s">
        <v>151</v>
      </c>
      <c r="K1428" s="15" t="s">
        <v>123</v>
      </c>
    </row>
    <row r="1429" customFormat="false" ht="14.25" hidden="false" customHeight="false" outlineLevel="0" collapsed="false">
      <c r="A1429" s="15" t="s">
        <v>1929</v>
      </c>
      <c r="B1429" s="16" t="n">
        <v>45616</v>
      </c>
      <c r="C1429" s="15" t="s">
        <v>116</v>
      </c>
      <c r="D1429" s="15" t="s">
        <v>206</v>
      </c>
      <c r="E1429" s="15" t="s">
        <v>215</v>
      </c>
      <c r="F1429" s="17" t="n">
        <v>2</v>
      </c>
      <c r="G1429" s="17" t="n">
        <v>2860</v>
      </c>
      <c r="H1429" s="17" t="n">
        <v>13.7</v>
      </c>
      <c r="I1429" s="17" t="n">
        <v>4936.36</v>
      </c>
      <c r="J1429" s="15" t="s">
        <v>98</v>
      </c>
      <c r="K1429" s="15" t="s">
        <v>105</v>
      </c>
    </row>
    <row r="1430" customFormat="false" ht="14.25" hidden="false" customHeight="false" outlineLevel="0" collapsed="false">
      <c r="A1430" s="15" t="s">
        <v>1930</v>
      </c>
      <c r="B1430" s="16" t="n">
        <v>45523</v>
      </c>
      <c r="C1430" s="15" t="s">
        <v>725</v>
      </c>
      <c r="D1430" s="15" t="s">
        <v>278</v>
      </c>
      <c r="E1430" s="15" t="s">
        <v>249</v>
      </c>
      <c r="F1430" s="17" t="n">
        <v>10</v>
      </c>
      <c r="G1430" s="17" t="n">
        <v>1220</v>
      </c>
      <c r="H1430" s="17" t="n">
        <v>15.4</v>
      </c>
      <c r="I1430" s="17" t="n">
        <v>10321.2</v>
      </c>
      <c r="J1430" s="15" t="s">
        <v>98</v>
      </c>
      <c r="K1430" s="15" t="s">
        <v>110</v>
      </c>
    </row>
    <row r="1431" customFormat="false" ht="14.25" hidden="false" customHeight="false" outlineLevel="0" collapsed="false">
      <c r="A1431" s="15" t="s">
        <v>1931</v>
      </c>
      <c r="B1431" s="16" t="n">
        <v>45439</v>
      </c>
      <c r="C1431" s="15" t="s">
        <v>267</v>
      </c>
      <c r="D1431" s="15" t="s">
        <v>245</v>
      </c>
      <c r="E1431" s="15" t="s">
        <v>143</v>
      </c>
      <c r="F1431" s="17" t="n">
        <v>3</v>
      </c>
      <c r="G1431" s="17" t="n">
        <v>3780</v>
      </c>
      <c r="H1431" s="17" t="n">
        <v>1.9</v>
      </c>
      <c r="I1431" s="17" t="n">
        <v>11124.54</v>
      </c>
      <c r="J1431" s="15" t="s">
        <v>98</v>
      </c>
      <c r="K1431" s="15" t="s">
        <v>144</v>
      </c>
    </row>
    <row r="1432" customFormat="false" ht="14.25" hidden="false" customHeight="false" outlineLevel="0" collapsed="false">
      <c r="A1432" s="15" t="s">
        <v>1932</v>
      </c>
      <c r="B1432" s="16" t="n">
        <v>45579</v>
      </c>
      <c r="C1432" s="15" t="s">
        <v>979</v>
      </c>
      <c r="D1432" s="15" t="s">
        <v>135</v>
      </c>
      <c r="E1432" s="15" t="s">
        <v>314</v>
      </c>
      <c r="F1432" s="17" t="n">
        <v>6</v>
      </c>
      <c r="G1432" s="17" t="n">
        <v>5490</v>
      </c>
      <c r="H1432" s="17" t="n">
        <v>0.5</v>
      </c>
      <c r="I1432" s="17" t="n">
        <v>32775.3</v>
      </c>
      <c r="J1432" s="15" t="s">
        <v>104</v>
      </c>
      <c r="K1432" s="15" t="s">
        <v>110</v>
      </c>
    </row>
    <row r="1433" customFormat="false" ht="14.25" hidden="false" customHeight="false" outlineLevel="0" collapsed="false">
      <c r="A1433" s="15" t="s">
        <v>1933</v>
      </c>
      <c r="B1433" s="16" t="n">
        <v>45495</v>
      </c>
      <c r="C1433" s="15" t="s">
        <v>1886</v>
      </c>
      <c r="D1433" s="15" t="s">
        <v>256</v>
      </c>
      <c r="E1433" s="15" t="s">
        <v>240</v>
      </c>
      <c r="F1433" s="17" t="n">
        <v>6</v>
      </c>
      <c r="G1433" s="17" t="n">
        <v>2270</v>
      </c>
      <c r="H1433" s="17" t="n">
        <v>21.5</v>
      </c>
      <c r="I1433" s="17" t="n">
        <v>10691.7</v>
      </c>
      <c r="J1433" s="15" t="s">
        <v>98</v>
      </c>
      <c r="K1433" s="15" t="s">
        <v>105</v>
      </c>
    </row>
    <row r="1434" customFormat="false" ht="14.25" hidden="false" customHeight="false" outlineLevel="0" collapsed="false">
      <c r="A1434" s="15" t="s">
        <v>1934</v>
      </c>
      <c r="B1434" s="16" t="n">
        <v>45600</v>
      </c>
      <c r="C1434" s="15" t="s">
        <v>416</v>
      </c>
      <c r="D1434" s="15" t="s">
        <v>349</v>
      </c>
      <c r="E1434" s="15" t="s">
        <v>165</v>
      </c>
      <c r="F1434" s="17" t="n">
        <v>7</v>
      </c>
      <c r="G1434" s="17" t="n">
        <v>2210</v>
      </c>
      <c r="H1434" s="17" t="n">
        <v>10.3</v>
      </c>
      <c r="I1434" s="17" t="n">
        <v>13876.59</v>
      </c>
      <c r="J1434" s="15" t="s">
        <v>98</v>
      </c>
      <c r="K1434" s="15" t="s">
        <v>105</v>
      </c>
    </row>
    <row r="1435" customFormat="false" ht="14.25" hidden="false" customHeight="false" outlineLevel="0" collapsed="false">
      <c r="A1435" s="15" t="s">
        <v>1935</v>
      </c>
      <c r="B1435" s="16" t="n">
        <v>45605</v>
      </c>
      <c r="C1435" s="15" t="s">
        <v>1936</v>
      </c>
      <c r="D1435" s="15" t="s">
        <v>513</v>
      </c>
      <c r="E1435" s="15" t="s">
        <v>215</v>
      </c>
      <c r="F1435" s="17" t="n">
        <v>8</v>
      </c>
      <c r="G1435" s="17" t="n">
        <v>1090</v>
      </c>
      <c r="H1435" s="17" t="n">
        <v>21.7</v>
      </c>
      <c r="I1435" s="17" t="n">
        <v>6827.76</v>
      </c>
      <c r="J1435" s="15" t="s">
        <v>98</v>
      </c>
      <c r="K1435" s="15" t="s">
        <v>99</v>
      </c>
    </row>
    <row r="1436" customFormat="false" ht="14.25" hidden="false" customHeight="false" outlineLevel="0" collapsed="false">
      <c r="A1436" s="15" t="s">
        <v>1937</v>
      </c>
      <c r="B1436" s="16" t="n">
        <v>45598</v>
      </c>
      <c r="C1436" s="15" t="s">
        <v>852</v>
      </c>
      <c r="D1436" s="15" t="s">
        <v>670</v>
      </c>
      <c r="E1436" s="15" t="s">
        <v>308</v>
      </c>
      <c r="F1436" s="17" t="n">
        <v>5</v>
      </c>
      <c r="G1436" s="17" t="n">
        <v>3560</v>
      </c>
      <c r="H1436" s="17" t="n">
        <v>19.4</v>
      </c>
      <c r="I1436" s="17" t="n">
        <v>14346.8</v>
      </c>
      <c r="J1436" s="15" t="s">
        <v>104</v>
      </c>
      <c r="K1436" s="15" t="s">
        <v>128</v>
      </c>
    </row>
    <row r="1437" customFormat="false" ht="14.25" hidden="false" customHeight="false" outlineLevel="0" collapsed="false">
      <c r="A1437" s="15" t="s">
        <v>1938</v>
      </c>
      <c r="B1437" s="16" t="n">
        <v>45452</v>
      </c>
      <c r="C1437" s="15" t="s">
        <v>1183</v>
      </c>
      <c r="D1437" s="15" t="s">
        <v>193</v>
      </c>
      <c r="E1437" s="15" t="s">
        <v>139</v>
      </c>
      <c r="F1437" s="17" t="n">
        <v>7</v>
      </c>
      <c r="G1437" s="17" t="n">
        <v>1010</v>
      </c>
      <c r="H1437" s="17" t="n">
        <v>28.2</v>
      </c>
      <c r="I1437" s="17" t="n">
        <v>5076.26</v>
      </c>
      <c r="J1437" s="15" t="s">
        <v>98</v>
      </c>
      <c r="K1437" s="15" t="s">
        <v>99</v>
      </c>
    </row>
    <row r="1438" customFormat="false" ht="14.25" hidden="false" customHeight="false" outlineLevel="0" collapsed="false">
      <c r="A1438" s="15" t="s">
        <v>1939</v>
      </c>
      <c r="B1438" s="16" t="n">
        <v>45470</v>
      </c>
      <c r="C1438" s="15" t="s">
        <v>723</v>
      </c>
      <c r="D1438" s="15" t="s">
        <v>306</v>
      </c>
      <c r="E1438" s="15" t="s">
        <v>199</v>
      </c>
      <c r="F1438" s="17" t="n">
        <v>2</v>
      </c>
      <c r="G1438" s="17" t="n">
        <v>2030</v>
      </c>
      <c r="H1438" s="17" t="n">
        <v>27.3</v>
      </c>
      <c r="I1438" s="17" t="n">
        <v>2951.62</v>
      </c>
      <c r="J1438" s="15" t="s">
        <v>155</v>
      </c>
      <c r="K1438" s="15" t="s">
        <v>123</v>
      </c>
    </row>
    <row r="1439" customFormat="false" ht="14.25" hidden="false" customHeight="false" outlineLevel="0" collapsed="false">
      <c r="A1439" s="15" t="s">
        <v>1940</v>
      </c>
      <c r="B1439" s="16" t="n">
        <v>45350</v>
      </c>
      <c r="C1439" s="15" t="s">
        <v>221</v>
      </c>
      <c r="D1439" s="15" t="s">
        <v>375</v>
      </c>
      <c r="E1439" s="15" t="s">
        <v>336</v>
      </c>
      <c r="F1439" s="17" t="n">
        <v>6</v>
      </c>
      <c r="G1439" s="17" t="n">
        <v>5330</v>
      </c>
      <c r="H1439" s="17" t="n">
        <v>0.6</v>
      </c>
      <c r="I1439" s="17" t="n">
        <v>31788.12</v>
      </c>
      <c r="J1439" s="15" t="s">
        <v>98</v>
      </c>
      <c r="K1439" s="15" t="s">
        <v>110</v>
      </c>
    </row>
    <row r="1440" customFormat="false" ht="14.25" hidden="false" customHeight="false" outlineLevel="0" collapsed="false">
      <c r="A1440" s="15" t="s">
        <v>1941</v>
      </c>
      <c r="B1440" s="16" t="n">
        <v>45514</v>
      </c>
      <c r="C1440" s="15" t="s">
        <v>321</v>
      </c>
      <c r="D1440" s="15" t="s">
        <v>146</v>
      </c>
      <c r="E1440" s="15" t="s">
        <v>97</v>
      </c>
      <c r="F1440" s="17" t="n">
        <v>2</v>
      </c>
      <c r="G1440" s="17" t="n">
        <v>2640</v>
      </c>
      <c r="H1440" s="17" t="n">
        <v>26</v>
      </c>
      <c r="I1440" s="17" t="n">
        <v>3907.2</v>
      </c>
      <c r="J1440" s="15" t="s">
        <v>104</v>
      </c>
      <c r="K1440" s="15" t="s">
        <v>128</v>
      </c>
    </row>
    <row r="1441" customFormat="false" ht="14.25" hidden="false" customHeight="false" outlineLevel="0" collapsed="false">
      <c r="A1441" s="15" t="s">
        <v>1942</v>
      </c>
      <c r="B1441" s="16" t="n">
        <v>45447</v>
      </c>
      <c r="C1441" s="15" t="s">
        <v>361</v>
      </c>
      <c r="D1441" s="15" t="s">
        <v>290</v>
      </c>
      <c r="E1441" s="15" t="s">
        <v>336</v>
      </c>
      <c r="F1441" s="17" t="n">
        <v>8</v>
      </c>
      <c r="G1441" s="17" t="n">
        <v>2660</v>
      </c>
      <c r="H1441" s="17" t="n">
        <v>2.9</v>
      </c>
      <c r="I1441" s="17" t="n">
        <v>20662.88</v>
      </c>
      <c r="J1441" s="15" t="s">
        <v>98</v>
      </c>
      <c r="K1441" s="15" t="s">
        <v>123</v>
      </c>
    </row>
    <row r="1442" customFormat="false" ht="14.25" hidden="false" customHeight="false" outlineLevel="0" collapsed="false">
      <c r="A1442" s="15" t="s">
        <v>1943</v>
      </c>
      <c r="B1442" s="16" t="n">
        <v>45390</v>
      </c>
      <c r="C1442" s="15" t="s">
        <v>1083</v>
      </c>
      <c r="D1442" s="15" t="s">
        <v>154</v>
      </c>
      <c r="E1442" s="15" t="s">
        <v>165</v>
      </c>
      <c r="F1442" s="17" t="n">
        <v>6</v>
      </c>
      <c r="G1442" s="17" t="n">
        <v>3250</v>
      </c>
      <c r="H1442" s="17" t="n">
        <v>11.1</v>
      </c>
      <c r="I1442" s="17" t="n">
        <v>17335.5</v>
      </c>
      <c r="J1442" s="15" t="s">
        <v>98</v>
      </c>
      <c r="K1442" s="15" t="s">
        <v>123</v>
      </c>
    </row>
    <row r="1443" customFormat="false" ht="14.25" hidden="false" customHeight="false" outlineLevel="0" collapsed="false">
      <c r="A1443" s="15" t="s">
        <v>1944</v>
      </c>
      <c r="B1443" s="16" t="n">
        <v>45307</v>
      </c>
      <c r="C1443" s="15" t="s">
        <v>292</v>
      </c>
      <c r="D1443" s="15" t="s">
        <v>349</v>
      </c>
      <c r="E1443" s="15" t="s">
        <v>150</v>
      </c>
      <c r="F1443" s="17" t="n">
        <v>1</v>
      </c>
      <c r="G1443" s="17" t="n">
        <v>2210</v>
      </c>
      <c r="H1443" s="17" t="n">
        <v>3.5</v>
      </c>
      <c r="I1443" s="17" t="n">
        <v>2132.65</v>
      </c>
      <c r="J1443" s="15" t="s">
        <v>98</v>
      </c>
      <c r="K1443" s="15" t="s">
        <v>99</v>
      </c>
    </row>
    <row r="1444" customFormat="false" ht="14.25" hidden="false" customHeight="false" outlineLevel="0" collapsed="false">
      <c r="A1444" s="15" t="s">
        <v>1945</v>
      </c>
      <c r="B1444" s="16" t="n">
        <v>45432</v>
      </c>
      <c r="C1444" s="15" t="s">
        <v>504</v>
      </c>
      <c r="D1444" s="15" t="s">
        <v>121</v>
      </c>
      <c r="E1444" s="15" t="s">
        <v>132</v>
      </c>
      <c r="F1444" s="17" t="n">
        <v>9</v>
      </c>
      <c r="G1444" s="17" t="n">
        <v>370</v>
      </c>
      <c r="H1444" s="17" t="n">
        <v>12.4</v>
      </c>
      <c r="I1444" s="17" t="n">
        <v>2917.08</v>
      </c>
      <c r="J1444" s="15" t="s">
        <v>98</v>
      </c>
      <c r="K1444" s="15" t="s">
        <v>99</v>
      </c>
    </row>
    <row r="1445" customFormat="false" ht="14.25" hidden="false" customHeight="false" outlineLevel="0" collapsed="false">
      <c r="A1445" s="15" t="s">
        <v>1946</v>
      </c>
      <c r="B1445" s="16" t="n">
        <v>45453</v>
      </c>
      <c r="C1445" s="15" t="s">
        <v>728</v>
      </c>
      <c r="D1445" s="15" t="s">
        <v>472</v>
      </c>
      <c r="E1445" s="15" t="s">
        <v>296</v>
      </c>
      <c r="F1445" s="17" t="n">
        <v>3</v>
      </c>
      <c r="G1445" s="17" t="n">
        <v>3780</v>
      </c>
      <c r="H1445" s="17" t="n">
        <v>8.5</v>
      </c>
      <c r="I1445" s="17" t="n">
        <v>10376.1</v>
      </c>
      <c r="J1445" s="15" t="s">
        <v>104</v>
      </c>
      <c r="K1445" s="15" t="s">
        <v>105</v>
      </c>
    </row>
    <row r="1446" customFormat="false" ht="14.25" hidden="false" customHeight="false" outlineLevel="0" collapsed="false">
      <c r="A1446" s="15" t="s">
        <v>434</v>
      </c>
      <c r="B1446" s="16" t="n">
        <v>45397</v>
      </c>
      <c r="C1446" s="15" t="s">
        <v>429</v>
      </c>
      <c r="D1446" s="15" t="s">
        <v>193</v>
      </c>
      <c r="E1446" s="15" t="s">
        <v>308</v>
      </c>
      <c r="F1446" s="17" t="n">
        <v>2</v>
      </c>
      <c r="G1446" s="17" t="n">
        <v>1010</v>
      </c>
      <c r="H1446" s="17" t="n">
        <v>2.7</v>
      </c>
      <c r="I1446" s="17" t="n">
        <v>1965.46</v>
      </c>
      <c r="J1446" s="15" t="s">
        <v>98</v>
      </c>
      <c r="K1446" s="15" t="s">
        <v>144</v>
      </c>
    </row>
    <row r="1447" customFormat="false" ht="14.25" hidden="false" customHeight="false" outlineLevel="0" collapsed="false">
      <c r="A1447" s="15" t="s">
        <v>1947</v>
      </c>
      <c r="B1447" s="16" t="n">
        <v>45639</v>
      </c>
      <c r="C1447" s="15" t="s">
        <v>1001</v>
      </c>
      <c r="D1447" s="15" t="s">
        <v>102</v>
      </c>
      <c r="E1447" s="15" t="s">
        <v>336</v>
      </c>
      <c r="F1447" s="17" t="n">
        <v>2</v>
      </c>
      <c r="G1447" s="17" t="n">
        <v>820</v>
      </c>
      <c r="H1447" s="17" t="n">
        <v>13.2</v>
      </c>
      <c r="I1447" s="17" t="n">
        <v>1423.52</v>
      </c>
      <c r="J1447" s="15" t="s">
        <v>104</v>
      </c>
      <c r="K1447" s="15" t="s">
        <v>128</v>
      </c>
    </row>
    <row r="1448" customFormat="false" ht="14.25" hidden="false" customHeight="false" outlineLevel="0" collapsed="false">
      <c r="A1448" s="15" t="s">
        <v>1948</v>
      </c>
      <c r="B1448" s="16" t="n">
        <v>45482</v>
      </c>
      <c r="C1448" s="15" t="s">
        <v>244</v>
      </c>
      <c r="D1448" s="15" t="s">
        <v>113</v>
      </c>
      <c r="E1448" s="15" t="s">
        <v>336</v>
      </c>
      <c r="F1448" s="17" t="n">
        <v>1</v>
      </c>
      <c r="G1448" s="17" t="n">
        <v>3660</v>
      </c>
      <c r="H1448" s="17" t="n">
        <v>14</v>
      </c>
      <c r="I1448" s="17" t="n">
        <v>3147.6</v>
      </c>
      <c r="J1448" s="15" t="s">
        <v>155</v>
      </c>
      <c r="K1448" s="15" t="s">
        <v>99</v>
      </c>
    </row>
    <row r="1449" customFormat="false" ht="14.25" hidden="false" customHeight="false" outlineLevel="0" collapsed="false">
      <c r="A1449" s="15" t="s">
        <v>1949</v>
      </c>
      <c r="B1449" s="16" t="n">
        <v>45447</v>
      </c>
      <c r="C1449" s="15" t="s">
        <v>236</v>
      </c>
      <c r="D1449" s="15" t="s">
        <v>256</v>
      </c>
      <c r="E1449" s="15" t="s">
        <v>249</v>
      </c>
      <c r="F1449" s="17" t="n">
        <v>6</v>
      </c>
      <c r="G1449" s="17" t="n">
        <v>2270</v>
      </c>
      <c r="H1449" s="17" t="n">
        <v>16</v>
      </c>
      <c r="I1449" s="17" t="n">
        <v>11440.8</v>
      </c>
      <c r="J1449" s="15" t="s">
        <v>98</v>
      </c>
      <c r="K1449" s="15" t="s">
        <v>105</v>
      </c>
    </row>
    <row r="1450" customFormat="false" ht="14.25" hidden="false" customHeight="false" outlineLevel="0" collapsed="false">
      <c r="A1450" s="15" t="s">
        <v>1950</v>
      </c>
      <c r="B1450" s="16" t="n">
        <v>45598</v>
      </c>
      <c r="C1450" s="15" t="s">
        <v>458</v>
      </c>
      <c r="D1450" s="15" t="s">
        <v>391</v>
      </c>
      <c r="E1450" s="15" t="s">
        <v>132</v>
      </c>
      <c r="F1450" s="17" t="n">
        <v>7</v>
      </c>
      <c r="G1450" s="17" t="n">
        <v>960</v>
      </c>
      <c r="H1450" s="17" t="n">
        <v>28.8</v>
      </c>
      <c r="I1450" s="17" t="n">
        <v>4784.64</v>
      </c>
      <c r="J1450" s="15" t="s">
        <v>155</v>
      </c>
      <c r="K1450" s="15" t="s">
        <v>123</v>
      </c>
    </row>
    <row r="1451" customFormat="false" ht="14.25" hidden="false" customHeight="false" outlineLevel="0" collapsed="false">
      <c r="A1451" s="15" t="s">
        <v>1951</v>
      </c>
      <c r="B1451" s="16" t="n">
        <v>45645</v>
      </c>
      <c r="C1451" s="15" t="s">
        <v>418</v>
      </c>
      <c r="D1451" s="15" t="s">
        <v>306</v>
      </c>
      <c r="E1451" s="15" t="s">
        <v>122</v>
      </c>
      <c r="F1451" s="17" t="n">
        <v>9</v>
      </c>
      <c r="G1451" s="17" t="n">
        <v>2030</v>
      </c>
      <c r="H1451" s="17" t="n">
        <v>3.4</v>
      </c>
      <c r="I1451" s="17" t="n">
        <v>17648.82</v>
      </c>
      <c r="J1451" s="15" t="s">
        <v>98</v>
      </c>
      <c r="K1451" s="15" t="s">
        <v>99</v>
      </c>
    </row>
    <row r="1452" customFormat="false" ht="14.25" hidden="false" customHeight="false" outlineLevel="0" collapsed="false">
      <c r="A1452" s="15" t="s">
        <v>1952</v>
      </c>
      <c r="B1452" s="16" t="n">
        <v>45299</v>
      </c>
      <c r="C1452" s="15" t="s">
        <v>1027</v>
      </c>
      <c r="D1452" s="15" t="s">
        <v>378</v>
      </c>
      <c r="E1452" s="15" t="s">
        <v>103</v>
      </c>
      <c r="F1452" s="17" t="n">
        <v>6</v>
      </c>
      <c r="G1452" s="17" t="n">
        <v>2380</v>
      </c>
      <c r="H1452" s="17" t="n">
        <v>13.2</v>
      </c>
      <c r="I1452" s="17" t="n">
        <v>12395.04</v>
      </c>
      <c r="J1452" s="15" t="s">
        <v>98</v>
      </c>
      <c r="K1452" s="15" t="s">
        <v>128</v>
      </c>
    </row>
    <row r="1453" customFormat="false" ht="14.25" hidden="false" customHeight="false" outlineLevel="0" collapsed="false">
      <c r="A1453" s="15" t="s">
        <v>1953</v>
      </c>
      <c r="B1453" s="16" t="n">
        <v>45308</v>
      </c>
      <c r="C1453" s="15" t="s">
        <v>412</v>
      </c>
      <c r="D1453" s="15" t="s">
        <v>168</v>
      </c>
      <c r="E1453" s="15" t="s">
        <v>215</v>
      </c>
      <c r="F1453" s="17" t="n">
        <v>10</v>
      </c>
      <c r="G1453" s="17" t="n">
        <v>3450</v>
      </c>
      <c r="H1453" s="17" t="n">
        <v>8.7</v>
      </c>
      <c r="I1453" s="17" t="n">
        <v>31498.5</v>
      </c>
      <c r="J1453" s="15" t="s">
        <v>98</v>
      </c>
      <c r="K1453" s="15" t="s">
        <v>105</v>
      </c>
    </row>
    <row r="1454" customFormat="false" ht="14.25" hidden="false" customHeight="false" outlineLevel="0" collapsed="false">
      <c r="A1454" s="15" t="s">
        <v>1954</v>
      </c>
      <c r="B1454" s="16" t="n">
        <v>45487</v>
      </c>
      <c r="C1454" s="15" t="s">
        <v>1634</v>
      </c>
      <c r="D1454" s="15" t="s">
        <v>391</v>
      </c>
      <c r="E1454" s="15" t="s">
        <v>169</v>
      </c>
      <c r="F1454" s="17" t="n">
        <v>6</v>
      </c>
      <c r="G1454" s="17" t="n">
        <v>960</v>
      </c>
      <c r="H1454" s="17" t="n">
        <v>20.6</v>
      </c>
      <c r="I1454" s="17" t="n">
        <v>4573.44</v>
      </c>
      <c r="J1454" s="15" t="s">
        <v>104</v>
      </c>
      <c r="K1454" s="15" t="s">
        <v>128</v>
      </c>
    </row>
    <row r="1455" customFormat="false" ht="14.25" hidden="false" customHeight="false" outlineLevel="0" collapsed="false">
      <c r="A1455" s="15" t="s">
        <v>1955</v>
      </c>
      <c r="B1455" s="16" t="n">
        <v>45341</v>
      </c>
      <c r="C1455" s="15" t="s">
        <v>808</v>
      </c>
      <c r="D1455" s="15" t="s">
        <v>670</v>
      </c>
      <c r="E1455" s="15" t="s">
        <v>263</v>
      </c>
      <c r="F1455" s="17" t="n">
        <v>10</v>
      </c>
      <c r="G1455" s="17" t="n">
        <v>3560</v>
      </c>
      <c r="H1455" s="17" t="n">
        <v>1.4</v>
      </c>
      <c r="I1455" s="17" t="n">
        <v>35101.6</v>
      </c>
      <c r="J1455" s="15" t="s">
        <v>104</v>
      </c>
      <c r="K1455" s="15" t="s">
        <v>110</v>
      </c>
    </row>
    <row r="1456" customFormat="false" ht="14.25" hidden="false" customHeight="false" outlineLevel="0" collapsed="false">
      <c r="A1456" s="15" t="s">
        <v>1956</v>
      </c>
      <c r="B1456" s="16" t="n">
        <v>45354</v>
      </c>
      <c r="C1456" s="15" t="s">
        <v>234</v>
      </c>
      <c r="D1456" s="15" t="s">
        <v>184</v>
      </c>
      <c r="E1456" s="15" t="s">
        <v>109</v>
      </c>
      <c r="F1456" s="17" t="n">
        <v>4</v>
      </c>
      <c r="G1456" s="17" t="n">
        <v>2720</v>
      </c>
      <c r="H1456" s="17" t="n">
        <v>19.4</v>
      </c>
      <c r="I1456" s="17" t="n">
        <v>8769.28</v>
      </c>
      <c r="J1456" s="15" t="s">
        <v>155</v>
      </c>
      <c r="K1456" s="15" t="s">
        <v>110</v>
      </c>
    </row>
    <row r="1457" customFormat="false" ht="14.25" hidden="false" customHeight="false" outlineLevel="0" collapsed="false">
      <c r="A1457" s="15" t="s">
        <v>1957</v>
      </c>
      <c r="B1457" s="16" t="n">
        <v>45458</v>
      </c>
      <c r="C1457" s="15" t="s">
        <v>752</v>
      </c>
      <c r="D1457" s="15" t="s">
        <v>278</v>
      </c>
      <c r="E1457" s="15" t="s">
        <v>240</v>
      </c>
      <c r="F1457" s="17" t="n">
        <v>5</v>
      </c>
      <c r="G1457" s="17" t="n">
        <v>1220</v>
      </c>
      <c r="H1457" s="17" t="n">
        <v>15.6</v>
      </c>
      <c r="I1457" s="17" t="n">
        <v>5148.4</v>
      </c>
      <c r="J1457" s="15" t="s">
        <v>98</v>
      </c>
      <c r="K1457" s="15" t="s">
        <v>144</v>
      </c>
    </row>
    <row r="1458" customFormat="false" ht="14.25" hidden="false" customHeight="false" outlineLevel="0" collapsed="false">
      <c r="A1458" s="15" t="s">
        <v>1958</v>
      </c>
      <c r="B1458" s="16" t="n">
        <v>45364</v>
      </c>
      <c r="C1458" s="15" t="s">
        <v>267</v>
      </c>
      <c r="D1458" s="15" t="s">
        <v>513</v>
      </c>
      <c r="E1458" s="15" t="s">
        <v>212</v>
      </c>
      <c r="F1458" s="17" t="n">
        <v>5</v>
      </c>
      <c r="G1458" s="17" t="n">
        <v>1090</v>
      </c>
      <c r="H1458" s="17" t="n">
        <v>15</v>
      </c>
      <c r="I1458" s="17" t="n">
        <v>4632.5</v>
      </c>
      <c r="J1458" s="15" t="s">
        <v>98</v>
      </c>
      <c r="K1458" s="15" t="s">
        <v>144</v>
      </c>
    </row>
    <row r="1459" customFormat="false" ht="14.25" hidden="false" customHeight="false" outlineLevel="0" collapsed="false">
      <c r="A1459" s="15" t="s">
        <v>1959</v>
      </c>
      <c r="B1459" s="16" t="n">
        <v>45618</v>
      </c>
      <c r="C1459" s="15" t="s">
        <v>1073</v>
      </c>
      <c r="D1459" s="15" t="s">
        <v>121</v>
      </c>
      <c r="E1459" s="15" t="s">
        <v>240</v>
      </c>
      <c r="F1459" s="17" t="n">
        <v>9</v>
      </c>
      <c r="G1459" s="17" t="n">
        <v>370</v>
      </c>
      <c r="H1459" s="17" t="n">
        <v>25.4</v>
      </c>
      <c r="I1459" s="17" t="n">
        <v>2484.18</v>
      </c>
      <c r="J1459" s="15" t="s">
        <v>98</v>
      </c>
      <c r="K1459" s="15" t="s">
        <v>123</v>
      </c>
    </row>
    <row r="1460" customFormat="false" ht="14.25" hidden="false" customHeight="false" outlineLevel="0" collapsed="false">
      <c r="A1460" s="15" t="s">
        <v>1960</v>
      </c>
      <c r="B1460" s="16" t="n">
        <v>45456</v>
      </c>
      <c r="C1460" s="15" t="s">
        <v>916</v>
      </c>
      <c r="D1460" s="15" t="s">
        <v>206</v>
      </c>
      <c r="E1460" s="15" t="s">
        <v>97</v>
      </c>
      <c r="F1460" s="17" t="n">
        <v>7</v>
      </c>
      <c r="G1460" s="17" t="n">
        <v>2860</v>
      </c>
      <c r="H1460" s="17" t="n">
        <v>14</v>
      </c>
      <c r="I1460" s="17" t="n">
        <v>17217.2</v>
      </c>
      <c r="J1460" s="15" t="s">
        <v>98</v>
      </c>
      <c r="K1460" s="15" t="s">
        <v>123</v>
      </c>
    </row>
    <row r="1461" customFormat="false" ht="14.25" hidden="false" customHeight="false" outlineLevel="0" collapsed="false">
      <c r="A1461" s="15" t="s">
        <v>1961</v>
      </c>
      <c r="B1461" s="16" t="n">
        <v>45490</v>
      </c>
      <c r="C1461" s="15" t="s">
        <v>610</v>
      </c>
      <c r="D1461" s="15" t="s">
        <v>349</v>
      </c>
      <c r="E1461" s="15" t="s">
        <v>212</v>
      </c>
      <c r="F1461" s="17" t="n">
        <v>1</v>
      </c>
      <c r="G1461" s="17" t="n">
        <v>2210</v>
      </c>
      <c r="H1461" s="17" t="n">
        <v>1.7</v>
      </c>
      <c r="I1461" s="17" t="n">
        <v>2172.43</v>
      </c>
      <c r="J1461" s="15" t="s">
        <v>98</v>
      </c>
      <c r="K1461" s="15" t="s">
        <v>128</v>
      </c>
    </row>
    <row r="1462" customFormat="false" ht="14.25" hidden="false" customHeight="false" outlineLevel="0" collapsed="false">
      <c r="A1462" s="15" t="s">
        <v>1962</v>
      </c>
      <c r="B1462" s="16" t="n">
        <v>45584</v>
      </c>
      <c r="C1462" s="15" t="s">
        <v>574</v>
      </c>
      <c r="D1462" s="15" t="s">
        <v>138</v>
      </c>
      <c r="E1462" s="15" t="s">
        <v>122</v>
      </c>
      <c r="F1462" s="17" t="n">
        <v>3</v>
      </c>
      <c r="G1462" s="17" t="n">
        <v>970</v>
      </c>
      <c r="H1462" s="17" t="n">
        <v>20.3</v>
      </c>
      <c r="I1462" s="17" t="n">
        <v>2319.27</v>
      </c>
      <c r="J1462" s="15" t="s">
        <v>104</v>
      </c>
      <c r="K1462" s="15" t="s">
        <v>99</v>
      </c>
    </row>
    <row r="1463" customFormat="false" ht="14.25" hidden="false" customHeight="false" outlineLevel="0" collapsed="false">
      <c r="A1463" s="15" t="s">
        <v>1963</v>
      </c>
      <c r="B1463" s="16" t="n">
        <v>45476</v>
      </c>
      <c r="C1463" s="15" t="s">
        <v>1011</v>
      </c>
      <c r="D1463" s="15" t="s">
        <v>670</v>
      </c>
      <c r="E1463" s="15" t="s">
        <v>169</v>
      </c>
      <c r="F1463" s="17" t="n">
        <v>5</v>
      </c>
      <c r="G1463" s="17" t="n">
        <v>3560</v>
      </c>
      <c r="H1463" s="17" t="n">
        <v>17.1</v>
      </c>
      <c r="I1463" s="17" t="n">
        <v>14756.2</v>
      </c>
      <c r="J1463" s="15" t="s">
        <v>98</v>
      </c>
      <c r="K1463" s="15" t="s">
        <v>128</v>
      </c>
    </row>
    <row r="1464" customFormat="false" ht="14.25" hidden="false" customHeight="false" outlineLevel="0" collapsed="false">
      <c r="A1464" s="15" t="s">
        <v>1964</v>
      </c>
      <c r="B1464" s="16" t="n">
        <v>45387</v>
      </c>
      <c r="C1464" s="15" t="s">
        <v>201</v>
      </c>
      <c r="D1464" s="15" t="s">
        <v>175</v>
      </c>
      <c r="E1464" s="15" t="s">
        <v>165</v>
      </c>
      <c r="F1464" s="17" t="n">
        <v>10</v>
      </c>
      <c r="G1464" s="17" t="n">
        <v>1080</v>
      </c>
      <c r="H1464" s="17" t="n">
        <v>12.8</v>
      </c>
      <c r="I1464" s="17" t="n">
        <v>9417.6</v>
      </c>
      <c r="J1464" s="15" t="s">
        <v>98</v>
      </c>
      <c r="K1464" s="15" t="s">
        <v>144</v>
      </c>
    </row>
    <row r="1465" customFormat="false" ht="14.25" hidden="false" customHeight="false" outlineLevel="0" collapsed="false">
      <c r="A1465" s="15" t="s">
        <v>1965</v>
      </c>
      <c r="B1465" s="16" t="n">
        <v>45324</v>
      </c>
      <c r="C1465" s="15" t="s">
        <v>518</v>
      </c>
      <c r="D1465" s="15" t="s">
        <v>278</v>
      </c>
      <c r="E1465" s="15" t="s">
        <v>284</v>
      </c>
      <c r="F1465" s="17" t="n">
        <v>3</v>
      </c>
      <c r="G1465" s="17" t="n">
        <v>1220</v>
      </c>
      <c r="H1465" s="17" t="n">
        <v>1.9</v>
      </c>
      <c r="I1465" s="17" t="n">
        <v>3590.46</v>
      </c>
      <c r="J1465" s="15" t="s">
        <v>98</v>
      </c>
      <c r="K1465" s="15" t="s">
        <v>99</v>
      </c>
    </row>
    <row r="1466" customFormat="false" ht="14.25" hidden="false" customHeight="false" outlineLevel="0" collapsed="false">
      <c r="A1466" s="15" t="s">
        <v>1966</v>
      </c>
      <c r="B1466" s="16" t="n">
        <v>45479</v>
      </c>
      <c r="C1466" s="15" t="s">
        <v>1967</v>
      </c>
      <c r="D1466" s="15" t="s">
        <v>237</v>
      </c>
      <c r="E1466" s="15" t="s">
        <v>215</v>
      </c>
      <c r="F1466" s="17" t="n">
        <v>1</v>
      </c>
      <c r="G1466" s="17" t="n">
        <v>3730</v>
      </c>
      <c r="H1466" s="17" t="n">
        <v>14.7</v>
      </c>
      <c r="I1466" s="17" t="n">
        <v>3181.69</v>
      </c>
      <c r="J1466" s="15" t="s">
        <v>104</v>
      </c>
      <c r="K1466" s="15" t="s">
        <v>99</v>
      </c>
    </row>
    <row r="1467" customFormat="false" ht="14.25" hidden="false" customHeight="false" outlineLevel="0" collapsed="false">
      <c r="A1467" s="15" t="s">
        <v>1968</v>
      </c>
      <c r="B1467" s="16" t="n">
        <v>45628</v>
      </c>
      <c r="C1467" s="15" t="s">
        <v>197</v>
      </c>
      <c r="D1467" s="15" t="s">
        <v>131</v>
      </c>
      <c r="E1467" s="15" t="s">
        <v>226</v>
      </c>
      <c r="F1467" s="17" t="n">
        <v>3</v>
      </c>
      <c r="G1467" s="17" t="n">
        <v>1430</v>
      </c>
      <c r="H1467" s="17" t="n">
        <v>13.2</v>
      </c>
      <c r="I1467" s="17" t="n">
        <v>3723.72</v>
      </c>
      <c r="J1467" s="15" t="s">
        <v>98</v>
      </c>
      <c r="K1467" s="15" t="s">
        <v>105</v>
      </c>
    </row>
    <row r="1468" customFormat="false" ht="14.25" hidden="false" customHeight="false" outlineLevel="0" collapsed="false">
      <c r="A1468" s="15" t="s">
        <v>1969</v>
      </c>
      <c r="B1468" s="16" t="n">
        <v>45413</v>
      </c>
      <c r="C1468" s="15" t="s">
        <v>201</v>
      </c>
      <c r="D1468" s="15" t="s">
        <v>252</v>
      </c>
      <c r="E1468" s="15" t="s">
        <v>314</v>
      </c>
      <c r="F1468" s="17" t="n">
        <v>2</v>
      </c>
      <c r="G1468" s="17" t="n">
        <v>6080</v>
      </c>
      <c r="H1468" s="17" t="n">
        <v>21.8</v>
      </c>
      <c r="I1468" s="17" t="n">
        <v>9509.12</v>
      </c>
      <c r="J1468" s="15" t="s">
        <v>151</v>
      </c>
      <c r="K1468" s="15" t="s">
        <v>144</v>
      </c>
    </row>
    <row r="1469" customFormat="false" ht="14.25" hidden="false" customHeight="false" outlineLevel="0" collapsed="false">
      <c r="A1469" s="15" t="s">
        <v>1970</v>
      </c>
      <c r="B1469" s="16" t="n">
        <v>45343</v>
      </c>
      <c r="C1469" s="15" t="s">
        <v>691</v>
      </c>
      <c r="D1469" s="15" t="s">
        <v>202</v>
      </c>
      <c r="E1469" s="15" t="s">
        <v>199</v>
      </c>
      <c r="F1469" s="17" t="n">
        <v>9</v>
      </c>
      <c r="G1469" s="17" t="n">
        <v>5100</v>
      </c>
      <c r="H1469" s="17" t="n">
        <v>29.3</v>
      </c>
      <c r="I1469" s="17" t="n">
        <v>32451.3</v>
      </c>
      <c r="J1469" s="15" t="s">
        <v>98</v>
      </c>
      <c r="K1469" s="15" t="s">
        <v>105</v>
      </c>
    </row>
    <row r="1470" customFormat="false" ht="14.25" hidden="false" customHeight="false" outlineLevel="0" collapsed="false">
      <c r="A1470" s="15" t="s">
        <v>1971</v>
      </c>
      <c r="B1470" s="16" t="n">
        <v>45424</v>
      </c>
      <c r="C1470" s="15" t="s">
        <v>916</v>
      </c>
      <c r="D1470" s="15" t="s">
        <v>463</v>
      </c>
      <c r="E1470" s="15" t="s">
        <v>109</v>
      </c>
      <c r="F1470" s="17" t="n">
        <v>5</v>
      </c>
      <c r="G1470" s="17" t="n">
        <v>3450</v>
      </c>
      <c r="H1470" s="17" t="n">
        <v>5.3</v>
      </c>
      <c r="I1470" s="17" t="n">
        <v>16335.75</v>
      </c>
      <c r="J1470" s="15" t="s">
        <v>98</v>
      </c>
      <c r="K1470" s="15" t="s">
        <v>123</v>
      </c>
    </row>
    <row r="1471" customFormat="false" ht="14.25" hidden="false" customHeight="false" outlineLevel="0" collapsed="false">
      <c r="A1471" s="15" t="s">
        <v>1972</v>
      </c>
      <c r="B1471" s="16" t="n">
        <v>45632</v>
      </c>
      <c r="C1471" s="15" t="s">
        <v>399</v>
      </c>
      <c r="D1471" s="15" t="s">
        <v>198</v>
      </c>
      <c r="E1471" s="15" t="s">
        <v>308</v>
      </c>
      <c r="F1471" s="17" t="n">
        <v>6</v>
      </c>
      <c r="G1471" s="17" t="n">
        <v>3570</v>
      </c>
      <c r="H1471" s="17" t="n">
        <v>17.3</v>
      </c>
      <c r="I1471" s="17" t="n">
        <v>17714.34</v>
      </c>
      <c r="J1471" s="15" t="s">
        <v>98</v>
      </c>
      <c r="K1471" s="15" t="s">
        <v>144</v>
      </c>
    </row>
    <row r="1472" customFormat="false" ht="14.25" hidden="false" customHeight="false" outlineLevel="0" collapsed="false">
      <c r="A1472" s="15" t="s">
        <v>1973</v>
      </c>
      <c r="B1472" s="16" t="n">
        <v>45444</v>
      </c>
      <c r="C1472" s="15" t="s">
        <v>300</v>
      </c>
      <c r="D1472" s="15" t="s">
        <v>237</v>
      </c>
      <c r="E1472" s="15" t="s">
        <v>314</v>
      </c>
      <c r="F1472" s="17" t="n">
        <v>6</v>
      </c>
      <c r="G1472" s="17" t="n">
        <v>3730</v>
      </c>
      <c r="H1472" s="17" t="n">
        <v>1</v>
      </c>
      <c r="I1472" s="17" t="n">
        <v>22156.2</v>
      </c>
      <c r="J1472" s="15" t="s">
        <v>98</v>
      </c>
      <c r="K1472" s="15" t="s">
        <v>105</v>
      </c>
    </row>
    <row r="1473" customFormat="false" ht="14.25" hidden="false" customHeight="false" outlineLevel="0" collapsed="false">
      <c r="A1473" s="15" t="s">
        <v>1974</v>
      </c>
      <c r="B1473" s="16" t="n">
        <v>45545</v>
      </c>
      <c r="C1473" s="15" t="s">
        <v>1049</v>
      </c>
      <c r="D1473" s="15" t="s">
        <v>472</v>
      </c>
      <c r="E1473" s="15" t="s">
        <v>132</v>
      </c>
      <c r="F1473" s="17" t="n">
        <v>4</v>
      </c>
      <c r="G1473" s="17" t="n">
        <v>3780</v>
      </c>
      <c r="H1473" s="17" t="n">
        <v>13.1</v>
      </c>
      <c r="I1473" s="17" t="n">
        <v>13139.28</v>
      </c>
      <c r="J1473" s="15" t="s">
        <v>98</v>
      </c>
      <c r="K1473" s="15" t="s">
        <v>128</v>
      </c>
    </row>
    <row r="1474" customFormat="false" ht="14.25" hidden="false" customHeight="false" outlineLevel="0" collapsed="false">
      <c r="A1474" s="15" t="s">
        <v>1975</v>
      </c>
      <c r="B1474" s="16" t="n">
        <v>45511</v>
      </c>
      <c r="C1474" s="15" t="s">
        <v>621</v>
      </c>
      <c r="D1474" s="15" t="s">
        <v>366</v>
      </c>
      <c r="E1474" s="15" t="s">
        <v>284</v>
      </c>
      <c r="F1474" s="17" t="n">
        <v>1</v>
      </c>
      <c r="G1474" s="17" t="n">
        <v>2510</v>
      </c>
      <c r="H1474" s="17" t="n">
        <v>27.8</v>
      </c>
      <c r="I1474" s="17" t="n">
        <v>1812.22</v>
      </c>
      <c r="J1474" s="15" t="s">
        <v>151</v>
      </c>
      <c r="K1474" s="15" t="s">
        <v>128</v>
      </c>
    </row>
    <row r="1475" customFormat="false" ht="14.25" hidden="false" customHeight="false" outlineLevel="0" collapsed="false">
      <c r="A1475" s="15" t="s">
        <v>1976</v>
      </c>
      <c r="B1475" s="16" t="n">
        <v>45577</v>
      </c>
      <c r="C1475" s="15" t="s">
        <v>808</v>
      </c>
      <c r="D1475" s="15" t="s">
        <v>214</v>
      </c>
      <c r="E1475" s="15" t="s">
        <v>97</v>
      </c>
      <c r="F1475" s="17" t="n">
        <v>9</v>
      </c>
      <c r="G1475" s="17" t="n">
        <v>660</v>
      </c>
      <c r="H1475" s="17" t="n">
        <v>29.3</v>
      </c>
      <c r="I1475" s="17" t="n">
        <v>4199.58</v>
      </c>
      <c r="J1475" s="15" t="s">
        <v>98</v>
      </c>
      <c r="K1475" s="15" t="s">
        <v>110</v>
      </c>
    </row>
    <row r="1476" customFormat="false" ht="14.25" hidden="false" customHeight="false" outlineLevel="0" collapsed="false">
      <c r="A1476" s="15" t="s">
        <v>1977</v>
      </c>
      <c r="B1476" s="16" t="n">
        <v>45507</v>
      </c>
      <c r="C1476" s="15" t="s">
        <v>1047</v>
      </c>
      <c r="D1476" s="15" t="s">
        <v>248</v>
      </c>
      <c r="E1476" s="15" t="s">
        <v>181</v>
      </c>
      <c r="F1476" s="17" t="n">
        <v>7</v>
      </c>
      <c r="G1476" s="17" t="n">
        <v>3640</v>
      </c>
      <c r="H1476" s="17" t="n">
        <v>11.6</v>
      </c>
      <c r="I1476" s="17" t="n">
        <v>22524.32</v>
      </c>
      <c r="J1476" s="15" t="s">
        <v>98</v>
      </c>
      <c r="K1476" s="15" t="s">
        <v>123</v>
      </c>
    </row>
    <row r="1477" customFormat="false" ht="14.25" hidden="false" customHeight="false" outlineLevel="0" collapsed="false">
      <c r="A1477" s="15" t="s">
        <v>1978</v>
      </c>
      <c r="B1477" s="16" t="n">
        <v>45415</v>
      </c>
      <c r="C1477" s="15" t="s">
        <v>997</v>
      </c>
      <c r="D1477" s="15" t="s">
        <v>371</v>
      </c>
      <c r="E1477" s="15" t="s">
        <v>132</v>
      </c>
      <c r="F1477" s="17" t="n">
        <v>8</v>
      </c>
      <c r="G1477" s="17" t="n">
        <v>5410</v>
      </c>
      <c r="H1477" s="17" t="n">
        <v>25.6</v>
      </c>
      <c r="I1477" s="17" t="n">
        <v>32200.32</v>
      </c>
      <c r="J1477" s="15" t="s">
        <v>98</v>
      </c>
      <c r="K1477" s="15" t="s">
        <v>105</v>
      </c>
    </row>
    <row r="1478" customFormat="false" ht="14.25" hidden="false" customHeight="false" outlineLevel="0" collapsed="false">
      <c r="A1478" s="15" t="s">
        <v>1979</v>
      </c>
      <c r="B1478" s="16" t="n">
        <v>45342</v>
      </c>
      <c r="C1478" s="15" t="s">
        <v>981</v>
      </c>
      <c r="D1478" s="15" t="s">
        <v>162</v>
      </c>
      <c r="E1478" s="15" t="s">
        <v>118</v>
      </c>
      <c r="F1478" s="17" t="n">
        <v>4</v>
      </c>
      <c r="G1478" s="17" t="n">
        <v>2400</v>
      </c>
      <c r="H1478" s="17" t="n">
        <v>10.4</v>
      </c>
      <c r="I1478" s="17" t="n">
        <v>8601.6</v>
      </c>
      <c r="J1478" s="15" t="s">
        <v>98</v>
      </c>
      <c r="K1478" s="15" t="s">
        <v>123</v>
      </c>
    </row>
    <row r="1479" customFormat="false" ht="14.25" hidden="false" customHeight="false" outlineLevel="0" collapsed="false">
      <c r="A1479" s="15" t="s">
        <v>1980</v>
      </c>
      <c r="B1479" s="16" t="n">
        <v>45333</v>
      </c>
      <c r="C1479" s="15" t="s">
        <v>483</v>
      </c>
      <c r="D1479" s="15" t="s">
        <v>135</v>
      </c>
      <c r="E1479" s="15" t="s">
        <v>139</v>
      </c>
      <c r="F1479" s="17" t="n">
        <v>2</v>
      </c>
      <c r="G1479" s="17" t="n">
        <v>5490</v>
      </c>
      <c r="H1479" s="17" t="n">
        <v>5.4</v>
      </c>
      <c r="I1479" s="17" t="n">
        <v>10387.08</v>
      </c>
      <c r="J1479" s="15" t="s">
        <v>98</v>
      </c>
      <c r="K1479" s="15" t="s">
        <v>105</v>
      </c>
    </row>
    <row r="1480" customFormat="false" ht="14.25" hidden="false" customHeight="false" outlineLevel="0" collapsed="false">
      <c r="A1480" s="15" t="s">
        <v>1981</v>
      </c>
      <c r="B1480" s="16" t="n">
        <v>45516</v>
      </c>
      <c r="C1480" s="15" t="s">
        <v>1242</v>
      </c>
      <c r="D1480" s="15" t="s">
        <v>270</v>
      </c>
      <c r="E1480" s="15" t="s">
        <v>357</v>
      </c>
      <c r="F1480" s="17" t="n">
        <v>6</v>
      </c>
      <c r="G1480" s="17" t="n">
        <v>1540</v>
      </c>
      <c r="H1480" s="17" t="n">
        <v>0.6</v>
      </c>
      <c r="I1480" s="17" t="n">
        <v>9184.56</v>
      </c>
      <c r="J1480" s="15" t="s">
        <v>98</v>
      </c>
      <c r="K1480" s="15" t="s">
        <v>99</v>
      </c>
    </row>
    <row r="1481" customFormat="false" ht="14.25" hidden="false" customHeight="false" outlineLevel="0" collapsed="false">
      <c r="A1481" s="15" t="s">
        <v>1982</v>
      </c>
      <c r="B1481" s="16" t="n">
        <v>45343</v>
      </c>
      <c r="C1481" s="15" t="s">
        <v>919</v>
      </c>
      <c r="D1481" s="15" t="s">
        <v>375</v>
      </c>
      <c r="E1481" s="15" t="s">
        <v>226</v>
      </c>
      <c r="F1481" s="17" t="n">
        <v>3</v>
      </c>
      <c r="G1481" s="17" t="n">
        <v>5330</v>
      </c>
      <c r="H1481" s="17" t="n">
        <v>1</v>
      </c>
      <c r="I1481" s="17" t="n">
        <v>15830.1</v>
      </c>
      <c r="J1481" s="15" t="s">
        <v>104</v>
      </c>
      <c r="K1481" s="15" t="s">
        <v>144</v>
      </c>
    </row>
    <row r="1482" customFormat="false" ht="14.25" hidden="false" customHeight="false" outlineLevel="0" collapsed="false">
      <c r="A1482" s="15" t="s">
        <v>1983</v>
      </c>
      <c r="B1482" s="16" t="n">
        <v>45522</v>
      </c>
      <c r="C1482" s="15" t="s">
        <v>1586</v>
      </c>
      <c r="D1482" s="15" t="s">
        <v>206</v>
      </c>
      <c r="E1482" s="15" t="s">
        <v>336</v>
      </c>
      <c r="F1482" s="17" t="n">
        <v>6</v>
      </c>
      <c r="G1482" s="17" t="n">
        <v>2860</v>
      </c>
      <c r="H1482" s="17" t="n">
        <v>13.3</v>
      </c>
      <c r="I1482" s="17" t="n">
        <v>14877.72</v>
      </c>
      <c r="J1482" s="15" t="s">
        <v>98</v>
      </c>
      <c r="K1482" s="15" t="s">
        <v>144</v>
      </c>
    </row>
    <row r="1483" customFormat="false" ht="14.25" hidden="false" customHeight="false" outlineLevel="0" collapsed="false">
      <c r="A1483" s="15" t="s">
        <v>1984</v>
      </c>
      <c r="B1483" s="16" t="n">
        <v>45305</v>
      </c>
      <c r="C1483" s="15" t="s">
        <v>617</v>
      </c>
      <c r="D1483" s="15" t="s">
        <v>195</v>
      </c>
      <c r="E1483" s="15" t="s">
        <v>114</v>
      </c>
      <c r="F1483" s="17" t="n">
        <v>3</v>
      </c>
      <c r="G1483" s="17" t="n">
        <v>4880</v>
      </c>
      <c r="H1483" s="17" t="n">
        <v>12.1</v>
      </c>
      <c r="I1483" s="17" t="n">
        <v>12868.56</v>
      </c>
      <c r="J1483" s="15" t="s">
        <v>98</v>
      </c>
      <c r="K1483" s="15" t="s">
        <v>123</v>
      </c>
    </row>
    <row r="1484" customFormat="false" ht="14.25" hidden="false" customHeight="false" outlineLevel="0" collapsed="false">
      <c r="A1484" s="15" t="s">
        <v>1985</v>
      </c>
      <c r="B1484" s="16" t="n">
        <v>45353</v>
      </c>
      <c r="C1484" s="15" t="s">
        <v>485</v>
      </c>
      <c r="D1484" s="15" t="s">
        <v>366</v>
      </c>
      <c r="E1484" s="15" t="s">
        <v>103</v>
      </c>
      <c r="F1484" s="17" t="n">
        <v>5</v>
      </c>
      <c r="G1484" s="17" t="n">
        <v>2510</v>
      </c>
      <c r="H1484" s="17" t="n">
        <v>2.9</v>
      </c>
      <c r="I1484" s="17" t="n">
        <v>12186.05</v>
      </c>
      <c r="J1484" s="15" t="s">
        <v>104</v>
      </c>
      <c r="K1484" s="15" t="s">
        <v>110</v>
      </c>
    </row>
    <row r="1485" customFormat="false" ht="14.25" hidden="false" customHeight="false" outlineLevel="0" collapsed="false">
      <c r="A1485" s="15" t="s">
        <v>1986</v>
      </c>
      <c r="B1485" s="16" t="n">
        <v>45525</v>
      </c>
      <c r="C1485" s="15" t="s">
        <v>1987</v>
      </c>
      <c r="D1485" s="15" t="s">
        <v>419</v>
      </c>
      <c r="E1485" s="15" t="s">
        <v>203</v>
      </c>
      <c r="F1485" s="17" t="n">
        <v>9</v>
      </c>
      <c r="G1485" s="17" t="n">
        <v>3970</v>
      </c>
      <c r="H1485" s="17" t="n">
        <v>28</v>
      </c>
      <c r="I1485" s="17" t="n">
        <v>25725.6</v>
      </c>
      <c r="J1485" s="15" t="s">
        <v>98</v>
      </c>
      <c r="K1485" s="15" t="s">
        <v>99</v>
      </c>
    </row>
    <row r="1486" customFormat="false" ht="14.25" hidden="false" customHeight="false" outlineLevel="0" collapsed="false">
      <c r="A1486" s="15" t="s">
        <v>1988</v>
      </c>
      <c r="B1486" s="16" t="n">
        <v>45593</v>
      </c>
      <c r="C1486" s="15" t="s">
        <v>1228</v>
      </c>
      <c r="D1486" s="15" t="s">
        <v>108</v>
      </c>
      <c r="E1486" s="15" t="s">
        <v>354</v>
      </c>
      <c r="F1486" s="17" t="n">
        <v>4</v>
      </c>
      <c r="G1486" s="17" t="n">
        <v>470</v>
      </c>
      <c r="H1486" s="17" t="n">
        <v>19.1</v>
      </c>
      <c r="I1486" s="17" t="n">
        <v>1520.92</v>
      </c>
      <c r="J1486" s="15" t="s">
        <v>104</v>
      </c>
      <c r="K1486" s="15" t="s">
        <v>123</v>
      </c>
    </row>
    <row r="1487" customFormat="false" ht="14.25" hidden="false" customHeight="false" outlineLevel="0" collapsed="false">
      <c r="A1487" s="15" t="s">
        <v>1989</v>
      </c>
      <c r="B1487" s="16" t="n">
        <v>45550</v>
      </c>
      <c r="C1487" s="15" t="s">
        <v>310</v>
      </c>
      <c r="D1487" s="15" t="s">
        <v>375</v>
      </c>
      <c r="E1487" s="15" t="s">
        <v>122</v>
      </c>
      <c r="F1487" s="17" t="n">
        <v>7</v>
      </c>
      <c r="G1487" s="17" t="n">
        <v>5330</v>
      </c>
      <c r="H1487" s="17" t="n">
        <v>17.2</v>
      </c>
      <c r="I1487" s="17" t="n">
        <v>30892.68</v>
      </c>
      <c r="J1487" s="15" t="s">
        <v>151</v>
      </c>
      <c r="K1487" s="15" t="s">
        <v>144</v>
      </c>
    </row>
    <row r="1488" customFormat="false" ht="14.25" hidden="false" customHeight="false" outlineLevel="0" collapsed="false">
      <c r="A1488" s="15" t="s">
        <v>1990</v>
      </c>
      <c r="B1488" s="16" t="n">
        <v>45511</v>
      </c>
      <c r="C1488" s="15" t="s">
        <v>164</v>
      </c>
      <c r="D1488" s="15" t="s">
        <v>513</v>
      </c>
      <c r="E1488" s="15" t="s">
        <v>336</v>
      </c>
      <c r="F1488" s="17" t="n">
        <v>4</v>
      </c>
      <c r="G1488" s="17" t="n">
        <v>1090</v>
      </c>
      <c r="H1488" s="17" t="n">
        <v>4.9</v>
      </c>
      <c r="I1488" s="17" t="n">
        <v>4146.36</v>
      </c>
      <c r="J1488" s="15" t="s">
        <v>151</v>
      </c>
      <c r="K1488" s="15" t="s">
        <v>128</v>
      </c>
    </row>
    <row r="1489" customFormat="false" ht="14.25" hidden="false" customHeight="false" outlineLevel="0" collapsed="false">
      <c r="A1489" s="15" t="s">
        <v>1991</v>
      </c>
      <c r="B1489" s="16" t="n">
        <v>45456</v>
      </c>
      <c r="C1489" s="15" t="s">
        <v>451</v>
      </c>
      <c r="D1489" s="15" t="s">
        <v>193</v>
      </c>
      <c r="E1489" s="15" t="s">
        <v>215</v>
      </c>
      <c r="F1489" s="17" t="n">
        <v>2</v>
      </c>
      <c r="G1489" s="17" t="n">
        <v>1010</v>
      </c>
      <c r="H1489" s="17" t="n">
        <v>14</v>
      </c>
      <c r="I1489" s="17" t="n">
        <v>1737.2</v>
      </c>
      <c r="J1489" s="15" t="s">
        <v>98</v>
      </c>
      <c r="K1489" s="15" t="s">
        <v>99</v>
      </c>
    </row>
    <row r="1490" customFormat="false" ht="14.25" hidden="false" customHeight="false" outlineLevel="0" collapsed="false">
      <c r="A1490" s="15" t="s">
        <v>1992</v>
      </c>
      <c r="B1490" s="16" t="n">
        <v>45343</v>
      </c>
      <c r="C1490" s="15" t="s">
        <v>619</v>
      </c>
      <c r="D1490" s="15" t="s">
        <v>259</v>
      </c>
      <c r="E1490" s="15" t="s">
        <v>357</v>
      </c>
      <c r="F1490" s="17" t="n">
        <v>9</v>
      </c>
      <c r="G1490" s="17" t="n">
        <v>3870</v>
      </c>
      <c r="H1490" s="17" t="n">
        <v>8.2</v>
      </c>
      <c r="I1490" s="17" t="n">
        <v>31973.94</v>
      </c>
      <c r="J1490" s="15" t="s">
        <v>98</v>
      </c>
      <c r="K1490" s="15" t="s">
        <v>797</v>
      </c>
    </row>
    <row r="1491" customFormat="false" ht="14.25" hidden="false" customHeight="false" outlineLevel="0" collapsed="false">
      <c r="A1491" s="15" t="s">
        <v>1993</v>
      </c>
      <c r="B1491" s="16" t="n">
        <v>45491</v>
      </c>
      <c r="C1491" s="15" t="s">
        <v>1058</v>
      </c>
      <c r="D1491" s="15" t="s">
        <v>290</v>
      </c>
      <c r="E1491" s="15" t="s">
        <v>263</v>
      </c>
      <c r="F1491" s="17" t="n">
        <v>7</v>
      </c>
      <c r="G1491" s="17" t="n">
        <v>2660</v>
      </c>
      <c r="H1491" s="17" t="n">
        <v>15.9</v>
      </c>
      <c r="I1491" s="17" t="n">
        <v>15659.42</v>
      </c>
      <c r="J1491" s="15" t="s">
        <v>98</v>
      </c>
      <c r="K1491" s="15" t="s">
        <v>144</v>
      </c>
    </row>
    <row r="1492" customFormat="false" ht="14.25" hidden="false" customHeight="false" outlineLevel="0" collapsed="false">
      <c r="A1492" s="15" t="s">
        <v>1994</v>
      </c>
      <c r="B1492" s="16" t="n">
        <v>45619</v>
      </c>
      <c r="C1492" s="15" t="s">
        <v>535</v>
      </c>
      <c r="D1492" s="15" t="s">
        <v>131</v>
      </c>
      <c r="E1492" s="15" t="s">
        <v>132</v>
      </c>
      <c r="F1492" s="17" t="n">
        <v>4</v>
      </c>
      <c r="G1492" s="17" t="n">
        <v>1430</v>
      </c>
      <c r="H1492" s="17" t="n">
        <v>25.6</v>
      </c>
      <c r="I1492" s="17" t="n">
        <v>4255.68</v>
      </c>
      <c r="J1492" s="15" t="s">
        <v>98</v>
      </c>
      <c r="K1492" s="15" t="s">
        <v>123</v>
      </c>
    </row>
    <row r="1493" customFormat="false" ht="14.25" hidden="false" customHeight="false" outlineLevel="0" collapsed="false">
      <c r="A1493" s="15" t="s">
        <v>1995</v>
      </c>
      <c r="B1493" s="16" t="n">
        <v>45374</v>
      </c>
      <c r="C1493" s="15" t="s">
        <v>515</v>
      </c>
      <c r="D1493" s="15" t="s">
        <v>195</v>
      </c>
      <c r="E1493" s="15" t="s">
        <v>165</v>
      </c>
      <c r="F1493" s="17" t="n">
        <v>4</v>
      </c>
      <c r="G1493" s="17" t="n">
        <v>4880</v>
      </c>
      <c r="H1493" s="17" t="n">
        <v>19.4</v>
      </c>
      <c r="I1493" s="17" t="n">
        <v>15733.12</v>
      </c>
      <c r="J1493" s="15" t="s">
        <v>151</v>
      </c>
      <c r="K1493" s="15" t="s">
        <v>128</v>
      </c>
    </row>
    <row r="1494" customFormat="false" ht="14.25" hidden="false" customHeight="false" outlineLevel="0" collapsed="false">
      <c r="A1494" s="15" t="s">
        <v>1996</v>
      </c>
      <c r="B1494" s="16" t="n">
        <v>45566</v>
      </c>
      <c r="C1494" s="15" t="s">
        <v>474</v>
      </c>
      <c r="D1494" s="15" t="s">
        <v>158</v>
      </c>
      <c r="E1494" s="15" t="s">
        <v>226</v>
      </c>
      <c r="F1494" s="17" t="n">
        <v>2</v>
      </c>
      <c r="G1494" s="17" t="n">
        <v>190</v>
      </c>
      <c r="H1494" s="17" t="n">
        <v>9</v>
      </c>
      <c r="I1494" s="17" t="n">
        <v>345.8</v>
      </c>
      <c r="J1494" s="15" t="s">
        <v>98</v>
      </c>
      <c r="K1494" s="15" t="s">
        <v>128</v>
      </c>
    </row>
    <row r="1495" customFormat="false" ht="14.25" hidden="false" customHeight="false" outlineLevel="0" collapsed="false">
      <c r="A1495" s="15" t="s">
        <v>1997</v>
      </c>
      <c r="B1495" s="16" t="n">
        <v>45415</v>
      </c>
      <c r="C1495" s="15" t="s">
        <v>445</v>
      </c>
      <c r="D1495" s="15" t="s">
        <v>287</v>
      </c>
      <c r="E1495" s="15" t="s">
        <v>132</v>
      </c>
      <c r="F1495" s="17" t="n">
        <v>1</v>
      </c>
      <c r="G1495" s="17" t="n">
        <v>3020</v>
      </c>
      <c r="H1495" s="17" t="n">
        <v>3.6</v>
      </c>
      <c r="I1495" s="17" t="n">
        <v>2911.28</v>
      </c>
      <c r="J1495" s="15" t="s">
        <v>155</v>
      </c>
      <c r="K1495" s="15" t="s">
        <v>110</v>
      </c>
    </row>
    <row r="1496" customFormat="false" ht="14.25" hidden="false" customHeight="false" outlineLevel="0" collapsed="false">
      <c r="A1496" s="15" t="s">
        <v>1998</v>
      </c>
      <c r="B1496" s="16" t="n">
        <v>45601</v>
      </c>
      <c r="C1496" s="15" t="s">
        <v>130</v>
      </c>
      <c r="D1496" s="15" t="s">
        <v>195</v>
      </c>
      <c r="E1496" s="15" t="s">
        <v>132</v>
      </c>
      <c r="F1496" s="17" t="n">
        <v>2</v>
      </c>
      <c r="G1496" s="17" t="n">
        <v>4880</v>
      </c>
      <c r="H1496" s="17" t="n">
        <v>2</v>
      </c>
      <c r="I1496" s="17" t="n">
        <v>9564.8</v>
      </c>
      <c r="J1496" s="15" t="s">
        <v>151</v>
      </c>
      <c r="K1496" s="15" t="s">
        <v>128</v>
      </c>
    </row>
    <row r="1497" customFormat="false" ht="14.25" hidden="false" customHeight="false" outlineLevel="0" collapsed="false">
      <c r="A1497" s="15" t="s">
        <v>1999</v>
      </c>
      <c r="B1497" s="16" t="n">
        <v>45319</v>
      </c>
      <c r="C1497" s="15" t="s">
        <v>852</v>
      </c>
      <c r="D1497" s="15" t="s">
        <v>162</v>
      </c>
      <c r="E1497" s="15" t="s">
        <v>354</v>
      </c>
      <c r="F1497" s="17" t="n">
        <v>4</v>
      </c>
      <c r="G1497" s="17" t="n">
        <v>2400</v>
      </c>
      <c r="H1497" s="17" t="n">
        <v>11.5</v>
      </c>
      <c r="I1497" s="17" t="n">
        <v>8496</v>
      </c>
      <c r="J1497" s="15" t="s">
        <v>98</v>
      </c>
      <c r="K1497" s="15" t="s">
        <v>128</v>
      </c>
    </row>
    <row r="1498" customFormat="false" ht="14.25" hidden="false" customHeight="false" outlineLevel="0" collapsed="false">
      <c r="A1498" s="15" t="s">
        <v>2000</v>
      </c>
      <c r="B1498" s="16" t="n">
        <v>45357</v>
      </c>
      <c r="C1498" s="15" t="s">
        <v>568</v>
      </c>
      <c r="D1498" s="15" t="s">
        <v>252</v>
      </c>
      <c r="E1498" s="15" t="s">
        <v>308</v>
      </c>
      <c r="F1498" s="17" t="n">
        <v>2</v>
      </c>
      <c r="G1498" s="17" t="n">
        <v>6080</v>
      </c>
      <c r="H1498" s="17" t="n">
        <v>0.5</v>
      </c>
      <c r="I1498" s="17" t="n">
        <v>12099.2</v>
      </c>
      <c r="J1498" s="15" t="s">
        <v>151</v>
      </c>
      <c r="K1498" s="15" t="s">
        <v>123</v>
      </c>
    </row>
    <row r="1499" customFormat="false" ht="14.25" hidden="false" customHeight="false" outlineLevel="0" collapsed="false">
      <c r="A1499" s="15" t="s">
        <v>2001</v>
      </c>
      <c r="B1499" s="16" t="n">
        <v>45384</v>
      </c>
      <c r="C1499" s="15" t="s">
        <v>834</v>
      </c>
      <c r="D1499" s="15" t="s">
        <v>378</v>
      </c>
      <c r="E1499" s="15" t="s">
        <v>165</v>
      </c>
      <c r="F1499" s="17" t="n">
        <v>7</v>
      </c>
      <c r="G1499" s="17" t="n">
        <v>2380</v>
      </c>
      <c r="H1499" s="17" t="n">
        <v>12.3</v>
      </c>
      <c r="I1499" s="17" t="n">
        <v>14610.82</v>
      </c>
      <c r="J1499" s="15" t="s">
        <v>98</v>
      </c>
      <c r="K1499" s="15" t="s">
        <v>105</v>
      </c>
    </row>
    <row r="1500" customFormat="false" ht="14.25" hidden="false" customHeight="false" outlineLevel="0" collapsed="false">
      <c r="A1500" s="15" t="s">
        <v>2002</v>
      </c>
      <c r="B1500" s="16" t="n">
        <v>45509</v>
      </c>
      <c r="C1500" s="15" t="s">
        <v>380</v>
      </c>
      <c r="D1500" s="15" t="s">
        <v>270</v>
      </c>
      <c r="E1500" s="15" t="s">
        <v>226</v>
      </c>
      <c r="F1500" s="17" t="n">
        <v>10</v>
      </c>
      <c r="G1500" s="17" t="n">
        <v>1540</v>
      </c>
      <c r="H1500" s="17" t="n">
        <v>20.6</v>
      </c>
      <c r="I1500" s="17" t="n">
        <v>12227.6</v>
      </c>
      <c r="J1500" s="15" t="s">
        <v>98</v>
      </c>
      <c r="K1500" s="15" t="s">
        <v>105</v>
      </c>
    </row>
    <row r="1501" customFormat="false" ht="14.25" hidden="false" customHeight="false" outlineLevel="0" collapsed="false">
      <c r="A1501" s="15" t="s">
        <v>2003</v>
      </c>
      <c r="B1501" s="16" t="n">
        <v>45520</v>
      </c>
      <c r="C1501" s="15" t="s">
        <v>174</v>
      </c>
      <c r="D1501" s="15" t="s">
        <v>259</v>
      </c>
      <c r="E1501" s="15" t="s">
        <v>139</v>
      </c>
      <c r="F1501" s="17" t="n">
        <v>7</v>
      </c>
      <c r="G1501" s="17" t="n">
        <v>3870</v>
      </c>
      <c r="H1501" s="17" t="n">
        <v>6.1</v>
      </c>
      <c r="I1501" s="17" t="n">
        <v>25437.51</v>
      </c>
      <c r="J1501" s="15" t="s">
        <v>98</v>
      </c>
      <c r="K1501" s="15" t="s">
        <v>105</v>
      </c>
    </row>
    <row r="1502" customFormat="false" ht="14.25" hidden="false" customHeight="false" outlineLevel="0" collapsed="false">
      <c r="A1502" s="15" t="s">
        <v>2004</v>
      </c>
      <c r="B1502" s="16" t="n">
        <v>45383</v>
      </c>
      <c r="C1502" s="15" t="s">
        <v>591</v>
      </c>
      <c r="D1502" s="15" t="s">
        <v>121</v>
      </c>
      <c r="E1502" s="15" t="s">
        <v>169</v>
      </c>
      <c r="F1502" s="17" t="n">
        <v>3</v>
      </c>
      <c r="G1502" s="17" t="n">
        <v>370</v>
      </c>
      <c r="H1502" s="17" t="n">
        <v>13.7</v>
      </c>
      <c r="I1502" s="17" t="n">
        <v>957.93</v>
      </c>
      <c r="J1502" s="15" t="s">
        <v>98</v>
      </c>
      <c r="K1502" s="15" t="s">
        <v>99</v>
      </c>
    </row>
    <row r="1503" customFormat="false" ht="14.25" hidden="false" customHeight="false" outlineLevel="0" collapsed="false">
      <c r="A1503" s="15" t="s">
        <v>2005</v>
      </c>
      <c r="B1503" s="16" t="n">
        <v>45328</v>
      </c>
      <c r="C1503" s="15" t="s">
        <v>382</v>
      </c>
      <c r="D1503" s="15" t="s">
        <v>158</v>
      </c>
      <c r="E1503" s="15" t="s">
        <v>354</v>
      </c>
      <c r="F1503" s="17" t="n">
        <v>8</v>
      </c>
      <c r="G1503" s="17" t="n">
        <v>190</v>
      </c>
      <c r="H1503" s="17" t="n">
        <v>0.2</v>
      </c>
      <c r="I1503" s="17" t="n">
        <v>1516.96</v>
      </c>
      <c r="J1503" s="15" t="s">
        <v>98</v>
      </c>
      <c r="K1503" s="15" t="s">
        <v>123</v>
      </c>
    </row>
    <row r="1504" customFormat="false" ht="14.25" hidden="false" customHeight="false" outlineLevel="0" collapsed="false">
      <c r="A1504" s="15" t="s">
        <v>2006</v>
      </c>
      <c r="B1504" s="16" t="n">
        <v>45501</v>
      </c>
      <c r="C1504" s="15" t="s">
        <v>101</v>
      </c>
      <c r="D1504" s="15" t="s">
        <v>131</v>
      </c>
      <c r="E1504" s="15" t="s">
        <v>284</v>
      </c>
      <c r="F1504" s="17" t="n">
        <v>6</v>
      </c>
      <c r="G1504" s="17" t="n">
        <v>1430</v>
      </c>
      <c r="H1504" s="17" t="n">
        <v>0.1</v>
      </c>
      <c r="I1504" s="17" t="n">
        <v>8571.42</v>
      </c>
      <c r="J1504" s="15" t="s">
        <v>98</v>
      </c>
      <c r="K1504" s="15" t="s">
        <v>105</v>
      </c>
    </row>
    <row r="1505" customFormat="false" ht="14.25" hidden="false" customHeight="false" outlineLevel="0" collapsed="false">
      <c r="A1505" s="15" t="s">
        <v>2007</v>
      </c>
      <c r="B1505" s="16" t="n">
        <v>45346</v>
      </c>
      <c r="C1505" s="15" t="s">
        <v>483</v>
      </c>
      <c r="D1505" s="15" t="s">
        <v>108</v>
      </c>
      <c r="E1505" s="15" t="s">
        <v>203</v>
      </c>
      <c r="F1505" s="17" t="n">
        <v>4</v>
      </c>
      <c r="G1505" s="17" t="n">
        <v>470</v>
      </c>
      <c r="H1505" s="17" t="n">
        <v>3</v>
      </c>
      <c r="I1505" s="17" t="n">
        <v>1823.6</v>
      </c>
      <c r="J1505" s="15" t="s">
        <v>98</v>
      </c>
      <c r="K1505" s="15" t="s">
        <v>105</v>
      </c>
    </row>
    <row r="1506" customFormat="false" ht="14.25" hidden="false" customHeight="false" outlineLevel="0" collapsed="false">
      <c r="A1506" s="15" t="s">
        <v>2008</v>
      </c>
      <c r="B1506" s="16" t="n">
        <v>45446</v>
      </c>
      <c r="C1506" s="15" t="s">
        <v>496</v>
      </c>
      <c r="D1506" s="15" t="s">
        <v>670</v>
      </c>
      <c r="E1506" s="15" t="s">
        <v>150</v>
      </c>
      <c r="F1506" s="17" t="n">
        <v>4</v>
      </c>
      <c r="G1506" s="17" t="n">
        <v>3560</v>
      </c>
      <c r="H1506" s="17" t="n">
        <v>1.1</v>
      </c>
      <c r="I1506" s="17" t="n">
        <v>14083.36</v>
      </c>
      <c r="J1506" s="15" t="s">
        <v>98</v>
      </c>
      <c r="K1506" s="15" t="s">
        <v>99</v>
      </c>
    </row>
    <row r="1507" customFormat="false" ht="14.25" hidden="false" customHeight="false" outlineLevel="0" collapsed="false">
      <c r="A1507" s="15" t="s">
        <v>2009</v>
      </c>
      <c r="B1507" s="16" t="n">
        <v>45521</v>
      </c>
      <c r="C1507" s="15" t="s">
        <v>646</v>
      </c>
      <c r="D1507" s="15" t="s">
        <v>195</v>
      </c>
      <c r="E1507" s="15" t="s">
        <v>336</v>
      </c>
      <c r="F1507" s="17" t="n">
        <v>5</v>
      </c>
      <c r="G1507" s="17" t="n">
        <v>4880</v>
      </c>
      <c r="H1507" s="17" t="n">
        <v>17</v>
      </c>
      <c r="I1507" s="17" t="n">
        <v>20252</v>
      </c>
      <c r="J1507" s="15" t="s">
        <v>98</v>
      </c>
      <c r="K1507" s="15" t="s">
        <v>110</v>
      </c>
    </row>
    <row r="1508" customFormat="false" ht="14.25" hidden="false" customHeight="false" outlineLevel="0" collapsed="false">
      <c r="A1508" s="15" t="s">
        <v>2010</v>
      </c>
      <c r="B1508" s="16" t="n">
        <v>45483</v>
      </c>
      <c r="C1508" s="15" t="s">
        <v>691</v>
      </c>
      <c r="D1508" s="15" t="s">
        <v>198</v>
      </c>
      <c r="E1508" s="15" t="s">
        <v>215</v>
      </c>
      <c r="F1508" s="17" t="n">
        <v>9</v>
      </c>
      <c r="G1508" s="17" t="n">
        <v>3570</v>
      </c>
      <c r="H1508" s="17" t="n">
        <v>12</v>
      </c>
      <c r="I1508" s="17" t="n">
        <v>28274.4</v>
      </c>
      <c r="J1508" s="15" t="s">
        <v>98</v>
      </c>
      <c r="K1508" s="15" t="s">
        <v>105</v>
      </c>
    </row>
    <row r="1509" customFormat="false" ht="14.25" hidden="false" customHeight="false" outlineLevel="0" collapsed="false">
      <c r="A1509" s="15" t="s">
        <v>2011</v>
      </c>
      <c r="B1509" s="16" t="n">
        <v>45370</v>
      </c>
      <c r="C1509" s="15" t="s">
        <v>1372</v>
      </c>
      <c r="D1509" s="15" t="s">
        <v>172</v>
      </c>
      <c r="E1509" s="15" t="s">
        <v>122</v>
      </c>
      <c r="F1509" s="17" t="n">
        <v>6</v>
      </c>
      <c r="G1509" s="17" t="n">
        <v>3450</v>
      </c>
      <c r="H1509" s="17" t="n">
        <v>22.7</v>
      </c>
      <c r="I1509" s="17" t="n">
        <v>16001.1</v>
      </c>
      <c r="J1509" s="15" t="s">
        <v>151</v>
      </c>
      <c r="K1509" s="15" t="s">
        <v>105</v>
      </c>
    </row>
    <row r="1510" customFormat="false" ht="14.25" hidden="false" customHeight="false" outlineLevel="0" collapsed="false">
      <c r="A1510" s="15" t="s">
        <v>2012</v>
      </c>
      <c r="B1510" s="16" t="n">
        <v>45456</v>
      </c>
      <c r="C1510" s="15" t="s">
        <v>189</v>
      </c>
      <c r="D1510" s="15" t="s">
        <v>175</v>
      </c>
      <c r="E1510" s="15" t="s">
        <v>308</v>
      </c>
      <c r="F1510" s="17" t="n">
        <v>10</v>
      </c>
      <c r="G1510" s="17" t="n">
        <v>1080</v>
      </c>
      <c r="H1510" s="17" t="n">
        <v>27.4</v>
      </c>
      <c r="I1510" s="17" t="n">
        <v>7840.8</v>
      </c>
      <c r="J1510" s="15" t="s">
        <v>98</v>
      </c>
      <c r="K1510" s="15" t="s">
        <v>105</v>
      </c>
    </row>
    <row r="1511" customFormat="false" ht="14.25" hidden="false" customHeight="false" outlineLevel="0" collapsed="false">
      <c r="A1511" s="15" t="s">
        <v>2013</v>
      </c>
      <c r="B1511" s="16" t="n">
        <v>45605</v>
      </c>
      <c r="C1511" s="15" t="s">
        <v>867</v>
      </c>
      <c r="D1511" s="15" t="s">
        <v>270</v>
      </c>
      <c r="E1511" s="15" t="s">
        <v>122</v>
      </c>
      <c r="F1511" s="17" t="n">
        <v>6</v>
      </c>
      <c r="G1511" s="17" t="n">
        <v>1540</v>
      </c>
      <c r="H1511" s="17" t="n">
        <v>17.1</v>
      </c>
      <c r="I1511" s="17" t="n">
        <v>7659.96</v>
      </c>
      <c r="J1511" s="15" t="s">
        <v>98</v>
      </c>
      <c r="K1511" s="15" t="s">
        <v>99</v>
      </c>
    </row>
    <row r="1512" customFormat="false" ht="14.25" hidden="false" customHeight="false" outlineLevel="0" collapsed="false">
      <c r="A1512" s="15" t="s">
        <v>2014</v>
      </c>
      <c r="B1512" s="16" t="n">
        <v>45556</v>
      </c>
      <c r="C1512" s="15" t="s">
        <v>2015</v>
      </c>
      <c r="D1512" s="15" t="s">
        <v>184</v>
      </c>
      <c r="E1512" s="15" t="s">
        <v>263</v>
      </c>
      <c r="F1512" s="17" t="n">
        <v>6</v>
      </c>
      <c r="G1512" s="17" t="n">
        <v>2720</v>
      </c>
      <c r="H1512" s="17" t="n">
        <v>28.1</v>
      </c>
      <c r="I1512" s="17" t="n">
        <v>11734.08</v>
      </c>
      <c r="J1512" s="15" t="s">
        <v>98</v>
      </c>
      <c r="K1512" s="15" t="s">
        <v>123</v>
      </c>
    </row>
    <row r="1513" customFormat="false" ht="14.25" hidden="false" customHeight="false" outlineLevel="0" collapsed="false">
      <c r="A1513" s="15" t="s">
        <v>2016</v>
      </c>
      <c r="B1513" s="16" t="n">
        <v>45569</v>
      </c>
      <c r="C1513" s="15" t="s">
        <v>267</v>
      </c>
      <c r="D1513" s="15" t="s">
        <v>454</v>
      </c>
      <c r="E1513" s="15" t="s">
        <v>103</v>
      </c>
      <c r="F1513" s="17" t="n">
        <v>2</v>
      </c>
      <c r="G1513" s="17" t="n">
        <v>5080</v>
      </c>
      <c r="H1513" s="17" t="n">
        <v>11.1</v>
      </c>
      <c r="I1513" s="17" t="n">
        <v>9032.24</v>
      </c>
      <c r="J1513" s="15" t="s">
        <v>98</v>
      </c>
      <c r="K1513" s="15" t="s">
        <v>144</v>
      </c>
    </row>
    <row r="1514" customFormat="false" ht="14.25" hidden="false" customHeight="false" outlineLevel="0" collapsed="false">
      <c r="A1514" s="15" t="s">
        <v>2017</v>
      </c>
      <c r="B1514" s="16" t="n">
        <v>45329</v>
      </c>
      <c r="C1514" s="15" t="s">
        <v>2018</v>
      </c>
      <c r="D1514" s="15" t="s">
        <v>303</v>
      </c>
      <c r="E1514" s="15" t="s">
        <v>118</v>
      </c>
      <c r="F1514" s="17" t="n">
        <v>5</v>
      </c>
      <c r="G1514" s="17" t="n">
        <v>620</v>
      </c>
      <c r="H1514" s="17" t="n">
        <v>10.9</v>
      </c>
      <c r="I1514" s="17" t="n">
        <v>2762.1</v>
      </c>
      <c r="J1514" s="15" t="s">
        <v>104</v>
      </c>
      <c r="K1514" s="15" t="s">
        <v>105</v>
      </c>
    </row>
    <row r="1515" customFormat="false" ht="14.25" hidden="false" customHeight="false" outlineLevel="0" collapsed="false">
      <c r="A1515" s="15" t="s">
        <v>2019</v>
      </c>
      <c r="B1515" s="16" t="n">
        <v>45377</v>
      </c>
      <c r="C1515" s="15" t="s">
        <v>319</v>
      </c>
      <c r="D1515" s="15" t="s">
        <v>178</v>
      </c>
      <c r="E1515" s="15" t="s">
        <v>159</v>
      </c>
      <c r="F1515" s="17" t="n">
        <v>3</v>
      </c>
      <c r="G1515" s="17" t="n">
        <v>2480</v>
      </c>
      <c r="H1515" s="17" t="n">
        <v>5</v>
      </c>
      <c r="I1515" s="17" t="n">
        <v>7068</v>
      </c>
      <c r="J1515" s="15" t="s">
        <v>98</v>
      </c>
      <c r="K1515" s="15" t="s">
        <v>99</v>
      </c>
    </row>
    <row r="1516" customFormat="false" ht="14.25" hidden="false" customHeight="false" outlineLevel="0" collapsed="false">
      <c r="A1516" s="15" t="s">
        <v>2020</v>
      </c>
      <c r="B1516" s="16" t="n">
        <v>45537</v>
      </c>
      <c r="C1516" s="15" t="s">
        <v>535</v>
      </c>
      <c r="D1516" s="15" t="s">
        <v>193</v>
      </c>
      <c r="E1516" s="15" t="s">
        <v>103</v>
      </c>
      <c r="F1516" s="17" t="n">
        <v>9</v>
      </c>
      <c r="G1516" s="17" t="n">
        <v>1010</v>
      </c>
      <c r="H1516" s="17" t="n">
        <v>21.9</v>
      </c>
      <c r="I1516" s="17" t="n">
        <v>7099.29</v>
      </c>
      <c r="J1516" s="15" t="s">
        <v>98</v>
      </c>
      <c r="K1516" s="15" t="s">
        <v>123</v>
      </c>
    </row>
    <row r="1517" customFormat="false" ht="14.25" hidden="false" customHeight="false" outlineLevel="0" collapsed="false">
      <c r="A1517" s="15" t="s">
        <v>2021</v>
      </c>
      <c r="B1517" s="16" t="n">
        <v>45550</v>
      </c>
      <c r="C1517" s="15" t="s">
        <v>424</v>
      </c>
      <c r="D1517" s="15" t="s">
        <v>175</v>
      </c>
      <c r="E1517" s="15" t="s">
        <v>150</v>
      </c>
      <c r="F1517" s="17" t="n">
        <v>2</v>
      </c>
      <c r="G1517" s="17" t="n">
        <v>1080</v>
      </c>
      <c r="H1517" s="17" t="n">
        <v>8.5</v>
      </c>
      <c r="I1517" s="17" t="n">
        <v>1976.4</v>
      </c>
      <c r="J1517" s="15" t="s">
        <v>98</v>
      </c>
      <c r="K1517" s="15" t="s">
        <v>99</v>
      </c>
    </row>
    <row r="1518" customFormat="false" ht="14.25" hidden="false" customHeight="false" outlineLevel="0" collapsed="false">
      <c r="A1518" s="15" t="s">
        <v>2022</v>
      </c>
      <c r="B1518" s="16" t="n">
        <v>45325</v>
      </c>
      <c r="C1518" s="15" t="s">
        <v>234</v>
      </c>
      <c r="D1518" s="15" t="s">
        <v>108</v>
      </c>
      <c r="E1518" s="15" t="s">
        <v>122</v>
      </c>
      <c r="F1518" s="17" t="n">
        <v>5</v>
      </c>
      <c r="G1518" s="17" t="n">
        <v>470</v>
      </c>
      <c r="H1518" s="17" t="n">
        <v>8</v>
      </c>
      <c r="I1518" s="17" t="n">
        <v>2162</v>
      </c>
      <c r="J1518" s="15" t="s">
        <v>98</v>
      </c>
      <c r="K1518" s="15" t="s">
        <v>110</v>
      </c>
    </row>
    <row r="1519" customFormat="false" ht="14.25" hidden="false" customHeight="false" outlineLevel="0" collapsed="false">
      <c r="A1519" s="15" t="s">
        <v>2023</v>
      </c>
      <c r="B1519" s="16" t="n">
        <v>45375</v>
      </c>
      <c r="C1519" s="15" t="s">
        <v>351</v>
      </c>
      <c r="D1519" s="15" t="s">
        <v>419</v>
      </c>
      <c r="E1519" s="15" t="s">
        <v>203</v>
      </c>
      <c r="F1519" s="17" t="n">
        <v>9</v>
      </c>
      <c r="G1519" s="17" t="n">
        <v>3970</v>
      </c>
      <c r="H1519" s="17" t="n">
        <v>18.5</v>
      </c>
      <c r="I1519" s="17" t="n">
        <v>29119.95</v>
      </c>
      <c r="J1519" s="15" t="s">
        <v>98</v>
      </c>
      <c r="K1519" s="15" t="s">
        <v>99</v>
      </c>
    </row>
    <row r="1520" customFormat="false" ht="14.25" hidden="false" customHeight="false" outlineLevel="0" collapsed="false">
      <c r="A1520" s="15" t="s">
        <v>2024</v>
      </c>
      <c r="B1520" s="16" t="n">
        <v>45614</v>
      </c>
      <c r="C1520" s="15" t="s">
        <v>1245</v>
      </c>
      <c r="D1520" s="15" t="s">
        <v>187</v>
      </c>
      <c r="E1520" s="15" t="s">
        <v>143</v>
      </c>
      <c r="F1520" s="17" t="n">
        <v>9</v>
      </c>
      <c r="G1520" s="17" t="n">
        <v>1650</v>
      </c>
      <c r="H1520" s="17" t="n">
        <v>19.5</v>
      </c>
      <c r="I1520" s="17" t="n">
        <v>11954.25</v>
      </c>
      <c r="J1520" s="15" t="s">
        <v>98</v>
      </c>
      <c r="K1520" s="15" t="s">
        <v>123</v>
      </c>
    </row>
    <row r="1521" customFormat="false" ht="14.25" hidden="false" customHeight="false" outlineLevel="0" collapsed="false">
      <c r="A1521" s="15" t="s">
        <v>2025</v>
      </c>
      <c r="B1521" s="16" t="n">
        <v>45364</v>
      </c>
      <c r="C1521" s="15" t="s">
        <v>680</v>
      </c>
      <c r="D1521" s="15" t="s">
        <v>190</v>
      </c>
      <c r="E1521" s="15" t="s">
        <v>114</v>
      </c>
      <c r="F1521" s="17" t="n">
        <v>9</v>
      </c>
      <c r="G1521" s="17" t="n">
        <v>3350</v>
      </c>
      <c r="H1521" s="17" t="n">
        <v>4.1</v>
      </c>
      <c r="I1521" s="17" t="n">
        <v>28913.85</v>
      </c>
      <c r="J1521" s="15" t="s">
        <v>98</v>
      </c>
      <c r="K1521" s="15" t="s">
        <v>144</v>
      </c>
    </row>
    <row r="1522" customFormat="false" ht="14.25" hidden="false" customHeight="false" outlineLevel="0" collapsed="false">
      <c r="A1522" s="15" t="s">
        <v>2026</v>
      </c>
      <c r="B1522" s="16" t="n">
        <v>45342</v>
      </c>
      <c r="C1522" s="15" t="s">
        <v>277</v>
      </c>
      <c r="D1522" s="15" t="s">
        <v>419</v>
      </c>
      <c r="E1522" s="15" t="s">
        <v>165</v>
      </c>
      <c r="F1522" s="17" t="n">
        <v>7</v>
      </c>
      <c r="G1522" s="17" t="n">
        <v>3970</v>
      </c>
      <c r="H1522" s="17" t="n">
        <v>15.6</v>
      </c>
      <c r="I1522" s="17" t="n">
        <v>23454.76</v>
      </c>
      <c r="J1522" s="15" t="s">
        <v>98</v>
      </c>
      <c r="K1522" s="15" t="s">
        <v>110</v>
      </c>
    </row>
    <row r="1523" customFormat="false" ht="14.25" hidden="false" customHeight="false" outlineLevel="0" collapsed="false">
      <c r="A1523" s="15" t="s">
        <v>2027</v>
      </c>
      <c r="B1523" s="16" t="n">
        <v>45454</v>
      </c>
      <c r="C1523" s="15" t="s">
        <v>749</v>
      </c>
      <c r="D1523" s="15" t="s">
        <v>245</v>
      </c>
      <c r="E1523" s="15" t="s">
        <v>314</v>
      </c>
      <c r="F1523" s="17" t="n">
        <v>7</v>
      </c>
      <c r="G1523" s="17" t="n">
        <v>3780</v>
      </c>
      <c r="H1523" s="17" t="n">
        <v>18.7</v>
      </c>
      <c r="I1523" s="17" t="n">
        <v>21511.98</v>
      </c>
      <c r="J1523" s="15" t="s">
        <v>98</v>
      </c>
      <c r="K1523" s="15" t="s">
        <v>99</v>
      </c>
    </row>
    <row r="1524" customFormat="false" ht="14.25" hidden="false" customHeight="false" outlineLevel="0" collapsed="false">
      <c r="A1524" s="15" t="s">
        <v>2028</v>
      </c>
      <c r="B1524" s="16" t="n">
        <v>45625</v>
      </c>
      <c r="C1524" s="15" t="s">
        <v>646</v>
      </c>
      <c r="D1524" s="15" t="s">
        <v>102</v>
      </c>
      <c r="E1524" s="15" t="s">
        <v>263</v>
      </c>
      <c r="F1524" s="17" t="n">
        <v>4</v>
      </c>
      <c r="G1524" s="17" t="n">
        <v>820</v>
      </c>
      <c r="H1524" s="17" t="n">
        <v>18.8</v>
      </c>
      <c r="I1524" s="17" t="n">
        <v>2663.36</v>
      </c>
      <c r="J1524" s="15" t="s">
        <v>151</v>
      </c>
      <c r="K1524" s="15" t="s">
        <v>110</v>
      </c>
    </row>
    <row r="1525" customFormat="false" ht="14.25" hidden="false" customHeight="false" outlineLevel="0" collapsed="false">
      <c r="A1525" s="15" t="s">
        <v>2029</v>
      </c>
      <c r="B1525" s="16" t="n">
        <v>45600</v>
      </c>
      <c r="C1525" s="15" t="s">
        <v>740</v>
      </c>
      <c r="D1525" s="15" t="s">
        <v>187</v>
      </c>
      <c r="E1525" s="15" t="s">
        <v>296</v>
      </c>
      <c r="F1525" s="17" t="n">
        <v>1</v>
      </c>
      <c r="G1525" s="17" t="n">
        <v>1650</v>
      </c>
      <c r="H1525" s="17" t="n">
        <v>18.8</v>
      </c>
      <c r="I1525" s="17" t="n">
        <v>1339.8</v>
      </c>
      <c r="J1525" s="15" t="s">
        <v>151</v>
      </c>
      <c r="K1525" s="15" t="s">
        <v>123</v>
      </c>
    </row>
    <row r="1526" customFormat="false" ht="14.25" hidden="false" customHeight="false" outlineLevel="0" collapsed="false">
      <c r="A1526" s="15" t="s">
        <v>2030</v>
      </c>
      <c r="B1526" s="16" t="n">
        <v>45397</v>
      </c>
      <c r="C1526" s="15" t="s">
        <v>351</v>
      </c>
      <c r="D1526" s="15" t="s">
        <v>245</v>
      </c>
      <c r="E1526" s="15" t="s">
        <v>169</v>
      </c>
      <c r="F1526" s="17" t="n">
        <v>2</v>
      </c>
      <c r="G1526" s="17" t="n">
        <v>3780</v>
      </c>
      <c r="H1526" s="17" t="n">
        <v>1</v>
      </c>
      <c r="I1526" s="17" t="n">
        <v>7484.4</v>
      </c>
      <c r="J1526" s="15" t="s">
        <v>155</v>
      </c>
      <c r="K1526" s="15" t="s">
        <v>99</v>
      </c>
    </row>
    <row r="1527" customFormat="false" ht="14.25" hidden="false" customHeight="false" outlineLevel="0" collapsed="false">
      <c r="A1527" s="15" t="s">
        <v>2031</v>
      </c>
      <c r="B1527" s="16" t="n">
        <v>45417</v>
      </c>
      <c r="C1527" s="15" t="s">
        <v>458</v>
      </c>
      <c r="D1527" s="15" t="s">
        <v>349</v>
      </c>
      <c r="E1527" s="15" t="s">
        <v>354</v>
      </c>
      <c r="F1527" s="17" t="n">
        <v>5</v>
      </c>
      <c r="G1527" s="17" t="n">
        <v>2210</v>
      </c>
      <c r="H1527" s="17" t="n">
        <v>16.6</v>
      </c>
      <c r="I1527" s="17" t="n">
        <v>9215.7</v>
      </c>
      <c r="J1527" s="15" t="s">
        <v>98</v>
      </c>
      <c r="K1527" s="15" t="s">
        <v>123</v>
      </c>
    </row>
    <row r="1528" customFormat="false" ht="14.25" hidden="false" customHeight="false" outlineLevel="0" collapsed="false">
      <c r="A1528" s="15" t="s">
        <v>2032</v>
      </c>
      <c r="B1528" s="16" t="n">
        <v>45487</v>
      </c>
      <c r="C1528" s="15" t="s">
        <v>666</v>
      </c>
      <c r="D1528" s="15" t="s">
        <v>526</v>
      </c>
      <c r="E1528" s="15" t="s">
        <v>143</v>
      </c>
      <c r="F1528" s="17" t="n">
        <v>10</v>
      </c>
      <c r="G1528" s="17" t="n">
        <v>6940</v>
      </c>
      <c r="H1528" s="17" t="n">
        <v>10.6</v>
      </c>
      <c r="I1528" s="17" t="n">
        <v>62043.6</v>
      </c>
      <c r="J1528" s="15" t="s">
        <v>98</v>
      </c>
      <c r="K1528" s="15" t="s">
        <v>144</v>
      </c>
    </row>
    <row r="1529" customFormat="false" ht="14.25" hidden="false" customHeight="false" outlineLevel="0" collapsed="false">
      <c r="A1529" s="15" t="s">
        <v>2033</v>
      </c>
      <c r="B1529" s="16" t="n">
        <v>45454</v>
      </c>
      <c r="C1529" s="15" t="s">
        <v>380</v>
      </c>
      <c r="D1529" s="15" t="s">
        <v>397</v>
      </c>
      <c r="E1529" s="15" t="s">
        <v>103</v>
      </c>
      <c r="F1529" s="17" t="n">
        <v>8</v>
      </c>
      <c r="G1529" s="17" t="n">
        <v>2290</v>
      </c>
      <c r="H1529" s="17" t="n">
        <v>12.2</v>
      </c>
      <c r="I1529" s="17" t="n">
        <v>16084.96</v>
      </c>
      <c r="J1529" s="15" t="s">
        <v>98</v>
      </c>
      <c r="K1529" s="15" t="s">
        <v>105</v>
      </c>
    </row>
    <row r="1530" customFormat="false" ht="14.25" hidden="false" customHeight="false" outlineLevel="0" collapsed="false">
      <c r="A1530" s="15" t="s">
        <v>2034</v>
      </c>
      <c r="B1530" s="16" t="n">
        <v>45529</v>
      </c>
      <c r="C1530" s="15" t="s">
        <v>353</v>
      </c>
      <c r="D1530" s="15" t="s">
        <v>306</v>
      </c>
      <c r="E1530" s="15" t="s">
        <v>122</v>
      </c>
      <c r="F1530" s="17" t="n">
        <v>5</v>
      </c>
      <c r="G1530" s="17" t="n">
        <v>2030</v>
      </c>
      <c r="H1530" s="17" t="n">
        <v>23.8</v>
      </c>
      <c r="I1530" s="17" t="n">
        <v>7734.3</v>
      </c>
      <c r="J1530" s="15" t="s">
        <v>151</v>
      </c>
      <c r="K1530" s="15" t="s">
        <v>105</v>
      </c>
    </row>
    <row r="1531" customFormat="false" ht="14.25" hidden="false" customHeight="false" outlineLevel="0" collapsed="false">
      <c r="A1531" s="15" t="s">
        <v>2035</v>
      </c>
      <c r="B1531" s="16" t="n">
        <v>45546</v>
      </c>
      <c r="C1531" s="15" t="s">
        <v>451</v>
      </c>
      <c r="D1531" s="15" t="s">
        <v>419</v>
      </c>
      <c r="E1531" s="15" t="s">
        <v>240</v>
      </c>
      <c r="F1531" s="17" t="n">
        <v>3</v>
      </c>
      <c r="G1531" s="17" t="n">
        <v>3970</v>
      </c>
      <c r="H1531" s="17" t="n">
        <v>7.7</v>
      </c>
      <c r="I1531" s="17" t="n">
        <v>10992.93</v>
      </c>
      <c r="J1531" s="15" t="s">
        <v>98</v>
      </c>
      <c r="K1531" s="15" t="s">
        <v>99</v>
      </c>
    </row>
    <row r="1532" customFormat="false" ht="14.25" hidden="false" customHeight="false" outlineLevel="0" collapsed="false">
      <c r="A1532" s="15" t="s">
        <v>2036</v>
      </c>
      <c r="B1532" s="16" t="n">
        <v>45481</v>
      </c>
      <c r="C1532" s="15" t="s">
        <v>723</v>
      </c>
      <c r="D1532" s="15" t="s">
        <v>102</v>
      </c>
      <c r="E1532" s="15" t="s">
        <v>357</v>
      </c>
      <c r="F1532" s="17" t="n">
        <v>1</v>
      </c>
      <c r="G1532" s="17" t="n">
        <v>820</v>
      </c>
      <c r="H1532" s="17" t="n">
        <v>5.4</v>
      </c>
      <c r="I1532" s="17" t="n">
        <v>775.72</v>
      </c>
      <c r="J1532" s="15" t="s">
        <v>98</v>
      </c>
      <c r="K1532" s="15" t="s">
        <v>123</v>
      </c>
    </row>
    <row r="1533" customFormat="false" ht="14.25" hidden="false" customHeight="false" outlineLevel="0" collapsed="false">
      <c r="A1533" s="15" t="s">
        <v>2037</v>
      </c>
      <c r="B1533" s="16" t="n">
        <v>45472</v>
      </c>
      <c r="C1533" s="15" t="s">
        <v>333</v>
      </c>
      <c r="D1533" s="15" t="s">
        <v>259</v>
      </c>
      <c r="E1533" s="15" t="s">
        <v>122</v>
      </c>
      <c r="F1533" s="17" t="n">
        <v>3</v>
      </c>
      <c r="G1533" s="17" t="n">
        <v>3870</v>
      </c>
      <c r="H1533" s="17" t="n">
        <v>1.9</v>
      </c>
      <c r="I1533" s="17" t="n">
        <v>11389.41</v>
      </c>
      <c r="J1533" s="15" t="s">
        <v>98</v>
      </c>
      <c r="K1533" s="15" t="s">
        <v>110</v>
      </c>
    </row>
    <row r="1534" customFormat="false" ht="14.25" hidden="false" customHeight="false" outlineLevel="0" collapsed="false">
      <c r="A1534" s="15" t="s">
        <v>2038</v>
      </c>
      <c r="B1534" s="16" t="n">
        <v>45296</v>
      </c>
      <c r="C1534" s="15" t="s">
        <v>539</v>
      </c>
      <c r="D1534" s="15" t="s">
        <v>138</v>
      </c>
      <c r="E1534" s="15" t="s">
        <v>296</v>
      </c>
      <c r="F1534" s="17" t="n">
        <v>6</v>
      </c>
      <c r="G1534" s="17" t="n">
        <v>970</v>
      </c>
      <c r="H1534" s="17" t="n">
        <v>27.1</v>
      </c>
      <c r="I1534" s="17" t="n">
        <v>4242.78</v>
      </c>
      <c r="J1534" s="15" t="s">
        <v>98</v>
      </c>
      <c r="K1534" s="15" t="s">
        <v>123</v>
      </c>
    </row>
    <row r="1535" customFormat="false" ht="14.25" hidden="false" customHeight="false" outlineLevel="0" collapsed="false">
      <c r="A1535" s="15" t="s">
        <v>2039</v>
      </c>
      <c r="B1535" s="16" t="n">
        <v>45567</v>
      </c>
      <c r="C1535" s="15" t="s">
        <v>305</v>
      </c>
      <c r="D1535" s="15" t="s">
        <v>195</v>
      </c>
      <c r="E1535" s="15" t="s">
        <v>122</v>
      </c>
      <c r="F1535" s="17" t="n">
        <v>1</v>
      </c>
      <c r="G1535" s="17" t="n">
        <v>4880</v>
      </c>
      <c r="H1535" s="17" t="n">
        <v>26.8</v>
      </c>
      <c r="I1535" s="17" t="n">
        <v>3572.16</v>
      </c>
      <c r="J1535" s="15" t="s">
        <v>98</v>
      </c>
      <c r="K1535" s="15" t="s">
        <v>144</v>
      </c>
    </row>
    <row r="1536" customFormat="false" ht="14.25" hidden="false" customHeight="false" outlineLevel="0" collapsed="false">
      <c r="A1536" s="15" t="s">
        <v>2040</v>
      </c>
      <c r="B1536" s="16" t="n">
        <v>45337</v>
      </c>
      <c r="C1536" s="15" t="s">
        <v>852</v>
      </c>
      <c r="D1536" s="15" t="s">
        <v>256</v>
      </c>
      <c r="E1536" s="15" t="s">
        <v>165</v>
      </c>
      <c r="F1536" s="17" t="n">
        <v>1</v>
      </c>
      <c r="G1536" s="17" t="n">
        <v>2270</v>
      </c>
      <c r="H1536" s="17" t="n">
        <v>22.2</v>
      </c>
      <c r="I1536" s="17" t="n">
        <v>1766.06</v>
      </c>
      <c r="J1536" s="15" t="s">
        <v>98</v>
      </c>
      <c r="K1536" s="15" t="s">
        <v>128</v>
      </c>
    </row>
    <row r="1537" customFormat="false" ht="14.25" hidden="false" customHeight="false" outlineLevel="0" collapsed="false">
      <c r="A1537" s="15" t="s">
        <v>2041</v>
      </c>
      <c r="B1537" s="16" t="n">
        <v>45376</v>
      </c>
      <c r="C1537" s="15" t="s">
        <v>164</v>
      </c>
      <c r="D1537" s="15" t="s">
        <v>168</v>
      </c>
      <c r="E1537" s="15" t="s">
        <v>212</v>
      </c>
      <c r="F1537" s="17" t="n">
        <v>10</v>
      </c>
      <c r="G1537" s="17" t="n">
        <v>3450</v>
      </c>
      <c r="H1537" s="17" t="n">
        <v>21.9</v>
      </c>
      <c r="I1537" s="17" t="n">
        <v>26944.5</v>
      </c>
      <c r="J1537" s="15" t="s">
        <v>98</v>
      </c>
      <c r="K1537" s="15" t="s">
        <v>128</v>
      </c>
    </row>
    <row r="1538" customFormat="false" ht="14.25" hidden="false" customHeight="false" outlineLevel="0" collapsed="false">
      <c r="A1538" s="15" t="s">
        <v>2042</v>
      </c>
      <c r="B1538" s="16" t="n">
        <v>45616</v>
      </c>
      <c r="C1538" s="15" t="s">
        <v>572</v>
      </c>
      <c r="D1538" s="15" t="s">
        <v>256</v>
      </c>
      <c r="E1538" s="15" t="s">
        <v>284</v>
      </c>
      <c r="F1538" s="17" t="n">
        <v>3</v>
      </c>
      <c r="G1538" s="17" t="n">
        <v>2270</v>
      </c>
      <c r="H1538" s="17" t="n">
        <v>19.1</v>
      </c>
      <c r="I1538" s="17" t="n">
        <v>5509.29</v>
      </c>
      <c r="J1538" s="15" t="s">
        <v>151</v>
      </c>
      <c r="K1538" s="15" t="s">
        <v>144</v>
      </c>
    </row>
    <row r="1539" customFormat="false" ht="14.25" hidden="false" customHeight="false" outlineLevel="0" collapsed="false">
      <c r="A1539" s="15" t="s">
        <v>2043</v>
      </c>
      <c r="B1539" s="16" t="n">
        <v>45360</v>
      </c>
      <c r="C1539" s="15" t="s">
        <v>932</v>
      </c>
      <c r="D1539" s="15" t="s">
        <v>349</v>
      </c>
      <c r="E1539" s="15" t="s">
        <v>181</v>
      </c>
      <c r="F1539" s="17" t="n">
        <v>10</v>
      </c>
      <c r="G1539" s="17" t="n">
        <v>2210</v>
      </c>
      <c r="H1539" s="17" t="n">
        <v>22.3</v>
      </c>
      <c r="I1539" s="17" t="n">
        <v>17171.7</v>
      </c>
      <c r="J1539" s="15" t="s">
        <v>98</v>
      </c>
      <c r="K1539" s="15" t="s">
        <v>128</v>
      </c>
    </row>
    <row r="1540" customFormat="false" ht="14.25" hidden="false" customHeight="false" outlineLevel="0" collapsed="false">
      <c r="A1540" s="15" t="s">
        <v>2044</v>
      </c>
      <c r="B1540" s="16" t="n">
        <v>45465</v>
      </c>
      <c r="C1540" s="15" t="s">
        <v>485</v>
      </c>
      <c r="D1540" s="15" t="s">
        <v>306</v>
      </c>
      <c r="E1540" s="15" t="s">
        <v>284</v>
      </c>
      <c r="F1540" s="17" t="n">
        <v>9</v>
      </c>
      <c r="G1540" s="17" t="n">
        <v>2030</v>
      </c>
      <c r="H1540" s="17" t="n">
        <v>24.8</v>
      </c>
      <c r="I1540" s="17" t="n">
        <v>13739.04</v>
      </c>
      <c r="J1540" s="15" t="s">
        <v>98</v>
      </c>
      <c r="K1540" s="15" t="s">
        <v>110</v>
      </c>
    </row>
    <row r="1541" customFormat="false" ht="14.25" hidden="false" customHeight="false" outlineLevel="0" collapsed="false">
      <c r="A1541" s="15" t="s">
        <v>2045</v>
      </c>
      <c r="B1541" s="16" t="n">
        <v>45380</v>
      </c>
      <c r="C1541" s="15" t="s">
        <v>399</v>
      </c>
      <c r="D1541" s="15" t="s">
        <v>190</v>
      </c>
      <c r="E1541" s="15" t="s">
        <v>165</v>
      </c>
      <c r="F1541" s="17" t="n">
        <v>5</v>
      </c>
      <c r="G1541" s="17" t="n">
        <v>3350</v>
      </c>
      <c r="H1541" s="17" t="n">
        <v>18.2</v>
      </c>
      <c r="I1541" s="17" t="n">
        <v>13701.5</v>
      </c>
      <c r="J1541" s="15" t="s">
        <v>98</v>
      </c>
      <c r="K1541" s="15" t="s">
        <v>144</v>
      </c>
    </row>
    <row r="1542" customFormat="false" ht="14.25" hidden="false" customHeight="false" outlineLevel="0" collapsed="false">
      <c r="A1542" s="15" t="s">
        <v>2046</v>
      </c>
      <c r="B1542" s="16" t="n">
        <v>45358</v>
      </c>
      <c r="C1542" s="15" t="s">
        <v>1639</v>
      </c>
      <c r="D1542" s="15" t="s">
        <v>248</v>
      </c>
      <c r="E1542" s="15" t="s">
        <v>118</v>
      </c>
      <c r="F1542" s="17" t="n">
        <v>7</v>
      </c>
      <c r="G1542" s="17" t="n">
        <v>3640</v>
      </c>
      <c r="H1542" s="17" t="n">
        <v>14.4</v>
      </c>
      <c r="I1542" s="17" t="n">
        <v>21810.88</v>
      </c>
      <c r="J1542" s="15" t="s">
        <v>98</v>
      </c>
      <c r="K1542" s="15" t="s">
        <v>105</v>
      </c>
    </row>
    <row r="1543" customFormat="false" ht="14.25" hidden="false" customHeight="false" outlineLevel="0" collapsed="false">
      <c r="A1543" s="15" t="s">
        <v>2047</v>
      </c>
      <c r="B1543" s="16" t="n">
        <v>45385</v>
      </c>
      <c r="C1543" s="15" t="s">
        <v>913</v>
      </c>
      <c r="D1543" s="15" t="s">
        <v>172</v>
      </c>
      <c r="E1543" s="15" t="s">
        <v>314</v>
      </c>
      <c r="F1543" s="17" t="n">
        <v>9</v>
      </c>
      <c r="G1543" s="17" t="n">
        <v>3450</v>
      </c>
      <c r="H1543" s="17" t="n">
        <v>20.1</v>
      </c>
      <c r="I1543" s="17" t="n">
        <v>24808.95</v>
      </c>
      <c r="J1543" s="15" t="s">
        <v>98</v>
      </c>
      <c r="K1543" s="15" t="s">
        <v>123</v>
      </c>
    </row>
    <row r="1544" customFormat="false" ht="14.25" hidden="false" customHeight="false" outlineLevel="0" collapsed="false">
      <c r="A1544" s="15" t="s">
        <v>2048</v>
      </c>
      <c r="B1544" s="16" t="n">
        <v>45443</v>
      </c>
      <c r="C1544" s="15" t="s">
        <v>879</v>
      </c>
      <c r="D1544" s="15" t="s">
        <v>168</v>
      </c>
      <c r="E1544" s="15" t="s">
        <v>159</v>
      </c>
      <c r="F1544" s="17" t="n">
        <v>6</v>
      </c>
      <c r="G1544" s="17" t="n">
        <v>3450</v>
      </c>
      <c r="H1544" s="17" t="n">
        <v>19.9</v>
      </c>
      <c r="I1544" s="17" t="n">
        <v>16580.7</v>
      </c>
      <c r="J1544" s="15" t="s">
        <v>104</v>
      </c>
      <c r="K1544" s="15" t="s">
        <v>110</v>
      </c>
    </row>
    <row r="1545" customFormat="false" ht="14.25" hidden="false" customHeight="false" outlineLevel="0" collapsed="false">
      <c r="A1545" s="15" t="s">
        <v>2049</v>
      </c>
      <c r="B1545" s="16" t="n">
        <v>45599</v>
      </c>
      <c r="C1545" s="15" t="s">
        <v>192</v>
      </c>
      <c r="D1545" s="15" t="s">
        <v>397</v>
      </c>
      <c r="E1545" s="15" t="s">
        <v>296</v>
      </c>
      <c r="F1545" s="17" t="n">
        <v>4</v>
      </c>
      <c r="G1545" s="17" t="n">
        <v>2290</v>
      </c>
      <c r="H1545" s="17" t="n">
        <v>4.8</v>
      </c>
      <c r="I1545" s="17" t="n">
        <v>8720.32</v>
      </c>
      <c r="J1545" s="15" t="s">
        <v>104</v>
      </c>
      <c r="K1545" s="15" t="s">
        <v>110</v>
      </c>
    </row>
    <row r="1546" customFormat="false" ht="14.25" hidden="false" customHeight="false" outlineLevel="0" collapsed="false">
      <c r="A1546" s="15" t="s">
        <v>2050</v>
      </c>
      <c r="B1546" s="16" t="n">
        <v>45479</v>
      </c>
      <c r="C1546" s="15" t="s">
        <v>708</v>
      </c>
      <c r="D1546" s="15" t="s">
        <v>126</v>
      </c>
      <c r="E1546" s="15" t="s">
        <v>143</v>
      </c>
      <c r="F1546" s="17" t="n">
        <v>9</v>
      </c>
      <c r="G1546" s="17" t="n">
        <v>960</v>
      </c>
      <c r="H1546" s="17" t="n">
        <v>2.4</v>
      </c>
      <c r="I1546" s="17" t="n">
        <v>8432.64</v>
      </c>
      <c r="J1546" s="15" t="s">
        <v>98</v>
      </c>
      <c r="K1546" s="15" t="s">
        <v>144</v>
      </c>
    </row>
    <row r="1547" customFormat="false" ht="14.25" hidden="false" customHeight="false" outlineLevel="0" collapsed="false">
      <c r="A1547" s="15" t="s">
        <v>2051</v>
      </c>
      <c r="B1547" s="16" t="n">
        <v>45489</v>
      </c>
      <c r="C1547" s="15" t="s">
        <v>736</v>
      </c>
      <c r="D1547" s="15" t="s">
        <v>281</v>
      </c>
      <c r="E1547" s="15" t="s">
        <v>122</v>
      </c>
      <c r="F1547" s="17" t="n">
        <v>9</v>
      </c>
      <c r="G1547" s="17" t="n">
        <v>4610</v>
      </c>
      <c r="H1547" s="17" t="n">
        <v>21.3</v>
      </c>
      <c r="I1547" s="17" t="n">
        <v>32652.63</v>
      </c>
      <c r="J1547" s="15" t="s">
        <v>98</v>
      </c>
      <c r="K1547" s="15" t="s">
        <v>110</v>
      </c>
    </row>
    <row r="1548" customFormat="false" ht="14.25" hidden="false" customHeight="false" outlineLevel="0" collapsed="false">
      <c r="A1548" s="15" t="s">
        <v>2052</v>
      </c>
      <c r="B1548" s="16" t="n">
        <v>45514</v>
      </c>
      <c r="C1548" s="15" t="s">
        <v>1083</v>
      </c>
      <c r="D1548" s="15" t="s">
        <v>113</v>
      </c>
      <c r="E1548" s="15" t="s">
        <v>159</v>
      </c>
      <c r="F1548" s="17" t="n">
        <v>1</v>
      </c>
      <c r="G1548" s="17" t="n">
        <v>3660</v>
      </c>
      <c r="H1548" s="17" t="n">
        <v>15.6</v>
      </c>
      <c r="I1548" s="17" t="n">
        <v>3089.04</v>
      </c>
      <c r="J1548" s="15" t="s">
        <v>98</v>
      </c>
      <c r="K1548" s="15" t="s">
        <v>123</v>
      </c>
    </row>
    <row r="1549" customFormat="false" ht="14.25" hidden="false" customHeight="false" outlineLevel="0" collapsed="false">
      <c r="A1549" s="15" t="s">
        <v>2053</v>
      </c>
      <c r="B1549" s="16" t="n">
        <v>45653</v>
      </c>
      <c r="C1549" s="15" t="s">
        <v>316</v>
      </c>
      <c r="D1549" s="15" t="s">
        <v>290</v>
      </c>
      <c r="E1549" s="15" t="s">
        <v>336</v>
      </c>
      <c r="F1549" s="17" t="n">
        <v>5</v>
      </c>
      <c r="G1549" s="17" t="n">
        <v>2660</v>
      </c>
      <c r="H1549" s="17" t="n">
        <v>20.4</v>
      </c>
      <c r="I1549" s="17" t="n">
        <v>10586.8</v>
      </c>
      <c r="J1549" s="15" t="s">
        <v>98</v>
      </c>
      <c r="K1549" s="15" t="s">
        <v>144</v>
      </c>
    </row>
    <row r="1550" customFormat="false" ht="14.25" hidden="false" customHeight="false" outlineLevel="0" collapsed="false">
      <c r="A1550" s="15" t="s">
        <v>2054</v>
      </c>
      <c r="B1550" s="16" t="n">
        <v>45401</v>
      </c>
      <c r="C1550" s="15" t="s">
        <v>879</v>
      </c>
      <c r="D1550" s="15" t="s">
        <v>270</v>
      </c>
      <c r="E1550" s="15" t="s">
        <v>212</v>
      </c>
      <c r="F1550" s="17" t="n">
        <v>8</v>
      </c>
      <c r="G1550" s="17" t="n">
        <v>1540</v>
      </c>
      <c r="H1550" s="17" t="n">
        <v>0.5</v>
      </c>
      <c r="I1550" s="17" t="n">
        <v>12258.4</v>
      </c>
      <c r="J1550" s="15" t="s">
        <v>98</v>
      </c>
      <c r="K1550" s="15" t="s">
        <v>110</v>
      </c>
    </row>
    <row r="1551" customFormat="false" ht="14.25" hidden="false" customHeight="false" outlineLevel="0" collapsed="false">
      <c r="A1551" s="15" t="s">
        <v>2055</v>
      </c>
      <c r="B1551" s="16" t="n">
        <v>45621</v>
      </c>
      <c r="C1551" s="15" t="s">
        <v>518</v>
      </c>
      <c r="D1551" s="15" t="s">
        <v>419</v>
      </c>
      <c r="E1551" s="15" t="s">
        <v>150</v>
      </c>
      <c r="F1551" s="17" t="n">
        <v>4</v>
      </c>
      <c r="G1551" s="17" t="n">
        <v>3970</v>
      </c>
      <c r="H1551" s="17" t="n">
        <v>22.5</v>
      </c>
      <c r="I1551" s="17" t="n">
        <v>12307</v>
      </c>
      <c r="J1551" s="15" t="s">
        <v>98</v>
      </c>
      <c r="K1551" s="15" t="s">
        <v>99</v>
      </c>
    </row>
    <row r="1552" customFormat="false" ht="14.25" hidden="false" customHeight="false" outlineLevel="0" collapsed="false">
      <c r="A1552" s="15" t="s">
        <v>2056</v>
      </c>
      <c r="B1552" s="16" t="n">
        <v>45368</v>
      </c>
      <c r="C1552" s="15" t="s">
        <v>380</v>
      </c>
      <c r="D1552" s="15" t="s">
        <v>472</v>
      </c>
      <c r="E1552" s="15" t="s">
        <v>97</v>
      </c>
      <c r="F1552" s="17" t="n">
        <v>8</v>
      </c>
      <c r="G1552" s="17" t="n">
        <v>3780</v>
      </c>
      <c r="H1552" s="17" t="n">
        <v>3.8</v>
      </c>
      <c r="I1552" s="17" t="n">
        <v>29090.88</v>
      </c>
      <c r="J1552" s="15" t="s">
        <v>98</v>
      </c>
      <c r="K1552" s="15" t="s">
        <v>105</v>
      </c>
    </row>
    <row r="1553" customFormat="false" ht="14.25" hidden="false" customHeight="false" outlineLevel="0" collapsed="false">
      <c r="A1553" s="15" t="s">
        <v>2057</v>
      </c>
      <c r="B1553" s="16" t="n">
        <v>45550</v>
      </c>
      <c r="C1553" s="15" t="s">
        <v>405</v>
      </c>
      <c r="D1553" s="15" t="s">
        <v>256</v>
      </c>
      <c r="E1553" s="15" t="s">
        <v>150</v>
      </c>
      <c r="F1553" s="17" t="n">
        <v>4</v>
      </c>
      <c r="G1553" s="17" t="n">
        <v>2270</v>
      </c>
      <c r="H1553" s="17" t="n">
        <v>3.8</v>
      </c>
      <c r="I1553" s="17" t="n">
        <v>8734.96</v>
      </c>
      <c r="J1553" s="15" t="s">
        <v>151</v>
      </c>
      <c r="K1553" s="15" t="s">
        <v>128</v>
      </c>
    </row>
    <row r="1554" customFormat="false" ht="14.25" hidden="false" customHeight="false" outlineLevel="0" collapsed="false">
      <c r="A1554" s="15" t="s">
        <v>2058</v>
      </c>
      <c r="B1554" s="16" t="n">
        <v>45304</v>
      </c>
      <c r="C1554" s="15" t="s">
        <v>344</v>
      </c>
      <c r="D1554" s="15" t="s">
        <v>278</v>
      </c>
      <c r="E1554" s="15" t="s">
        <v>215</v>
      </c>
      <c r="F1554" s="17" t="n">
        <v>10</v>
      </c>
      <c r="G1554" s="17" t="n">
        <v>1220</v>
      </c>
      <c r="H1554" s="17" t="n">
        <v>19.5</v>
      </c>
      <c r="I1554" s="17" t="n">
        <v>9821</v>
      </c>
      <c r="J1554" s="15" t="s">
        <v>98</v>
      </c>
      <c r="K1554" s="15" t="s">
        <v>144</v>
      </c>
    </row>
    <row r="1555" customFormat="false" ht="14.25" hidden="false" customHeight="false" outlineLevel="0" collapsed="false">
      <c r="A1555" s="15" t="s">
        <v>2059</v>
      </c>
      <c r="B1555" s="16" t="n">
        <v>45321</v>
      </c>
      <c r="C1555" s="15" t="s">
        <v>310</v>
      </c>
      <c r="D1555" s="15" t="s">
        <v>190</v>
      </c>
      <c r="E1555" s="15" t="s">
        <v>199</v>
      </c>
      <c r="F1555" s="17" t="n">
        <v>10</v>
      </c>
      <c r="G1555" s="17" t="n">
        <v>3350</v>
      </c>
      <c r="H1555" s="17" t="n">
        <v>7.8</v>
      </c>
      <c r="I1555" s="17" t="n">
        <v>30887</v>
      </c>
      <c r="J1555" s="15" t="s">
        <v>98</v>
      </c>
      <c r="K1555" s="15" t="s">
        <v>144</v>
      </c>
    </row>
    <row r="1556" customFormat="false" ht="14.25" hidden="false" customHeight="false" outlineLevel="0" collapsed="false">
      <c r="A1556" s="15" t="s">
        <v>2060</v>
      </c>
      <c r="B1556" s="16" t="n">
        <v>45358</v>
      </c>
      <c r="C1556" s="15" t="s">
        <v>2061</v>
      </c>
      <c r="D1556" s="15" t="s">
        <v>190</v>
      </c>
      <c r="E1556" s="15" t="s">
        <v>181</v>
      </c>
      <c r="F1556" s="17" t="n">
        <v>7</v>
      </c>
      <c r="G1556" s="17" t="n">
        <v>3350</v>
      </c>
      <c r="H1556" s="17" t="n">
        <v>14.5</v>
      </c>
      <c r="I1556" s="17" t="n">
        <v>20049.75</v>
      </c>
      <c r="J1556" s="15" t="s">
        <v>98</v>
      </c>
      <c r="K1556" s="15" t="s">
        <v>128</v>
      </c>
    </row>
    <row r="1557" customFormat="false" ht="14.25" hidden="false" customHeight="false" outlineLevel="0" collapsed="false">
      <c r="A1557" s="15" t="s">
        <v>2062</v>
      </c>
      <c r="B1557" s="16" t="n">
        <v>45440</v>
      </c>
      <c r="C1557" s="15" t="s">
        <v>228</v>
      </c>
      <c r="D1557" s="15" t="s">
        <v>135</v>
      </c>
      <c r="E1557" s="15" t="s">
        <v>109</v>
      </c>
      <c r="F1557" s="17" t="n">
        <v>6</v>
      </c>
      <c r="G1557" s="17" t="n">
        <v>5490</v>
      </c>
      <c r="H1557" s="17" t="n">
        <v>8</v>
      </c>
      <c r="I1557" s="17" t="n">
        <v>30304.8</v>
      </c>
      <c r="J1557" s="15" t="s">
        <v>98</v>
      </c>
      <c r="K1557" s="15" t="s">
        <v>105</v>
      </c>
    </row>
    <row r="1558" customFormat="false" ht="14.25" hidden="false" customHeight="false" outlineLevel="0" collapsed="false">
      <c r="A1558" s="15" t="s">
        <v>2063</v>
      </c>
      <c r="B1558" s="16" t="n">
        <v>45618</v>
      </c>
      <c r="C1558" s="15" t="s">
        <v>2064</v>
      </c>
      <c r="D1558" s="15" t="s">
        <v>206</v>
      </c>
      <c r="E1558" s="15" t="s">
        <v>314</v>
      </c>
      <c r="F1558" s="17" t="n">
        <v>3</v>
      </c>
      <c r="G1558" s="17" t="n">
        <v>2860</v>
      </c>
      <c r="H1558" s="17" t="n">
        <v>19.9</v>
      </c>
      <c r="I1558" s="17" t="n">
        <v>6872.58</v>
      </c>
      <c r="J1558" s="15" t="s">
        <v>98</v>
      </c>
      <c r="K1558" s="15" t="s">
        <v>144</v>
      </c>
    </row>
    <row r="1559" customFormat="false" ht="14.25" hidden="false" customHeight="false" outlineLevel="0" collapsed="false">
      <c r="A1559" s="15" t="s">
        <v>2065</v>
      </c>
      <c r="B1559" s="16" t="n">
        <v>45295</v>
      </c>
      <c r="C1559" s="15" t="s">
        <v>728</v>
      </c>
      <c r="D1559" s="15" t="s">
        <v>146</v>
      </c>
      <c r="E1559" s="15" t="s">
        <v>127</v>
      </c>
      <c r="F1559" s="17" t="n">
        <v>3</v>
      </c>
      <c r="G1559" s="17" t="n">
        <v>2640</v>
      </c>
      <c r="H1559" s="17" t="n">
        <v>29.3</v>
      </c>
      <c r="I1559" s="17" t="n">
        <v>5599.44</v>
      </c>
      <c r="J1559" s="15" t="s">
        <v>98</v>
      </c>
      <c r="K1559" s="15" t="s">
        <v>105</v>
      </c>
    </row>
    <row r="1560" customFormat="false" ht="14.25" hidden="false" customHeight="false" outlineLevel="0" collapsed="false">
      <c r="A1560" s="15" t="s">
        <v>2066</v>
      </c>
      <c r="B1560" s="16" t="n">
        <v>45384</v>
      </c>
      <c r="C1560" s="15" t="s">
        <v>552</v>
      </c>
      <c r="D1560" s="15" t="s">
        <v>463</v>
      </c>
      <c r="E1560" s="15" t="s">
        <v>240</v>
      </c>
      <c r="F1560" s="17" t="n">
        <v>8</v>
      </c>
      <c r="G1560" s="17" t="n">
        <v>3450</v>
      </c>
      <c r="H1560" s="17" t="n">
        <v>15.2</v>
      </c>
      <c r="I1560" s="17" t="n">
        <v>23404.8</v>
      </c>
      <c r="J1560" s="15" t="s">
        <v>151</v>
      </c>
      <c r="K1560" s="15" t="s">
        <v>105</v>
      </c>
    </row>
    <row r="1561" customFormat="false" ht="14.25" hidden="false" customHeight="false" outlineLevel="0" collapsed="false">
      <c r="A1561" s="15" t="s">
        <v>2067</v>
      </c>
      <c r="B1561" s="16" t="n">
        <v>45349</v>
      </c>
      <c r="C1561" s="15" t="s">
        <v>879</v>
      </c>
      <c r="D1561" s="15" t="s">
        <v>121</v>
      </c>
      <c r="E1561" s="15" t="s">
        <v>122</v>
      </c>
      <c r="F1561" s="17" t="n">
        <v>6</v>
      </c>
      <c r="G1561" s="17" t="n">
        <v>370</v>
      </c>
      <c r="H1561" s="17" t="n">
        <v>7</v>
      </c>
      <c r="I1561" s="17" t="n">
        <v>2064.6</v>
      </c>
      <c r="J1561" s="15" t="s">
        <v>98</v>
      </c>
      <c r="K1561" s="15" t="s">
        <v>110</v>
      </c>
    </row>
    <row r="1562" customFormat="false" ht="14.25" hidden="false" customHeight="false" outlineLevel="0" collapsed="false">
      <c r="A1562" s="15" t="s">
        <v>2068</v>
      </c>
      <c r="B1562" s="16" t="n">
        <v>45439</v>
      </c>
      <c r="C1562" s="15" t="s">
        <v>361</v>
      </c>
      <c r="D1562" s="15" t="s">
        <v>362</v>
      </c>
      <c r="E1562" s="15" t="s">
        <v>240</v>
      </c>
      <c r="F1562" s="17" t="n">
        <v>10</v>
      </c>
      <c r="G1562" s="17" t="n">
        <v>4060</v>
      </c>
      <c r="H1562" s="17" t="n">
        <v>4.7</v>
      </c>
      <c r="I1562" s="17" t="n">
        <v>38691.8</v>
      </c>
      <c r="J1562" s="15" t="s">
        <v>151</v>
      </c>
      <c r="K1562" s="15" t="s">
        <v>123</v>
      </c>
    </row>
    <row r="1563" customFormat="false" ht="14.25" hidden="false" customHeight="false" outlineLevel="0" collapsed="false">
      <c r="A1563" s="15" t="s">
        <v>2069</v>
      </c>
      <c r="B1563" s="16" t="n">
        <v>45426</v>
      </c>
      <c r="C1563" s="15" t="s">
        <v>1049</v>
      </c>
      <c r="D1563" s="15" t="s">
        <v>259</v>
      </c>
      <c r="E1563" s="15" t="s">
        <v>127</v>
      </c>
      <c r="F1563" s="17" t="n">
        <v>1</v>
      </c>
      <c r="G1563" s="17" t="n">
        <v>3870</v>
      </c>
      <c r="H1563" s="17" t="n">
        <v>18.2</v>
      </c>
      <c r="I1563" s="17" t="n">
        <v>3165.66</v>
      </c>
      <c r="J1563" s="15" t="s">
        <v>104</v>
      </c>
      <c r="K1563" s="15" t="s">
        <v>128</v>
      </c>
    </row>
    <row r="1564" customFormat="false" ht="14.25" hidden="false" customHeight="false" outlineLevel="0" collapsed="false">
      <c r="A1564" s="15" t="s">
        <v>2070</v>
      </c>
      <c r="B1564" s="16" t="n">
        <v>45385</v>
      </c>
      <c r="C1564" s="15" t="s">
        <v>1107</v>
      </c>
      <c r="D1564" s="15" t="s">
        <v>375</v>
      </c>
      <c r="E1564" s="15" t="s">
        <v>114</v>
      </c>
      <c r="F1564" s="17" t="n">
        <v>1</v>
      </c>
      <c r="G1564" s="17" t="n">
        <v>5330</v>
      </c>
      <c r="H1564" s="17" t="n">
        <v>3.9</v>
      </c>
      <c r="I1564" s="17" t="n">
        <v>5122.13</v>
      </c>
      <c r="J1564" s="15" t="s">
        <v>155</v>
      </c>
      <c r="K1564" s="15" t="s">
        <v>99</v>
      </c>
    </row>
    <row r="1565" customFormat="false" ht="14.25" hidden="false" customHeight="false" outlineLevel="0" collapsed="false">
      <c r="A1565" s="15" t="s">
        <v>2071</v>
      </c>
      <c r="B1565" s="16" t="n">
        <v>45312</v>
      </c>
      <c r="C1565" s="15" t="s">
        <v>666</v>
      </c>
      <c r="D1565" s="15" t="s">
        <v>121</v>
      </c>
      <c r="E1565" s="15" t="s">
        <v>203</v>
      </c>
      <c r="F1565" s="17" t="n">
        <v>8</v>
      </c>
      <c r="G1565" s="17" t="n">
        <v>370</v>
      </c>
      <c r="H1565" s="17" t="n">
        <v>1.3</v>
      </c>
      <c r="I1565" s="17" t="n">
        <v>2921.52</v>
      </c>
      <c r="J1565" s="15" t="s">
        <v>98</v>
      </c>
      <c r="K1565" s="15" t="s">
        <v>144</v>
      </c>
    </row>
    <row r="1566" customFormat="false" ht="14.25" hidden="false" customHeight="false" outlineLevel="0" collapsed="false">
      <c r="A1566" s="15" t="s">
        <v>2072</v>
      </c>
      <c r="B1566" s="16" t="n">
        <v>45622</v>
      </c>
      <c r="C1566" s="15" t="s">
        <v>476</v>
      </c>
      <c r="D1566" s="15" t="s">
        <v>293</v>
      </c>
      <c r="E1566" s="15" t="s">
        <v>203</v>
      </c>
      <c r="F1566" s="17" t="n">
        <v>7</v>
      </c>
      <c r="G1566" s="17" t="n">
        <v>300</v>
      </c>
      <c r="H1566" s="17" t="n">
        <v>7.1</v>
      </c>
      <c r="I1566" s="17" t="n">
        <v>1950.9</v>
      </c>
      <c r="J1566" s="15" t="s">
        <v>98</v>
      </c>
      <c r="K1566" s="15" t="s">
        <v>123</v>
      </c>
    </row>
    <row r="1567" customFormat="false" ht="14.25" hidden="false" customHeight="false" outlineLevel="0" collapsed="false">
      <c r="A1567" s="15" t="s">
        <v>2073</v>
      </c>
      <c r="B1567" s="16" t="n">
        <v>45508</v>
      </c>
      <c r="C1567" s="15" t="s">
        <v>626</v>
      </c>
      <c r="D1567" s="15" t="s">
        <v>190</v>
      </c>
      <c r="E1567" s="15" t="s">
        <v>336</v>
      </c>
      <c r="F1567" s="17" t="n">
        <v>8</v>
      </c>
      <c r="G1567" s="17" t="n">
        <v>3350</v>
      </c>
      <c r="H1567" s="17" t="n">
        <v>11.2</v>
      </c>
      <c r="I1567" s="17" t="n">
        <v>23798.4</v>
      </c>
      <c r="J1567" s="15" t="s">
        <v>98</v>
      </c>
      <c r="K1567" s="15" t="s">
        <v>123</v>
      </c>
    </row>
    <row r="1568" customFormat="false" ht="14.25" hidden="false" customHeight="false" outlineLevel="0" collapsed="false">
      <c r="A1568" s="15" t="s">
        <v>2074</v>
      </c>
      <c r="B1568" s="16" t="n">
        <v>45528</v>
      </c>
      <c r="C1568" s="15" t="s">
        <v>1319</v>
      </c>
      <c r="D1568" s="15" t="s">
        <v>526</v>
      </c>
      <c r="E1568" s="15" t="s">
        <v>215</v>
      </c>
      <c r="F1568" s="17" t="n">
        <v>6</v>
      </c>
      <c r="G1568" s="17" t="n">
        <v>6940</v>
      </c>
      <c r="H1568" s="17" t="n">
        <v>0.3</v>
      </c>
      <c r="I1568" s="17" t="n">
        <v>41515.08</v>
      </c>
      <c r="J1568" s="15" t="s">
        <v>98</v>
      </c>
      <c r="K1568" s="15" t="s">
        <v>105</v>
      </c>
    </row>
    <row r="1569" customFormat="false" ht="14.25" hidden="false" customHeight="false" outlineLevel="0" collapsed="false">
      <c r="A1569" s="15" t="s">
        <v>2075</v>
      </c>
      <c r="B1569" s="16" t="n">
        <v>45483</v>
      </c>
      <c r="C1569" s="15" t="s">
        <v>763</v>
      </c>
      <c r="D1569" s="15" t="s">
        <v>391</v>
      </c>
      <c r="E1569" s="15" t="s">
        <v>118</v>
      </c>
      <c r="F1569" s="17" t="n">
        <v>10</v>
      </c>
      <c r="G1569" s="17" t="n">
        <v>960</v>
      </c>
      <c r="H1569" s="17" t="n">
        <v>9.3</v>
      </c>
      <c r="I1569" s="17" t="n">
        <v>8707.2</v>
      </c>
      <c r="J1569" s="15" t="s">
        <v>151</v>
      </c>
      <c r="K1569" s="15" t="s">
        <v>128</v>
      </c>
    </row>
    <row r="1570" customFormat="false" ht="14.25" hidden="false" customHeight="false" outlineLevel="0" collapsed="false">
      <c r="A1570" s="15" t="s">
        <v>2076</v>
      </c>
      <c r="B1570" s="16" t="n">
        <v>45625</v>
      </c>
      <c r="C1570" s="15" t="s">
        <v>1361</v>
      </c>
      <c r="D1570" s="15" t="s">
        <v>211</v>
      </c>
      <c r="E1570" s="15" t="s">
        <v>169</v>
      </c>
      <c r="F1570" s="17" t="n">
        <v>10</v>
      </c>
      <c r="G1570" s="17" t="n">
        <v>2760</v>
      </c>
      <c r="H1570" s="17" t="n">
        <v>17.2</v>
      </c>
      <c r="I1570" s="17" t="n">
        <v>22852.8</v>
      </c>
      <c r="J1570" s="15" t="s">
        <v>98</v>
      </c>
      <c r="K1570" s="15" t="s">
        <v>123</v>
      </c>
    </row>
    <row r="1571" customFormat="false" ht="14.25" hidden="false" customHeight="false" outlineLevel="0" collapsed="false">
      <c r="A1571" s="15" t="s">
        <v>2077</v>
      </c>
      <c r="B1571" s="16" t="n">
        <v>45358</v>
      </c>
      <c r="C1571" s="15" t="s">
        <v>242</v>
      </c>
      <c r="D1571" s="15" t="s">
        <v>142</v>
      </c>
      <c r="E1571" s="15" t="s">
        <v>212</v>
      </c>
      <c r="F1571" s="17" t="n">
        <v>4</v>
      </c>
      <c r="G1571" s="17" t="n">
        <v>2270</v>
      </c>
      <c r="H1571" s="17" t="n">
        <v>26.8</v>
      </c>
      <c r="I1571" s="17" t="n">
        <v>6646.56</v>
      </c>
      <c r="J1571" s="15" t="s">
        <v>98</v>
      </c>
      <c r="K1571" s="15" t="s">
        <v>128</v>
      </c>
    </row>
    <row r="1572" customFormat="false" ht="14.25" hidden="false" customHeight="false" outlineLevel="0" collapsed="false">
      <c r="A1572" s="15" t="s">
        <v>2078</v>
      </c>
      <c r="B1572" s="16" t="n">
        <v>45342</v>
      </c>
      <c r="C1572" s="15" t="s">
        <v>429</v>
      </c>
      <c r="D1572" s="15" t="s">
        <v>149</v>
      </c>
      <c r="E1572" s="15" t="s">
        <v>169</v>
      </c>
      <c r="F1572" s="17" t="n">
        <v>2</v>
      </c>
      <c r="G1572" s="17" t="n">
        <v>2600</v>
      </c>
      <c r="H1572" s="17" t="n">
        <v>27</v>
      </c>
      <c r="I1572" s="17" t="n">
        <v>3796</v>
      </c>
      <c r="J1572" s="15" t="s">
        <v>98</v>
      </c>
      <c r="K1572" s="15" t="s">
        <v>144</v>
      </c>
    </row>
    <row r="1573" customFormat="false" ht="14.25" hidden="false" customHeight="false" outlineLevel="0" collapsed="false">
      <c r="A1573" s="15" t="s">
        <v>2079</v>
      </c>
      <c r="B1573" s="16" t="n">
        <v>45304</v>
      </c>
      <c r="C1573" s="15" t="s">
        <v>994</v>
      </c>
      <c r="D1573" s="15" t="s">
        <v>198</v>
      </c>
      <c r="E1573" s="15" t="s">
        <v>127</v>
      </c>
      <c r="F1573" s="17" t="n">
        <v>4</v>
      </c>
      <c r="G1573" s="17" t="n">
        <v>3570</v>
      </c>
      <c r="H1573" s="17" t="n">
        <v>12.3</v>
      </c>
      <c r="I1573" s="17" t="n">
        <v>12523.56</v>
      </c>
      <c r="J1573" s="15" t="s">
        <v>98</v>
      </c>
      <c r="K1573" s="15" t="s">
        <v>128</v>
      </c>
    </row>
    <row r="1574" customFormat="false" ht="14.25" hidden="false" customHeight="false" outlineLevel="0" collapsed="false">
      <c r="A1574" s="15" t="s">
        <v>2080</v>
      </c>
      <c r="B1574" s="16" t="n">
        <v>45316</v>
      </c>
      <c r="C1574" s="15" t="s">
        <v>564</v>
      </c>
      <c r="D1574" s="15" t="s">
        <v>454</v>
      </c>
      <c r="E1574" s="15" t="s">
        <v>357</v>
      </c>
      <c r="F1574" s="17" t="n">
        <v>5</v>
      </c>
      <c r="G1574" s="17" t="n">
        <v>5080</v>
      </c>
      <c r="H1574" s="17" t="n">
        <v>1.3</v>
      </c>
      <c r="I1574" s="17" t="n">
        <v>25069.8</v>
      </c>
      <c r="J1574" s="15" t="s">
        <v>98</v>
      </c>
      <c r="K1574" s="15" t="s">
        <v>123</v>
      </c>
    </row>
    <row r="1575" customFormat="false" ht="14.25" hidden="false" customHeight="false" outlineLevel="0" collapsed="false">
      <c r="A1575" s="15" t="s">
        <v>2081</v>
      </c>
      <c r="B1575" s="16" t="n">
        <v>45340</v>
      </c>
      <c r="C1575" s="15" t="s">
        <v>981</v>
      </c>
      <c r="D1575" s="15" t="s">
        <v>391</v>
      </c>
      <c r="E1575" s="15" t="s">
        <v>357</v>
      </c>
      <c r="F1575" s="17" t="n">
        <v>5</v>
      </c>
      <c r="G1575" s="17" t="n">
        <v>960</v>
      </c>
      <c r="H1575" s="17" t="n">
        <v>25.2</v>
      </c>
      <c r="I1575" s="17" t="n">
        <v>3590.4</v>
      </c>
      <c r="J1575" s="15" t="s">
        <v>98</v>
      </c>
      <c r="K1575" s="15" t="s">
        <v>123</v>
      </c>
    </row>
    <row r="1576" customFormat="false" ht="14.25" hidden="false" customHeight="false" outlineLevel="0" collapsed="false">
      <c r="A1576" s="15" t="s">
        <v>2082</v>
      </c>
      <c r="B1576" s="16" t="n">
        <v>45604</v>
      </c>
      <c r="C1576" s="15" t="s">
        <v>889</v>
      </c>
      <c r="D1576" s="15" t="s">
        <v>108</v>
      </c>
      <c r="E1576" s="15" t="s">
        <v>143</v>
      </c>
      <c r="F1576" s="17" t="n">
        <v>7</v>
      </c>
      <c r="G1576" s="17" t="n">
        <v>470</v>
      </c>
      <c r="H1576" s="17" t="n">
        <v>21.6</v>
      </c>
      <c r="I1576" s="17" t="n">
        <v>2579.36</v>
      </c>
      <c r="J1576" s="15" t="s">
        <v>98</v>
      </c>
      <c r="K1576" s="15" t="s">
        <v>123</v>
      </c>
    </row>
    <row r="1577" customFormat="false" ht="14.25" hidden="false" customHeight="false" outlineLevel="0" collapsed="false">
      <c r="A1577" s="15" t="s">
        <v>2083</v>
      </c>
      <c r="B1577" s="16" t="n">
        <v>45625</v>
      </c>
      <c r="C1577" s="15" t="s">
        <v>716</v>
      </c>
      <c r="D1577" s="15" t="s">
        <v>278</v>
      </c>
      <c r="E1577" s="15" t="s">
        <v>354</v>
      </c>
      <c r="F1577" s="17" t="n">
        <v>4</v>
      </c>
      <c r="G1577" s="17" t="n">
        <v>1220</v>
      </c>
      <c r="H1577" s="17" t="n">
        <v>12.6</v>
      </c>
      <c r="I1577" s="17" t="n">
        <v>4265.12</v>
      </c>
      <c r="J1577" s="15" t="s">
        <v>98</v>
      </c>
      <c r="K1577" s="15" t="s">
        <v>110</v>
      </c>
    </row>
    <row r="1578" customFormat="false" ht="14.25" hidden="false" customHeight="false" outlineLevel="0" collapsed="false">
      <c r="A1578" s="15" t="s">
        <v>2084</v>
      </c>
      <c r="B1578" s="16" t="n">
        <v>45293</v>
      </c>
      <c r="C1578" s="15" t="s">
        <v>624</v>
      </c>
      <c r="D1578" s="15" t="s">
        <v>193</v>
      </c>
      <c r="E1578" s="15" t="s">
        <v>118</v>
      </c>
      <c r="F1578" s="17" t="n">
        <v>4</v>
      </c>
      <c r="G1578" s="17" t="n">
        <v>1010</v>
      </c>
      <c r="H1578" s="17" t="n">
        <v>11.3</v>
      </c>
      <c r="I1578" s="17" t="n">
        <v>3583.48</v>
      </c>
      <c r="J1578" s="15" t="s">
        <v>98</v>
      </c>
      <c r="K1578" s="15" t="s">
        <v>123</v>
      </c>
    </row>
    <row r="1579" customFormat="false" ht="14.25" hidden="false" customHeight="false" outlineLevel="0" collapsed="false">
      <c r="A1579" s="15" t="s">
        <v>2085</v>
      </c>
      <c r="B1579" s="16" t="n">
        <v>45454</v>
      </c>
      <c r="C1579" s="15" t="s">
        <v>344</v>
      </c>
      <c r="D1579" s="15" t="s">
        <v>113</v>
      </c>
      <c r="E1579" s="15" t="s">
        <v>103</v>
      </c>
      <c r="F1579" s="17" t="n">
        <v>4</v>
      </c>
      <c r="G1579" s="17" t="n">
        <v>3660</v>
      </c>
      <c r="H1579" s="17" t="n">
        <v>7.2</v>
      </c>
      <c r="I1579" s="17" t="n">
        <v>13585.92</v>
      </c>
      <c r="J1579" s="15" t="s">
        <v>98</v>
      </c>
      <c r="K1579" s="15" t="s">
        <v>144</v>
      </c>
    </row>
    <row r="1580" customFormat="false" ht="14.25" hidden="false" customHeight="false" outlineLevel="0" collapsed="false">
      <c r="A1580" s="15" t="s">
        <v>2086</v>
      </c>
      <c r="B1580" s="16" t="n">
        <v>45345</v>
      </c>
      <c r="C1580" s="15" t="s">
        <v>806</v>
      </c>
      <c r="D1580" s="15" t="s">
        <v>135</v>
      </c>
      <c r="E1580" s="15" t="s">
        <v>143</v>
      </c>
      <c r="F1580" s="17" t="n">
        <v>4</v>
      </c>
      <c r="G1580" s="17" t="n">
        <v>5490</v>
      </c>
      <c r="H1580" s="17" t="n">
        <v>8</v>
      </c>
      <c r="I1580" s="17" t="n">
        <v>20203.2</v>
      </c>
      <c r="J1580" s="15" t="s">
        <v>98</v>
      </c>
      <c r="K1580" s="15" t="s">
        <v>105</v>
      </c>
    </row>
    <row r="1581" customFormat="false" ht="14.25" hidden="false" customHeight="false" outlineLevel="0" collapsed="false">
      <c r="A1581" s="15" t="s">
        <v>2087</v>
      </c>
      <c r="B1581" s="16" t="n">
        <v>45645</v>
      </c>
      <c r="C1581" s="15" t="s">
        <v>438</v>
      </c>
      <c r="D1581" s="15" t="s">
        <v>256</v>
      </c>
      <c r="E1581" s="15" t="s">
        <v>159</v>
      </c>
      <c r="F1581" s="17" t="n">
        <v>6</v>
      </c>
      <c r="G1581" s="17" t="n">
        <v>2270</v>
      </c>
      <c r="H1581" s="17" t="n">
        <v>17.1</v>
      </c>
      <c r="I1581" s="17" t="n">
        <v>11290.98</v>
      </c>
      <c r="J1581" s="15" t="s">
        <v>98</v>
      </c>
      <c r="K1581" s="15" t="s">
        <v>99</v>
      </c>
    </row>
    <row r="1582" customFormat="false" ht="14.25" hidden="false" customHeight="false" outlineLevel="0" collapsed="false">
      <c r="A1582" s="15" t="s">
        <v>2088</v>
      </c>
      <c r="B1582" s="16" t="n">
        <v>45588</v>
      </c>
      <c r="C1582" s="15" t="s">
        <v>292</v>
      </c>
      <c r="D1582" s="15" t="s">
        <v>256</v>
      </c>
      <c r="E1582" s="15" t="s">
        <v>199</v>
      </c>
      <c r="F1582" s="17" t="n">
        <v>8</v>
      </c>
      <c r="G1582" s="17" t="n">
        <v>2270</v>
      </c>
      <c r="H1582" s="17" t="n">
        <v>11.9</v>
      </c>
      <c r="I1582" s="17" t="n">
        <v>15998.96</v>
      </c>
      <c r="J1582" s="15" t="s">
        <v>104</v>
      </c>
      <c r="K1582" s="15" t="s">
        <v>99</v>
      </c>
    </row>
    <row r="1583" customFormat="false" ht="14.25" hidden="false" customHeight="false" outlineLevel="0" collapsed="false">
      <c r="A1583" s="15" t="s">
        <v>2089</v>
      </c>
      <c r="B1583" s="16" t="n">
        <v>45592</v>
      </c>
      <c r="C1583" s="15" t="s">
        <v>327</v>
      </c>
      <c r="D1583" s="15" t="s">
        <v>149</v>
      </c>
      <c r="E1583" s="15" t="s">
        <v>314</v>
      </c>
      <c r="F1583" s="17" t="n">
        <v>6</v>
      </c>
      <c r="G1583" s="17" t="n">
        <v>2600</v>
      </c>
      <c r="H1583" s="17" t="n">
        <v>5.1</v>
      </c>
      <c r="I1583" s="17" t="n">
        <v>14804.4</v>
      </c>
      <c r="J1583" s="15" t="s">
        <v>98</v>
      </c>
      <c r="K1583" s="15" t="s">
        <v>99</v>
      </c>
    </row>
    <row r="1584" customFormat="false" ht="14.25" hidden="false" customHeight="false" outlineLevel="0" collapsed="false">
      <c r="A1584" s="15" t="s">
        <v>2090</v>
      </c>
      <c r="B1584" s="16" t="n">
        <v>45403</v>
      </c>
      <c r="C1584" s="15" t="s">
        <v>180</v>
      </c>
      <c r="D1584" s="15" t="s">
        <v>259</v>
      </c>
      <c r="E1584" s="15" t="s">
        <v>354</v>
      </c>
      <c r="F1584" s="17" t="n">
        <v>9</v>
      </c>
      <c r="G1584" s="17" t="n">
        <v>3870</v>
      </c>
      <c r="H1584" s="17" t="n">
        <v>1.8</v>
      </c>
      <c r="I1584" s="17" t="n">
        <v>34203.06</v>
      </c>
      <c r="J1584" s="15" t="s">
        <v>151</v>
      </c>
      <c r="K1584" s="15" t="s">
        <v>123</v>
      </c>
    </row>
    <row r="1585" customFormat="false" ht="14.25" hidden="false" customHeight="false" outlineLevel="0" collapsed="false">
      <c r="A1585" s="15" t="s">
        <v>2091</v>
      </c>
      <c r="B1585" s="16" t="n">
        <v>45459</v>
      </c>
      <c r="C1585" s="15" t="s">
        <v>418</v>
      </c>
      <c r="D1585" s="15" t="s">
        <v>419</v>
      </c>
      <c r="E1585" s="15" t="s">
        <v>114</v>
      </c>
      <c r="F1585" s="17" t="n">
        <v>3</v>
      </c>
      <c r="G1585" s="17" t="n">
        <v>3970</v>
      </c>
      <c r="H1585" s="17" t="n">
        <v>8.2</v>
      </c>
      <c r="I1585" s="17" t="n">
        <v>10933.38</v>
      </c>
      <c r="J1585" s="15" t="s">
        <v>98</v>
      </c>
      <c r="K1585" s="15" t="s">
        <v>99</v>
      </c>
    </row>
    <row r="1586" customFormat="false" ht="14.25" hidden="false" customHeight="false" outlineLevel="0" collapsed="false">
      <c r="A1586" s="15" t="s">
        <v>2092</v>
      </c>
      <c r="B1586" s="16" t="n">
        <v>45438</v>
      </c>
      <c r="C1586" s="15" t="s">
        <v>295</v>
      </c>
      <c r="D1586" s="15" t="s">
        <v>391</v>
      </c>
      <c r="E1586" s="15" t="s">
        <v>139</v>
      </c>
      <c r="F1586" s="17" t="n">
        <v>9</v>
      </c>
      <c r="G1586" s="17" t="n">
        <v>960</v>
      </c>
      <c r="H1586" s="17" t="n">
        <v>21.7</v>
      </c>
      <c r="I1586" s="17" t="n">
        <v>6765.12</v>
      </c>
      <c r="J1586" s="15" t="s">
        <v>151</v>
      </c>
      <c r="K1586" s="15" t="s">
        <v>105</v>
      </c>
    </row>
    <row r="1587" customFormat="false" ht="14.25" hidden="false" customHeight="false" outlineLevel="0" collapsed="false">
      <c r="A1587" s="15" t="s">
        <v>2093</v>
      </c>
      <c r="B1587" s="16" t="n">
        <v>45632</v>
      </c>
      <c r="C1587" s="15" t="s">
        <v>808</v>
      </c>
      <c r="D1587" s="15" t="s">
        <v>371</v>
      </c>
      <c r="E1587" s="15" t="s">
        <v>122</v>
      </c>
      <c r="F1587" s="17" t="n">
        <v>3</v>
      </c>
      <c r="G1587" s="17" t="n">
        <v>5410</v>
      </c>
      <c r="H1587" s="17" t="n">
        <v>20.3</v>
      </c>
      <c r="I1587" s="17" t="n">
        <v>12935.31</v>
      </c>
      <c r="J1587" s="15" t="s">
        <v>98</v>
      </c>
      <c r="K1587" s="15" t="s">
        <v>110</v>
      </c>
    </row>
    <row r="1588" customFormat="false" ht="14.25" hidden="false" customHeight="false" outlineLevel="0" collapsed="false">
      <c r="A1588" s="15" t="s">
        <v>2094</v>
      </c>
      <c r="B1588" s="16" t="n">
        <v>45579</v>
      </c>
      <c r="C1588" s="15" t="s">
        <v>897</v>
      </c>
      <c r="D1588" s="15" t="s">
        <v>463</v>
      </c>
      <c r="E1588" s="15" t="s">
        <v>103</v>
      </c>
      <c r="F1588" s="17" t="n">
        <v>3</v>
      </c>
      <c r="G1588" s="17" t="n">
        <v>3450</v>
      </c>
      <c r="H1588" s="17" t="n">
        <v>11.6</v>
      </c>
      <c r="I1588" s="17" t="n">
        <v>9149.4</v>
      </c>
      <c r="J1588" s="15" t="s">
        <v>98</v>
      </c>
      <c r="K1588" s="15" t="s">
        <v>105</v>
      </c>
    </row>
    <row r="1589" customFormat="false" ht="14.25" hidden="false" customHeight="false" outlineLevel="0" collapsed="false">
      <c r="A1589" s="15" t="s">
        <v>2095</v>
      </c>
      <c r="B1589" s="16" t="n">
        <v>45392</v>
      </c>
      <c r="C1589" s="15" t="s">
        <v>234</v>
      </c>
      <c r="D1589" s="15" t="s">
        <v>287</v>
      </c>
      <c r="E1589" s="15" t="s">
        <v>118</v>
      </c>
      <c r="F1589" s="17" t="n">
        <v>2</v>
      </c>
      <c r="G1589" s="17" t="n">
        <v>3020</v>
      </c>
      <c r="H1589" s="17" t="n">
        <v>20.8</v>
      </c>
      <c r="I1589" s="17" t="n">
        <v>4783.68</v>
      </c>
      <c r="J1589" s="15" t="s">
        <v>104</v>
      </c>
      <c r="K1589" s="15" t="s">
        <v>110</v>
      </c>
    </row>
    <row r="1590" customFormat="false" ht="14.25" hidden="false" customHeight="false" outlineLevel="0" collapsed="false">
      <c r="A1590" s="15" t="s">
        <v>2096</v>
      </c>
      <c r="B1590" s="16" t="n">
        <v>45563</v>
      </c>
      <c r="C1590" s="15" t="s">
        <v>1073</v>
      </c>
      <c r="D1590" s="15" t="s">
        <v>158</v>
      </c>
      <c r="E1590" s="15" t="s">
        <v>308</v>
      </c>
      <c r="F1590" s="17" t="n">
        <v>3</v>
      </c>
      <c r="G1590" s="17" t="n">
        <v>190</v>
      </c>
      <c r="H1590" s="17" t="n">
        <v>10.7</v>
      </c>
      <c r="I1590" s="17" t="n">
        <v>509.01</v>
      </c>
      <c r="J1590" s="15" t="s">
        <v>98</v>
      </c>
      <c r="K1590" s="15" t="s">
        <v>123</v>
      </c>
    </row>
    <row r="1591" customFormat="false" ht="14.25" hidden="false" customHeight="false" outlineLevel="0" collapsed="false">
      <c r="A1591" s="15" t="s">
        <v>2097</v>
      </c>
      <c r="B1591" s="16" t="n">
        <v>45294</v>
      </c>
      <c r="C1591" s="15" t="s">
        <v>205</v>
      </c>
      <c r="D1591" s="15" t="s">
        <v>237</v>
      </c>
      <c r="E1591" s="15" t="s">
        <v>336</v>
      </c>
      <c r="F1591" s="17" t="n">
        <v>4</v>
      </c>
      <c r="G1591" s="17" t="n">
        <v>3730</v>
      </c>
      <c r="H1591" s="17" t="n">
        <v>6.9</v>
      </c>
      <c r="I1591" s="17" t="n">
        <v>13890.52</v>
      </c>
      <c r="J1591" s="15" t="s">
        <v>98</v>
      </c>
      <c r="K1591" s="15" t="s">
        <v>99</v>
      </c>
    </row>
    <row r="1592" customFormat="false" ht="14.25" hidden="false" customHeight="false" outlineLevel="0" collapsed="false">
      <c r="A1592" s="15" t="s">
        <v>2098</v>
      </c>
      <c r="B1592" s="16" t="n">
        <v>45503</v>
      </c>
      <c r="C1592" s="15" t="s">
        <v>1038</v>
      </c>
      <c r="D1592" s="15" t="s">
        <v>172</v>
      </c>
      <c r="E1592" s="15" t="s">
        <v>122</v>
      </c>
      <c r="F1592" s="17" t="n">
        <v>9</v>
      </c>
      <c r="G1592" s="17" t="n">
        <v>3450</v>
      </c>
      <c r="H1592" s="17" t="n">
        <v>22.2</v>
      </c>
      <c r="I1592" s="17" t="n">
        <v>24156.9</v>
      </c>
      <c r="J1592" s="15" t="s">
        <v>151</v>
      </c>
      <c r="K1592" s="15" t="s">
        <v>123</v>
      </c>
    </row>
    <row r="1593" customFormat="false" ht="14.25" hidden="false" customHeight="false" outlineLevel="0" collapsed="false">
      <c r="A1593" s="15" t="s">
        <v>2099</v>
      </c>
      <c r="B1593" s="16" t="n">
        <v>45336</v>
      </c>
      <c r="C1593" s="15" t="s">
        <v>515</v>
      </c>
      <c r="D1593" s="15" t="s">
        <v>419</v>
      </c>
      <c r="E1593" s="15" t="s">
        <v>308</v>
      </c>
      <c r="F1593" s="17" t="n">
        <v>3</v>
      </c>
      <c r="G1593" s="17" t="n">
        <v>3970</v>
      </c>
      <c r="H1593" s="17" t="n">
        <v>6.8</v>
      </c>
      <c r="I1593" s="17" t="n">
        <v>11100.12</v>
      </c>
      <c r="J1593" s="15" t="s">
        <v>98</v>
      </c>
      <c r="K1593" s="15" t="s">
        <v>128</v>
      </c>
    </row>
    <row r="1594" customFormat="false" ht="14.25" hidden="false" customHeight="false" outlineLevel="0" collapsed="false">
      <c r="A1594" s="15" t="s">
        <v>2100</v>
      </c>
      <c r="B1594" s="16" t="n">
        <v>45462</v>
      </c>
      <c r="C1594" s="15" t="s">
        <v>617</v>
      </c>
      <c r="D1594" s="15" t="s">
        <v>513</v>
      </c>
      <c r="E1594" s="15" t="s">
        <v>296</v>
      </c>
      <c r="F1594" s="17" t="n">
        <v>3</v>
      </c>
      <c r="G1594" s="17" t="n">
        <v>1090</v>
      </c>
      <c r="H1594" s="17" t="n">
        <v>23.7</v>
      </c>
      <c r="I1594" s="17" t="n">
        <v>2495.01</v>
      </c>
      <c r="J1594" s="15" t="s">
        <v>98</v>
      </c>
      <c r="K1594" s="15" t="s">
        <v>123</v>
      </c>
    </row>
    <row r="1595" customFormat="false" ht="14.25" hidden="false" customHeight="false" outlineLevel="0" collapsed="false">
      <c r="A1595" s="15" t="s">
        <v>2101</v>
      </c>
      <c r="B1595" s="16" t="n">
        <v>45300</v>
      </c>
      <c r="C1595" s="15" t="s">
        <v>490</v>
      </c>
      <c r="D1595" s="15" t="s">
        <v>306</v>
      </c>
      <c r="E1595" s="15" t="s">
        <v>165</v>
      </c>
      <c r="F1595" s="17" t="n">
        <v>3</v>
      </c>
      <c r="G1595" s="17" t="n">
        <v>2030</v>
      </c>
      <c r="H1595" s="17" t="n">
        <v>18.8</v>
      </c>
      <c r="I1595" s="17" t="n">
        <v>4945.08</v>
      </c>
      <c r="J1595" s="15" t="s">
        <v>98</v>
      </c>
      <c r="K1595" s="15" t="s">
        <v>99</v>
      </c>
    </row>
    <row r="1596" customFormat="false" ht="14.25" hidden="false" customHeight="false" outlineLevel="0" collapsed="false">
      <c r="A1596" s="15" t="s">
        <v>2102</v>
      </c>
      <c r="B1596" s="16" t="n">
        <v>45367</v>
      </c>
      <c r="C1596" s="15" t="s">
        <v>632</v>
      </c>
      <c r="D1596" s="15" t="s">
        <v>275</v>
      </c>
      <c r="E1596" s="15" t="s">
        <v>118</v>
      </c>
      <c r="F1596" s="17" t="n">
        <v>2</v>
      </c>
      <c r="G1596" s="17" t="n">
        <v>4070</v>
      </c>
      <c r="H1596" s="17" t="n">
        <v>14.3</v>
      </c>
      <c r="I1596" s="17" t="n">
        <v>6975.98</v>
      </c>
      <c r="J1596" s="15" t="s">
        <v>98</v>
      </c>
      <c r="K1596" s="15" t="s">
        <v>2103</v>
      </c>
    </row>
    <row r="1597" customFormat="false" ht="14.25" hidden="false" customHeight="false" outlineLevel="0" collapsed="false">
      <c r="A1597" s="15" t="s">
        <v>2104</v>
      </c>
      <c r="B1597" s="16" t="n">
        <v>45410</v>
      </c>
      <c r="C1597" s="15" t="s">
        <v>1191</v>
      </c>
      <c r="D1597" s="15" t="s">
        <v>96</v>
      </c>
      <c r="E1597" s="15" t="s">
        <v>139</v>
      </c>
      <c r="F1597" s="17" t="n">
        <v>3</v>
      </c>
      <c r="G1597" s="17" t="n">
        <v>3620</v>
      </c>
      <c r="H1597" s="17" t="n">
        <v>13.5</v>
      </c>
      <c r="I1597" s="17" t="n">
        <v>9393.9</v>
      </c>
      <c r="J1597" s="15" t="s">
        <v>98</v>
      </c>
      <c r="K1597" s="15" t="s">
        <v>105</v>
      </c>
    </row>
    <row r="1598" customFormat="false" ht="14.25" hidden="false" customHeight="false" outlineLevel="0" collapsed="false">
      <c r="A1598" s="15" t="s">
        <v>2105</v>
      </c>
      <c r="B1598" s="16" t="n">
        <v>45623</v>
      </c>
      <c r="C1598" s="15" t="s">
        <v>796</v>
      </c>
      <c r="D1598" s="15" t="s">
        <v>193</v>
      </c>
      <c r="E1598" s="15" t="s">
        <v>226</v>
      </c>
      <c r="F1598" s="17" t="n">
        <v>4</v>
      </c>
      <c r="G1598" s="17" t="n">
        <v>1010</v>
      </c>
      <c r="H1598" s="17" t="n">
        <v>3.3</v>
      </c>
      <c r="I1598" s="17" t="n">
        <v>3906.68</v>
      </c>
      <c r="J1598" s="15" t="s">
        <v>98</v>
      </c>
      <c r="K1598" s="15" t="s">
        <v>99</v>
      </c>
    </row>
    <row r="1599" customFormat="false" ht="14.25" hidden="false" customHeight="false" outlineLevel="0" collapsed="false">
      <c r="A1599" s="15" t="s">
        <v>2106</v>
      </c>
      <c r="B1599" s="16" t="n">
        <v>45491</v>
      </c>
      <c r="C1599" s="15" t="s">
        <v>368</v>
      </c>
      <c r="D1599" s="15" t="s">
        <v>138</v>
      </c>
      <c r="E1599" s="15" t="s">
        <v>103</v>
      </c>
      <c r="F1599" s="17" t="n">
        <v>7</v>
      </c>
      <c r="G1599" s="17" t="n">
        <v>970</v>
      </c>
      <c r="H1599" s="17" t="n">
        <v>0.1</v>
      </c>
      <c r="I1599" s="17" t="n">
        <v>6783.21</v>
      </c>
      <c r="J1599" s="15" t="s">
        <v>98</v>
      </c>
      <c r="K1599" s="15" t="s">
        <v>110</v>
      </c>
    </row>
    <row r="1600" customFormat="false" ht="14.25" hidden="false" customHeight="false" outlineLevel="0" collapsed="false">
      <c r="A1600" s="15" t="s">
        <v>2107</v>
      </c>
      <c r="B1600" s="16" t="n">
        <v>45571</v>
      </c>
      <c r="C1600" s="15" t="s">
        <v>881</v>
      </c>
      <c r="D1600" s="15" t="s">
        <v>108</v>
      </c>
      <c r="E1600" s="15" t="s">
        <v>354</v>
      </c>
      <c r="F1600" s="17" t="n">
        <v>5</v>
      </c>
      <c r="G1600" s="17" t="n">
        <v>470</v>
      </c>
      <c r="H1600" s="17" t="n">
        <v>18.3</v>
      </c>
      <c r="I1600" s="17" t="n">
        <v>1919.95</v>
      </c>
      <c r="J1600" s="15" t="s">
        <v>155</v>
      </c>
      <c r="K1600" s="15" t="s">
        <v>128</v>
      </c>
    </row>
    <row r="1601" customFormat="false" ht="14.25" hidden="false" customHeight="false" outlineLevel="0" collapsed="false">
      <c r="A1601" s="15" t="s">
        <v>2108</v>
      </c>
      <c r="B1601" s="16" t="n">
        <v>45393</v>
      </c>
      <c r="C1601" s="15" t="s">
        <v>566</v>
      </c>
      <c r="D1601" s="15" t="s">
        <v>463</v>
      </c>
      <c r="E1601" s="15" t="s">
        <v>143</v>
      </c>
      <c r="F1601" s="17" t="n">
        <v>8</v>
      </c>
      <c r="G1601" s="17" t="n">
        <v>3450</v>
      </c>
      <c r="H1601" s="17" t="n">
        <v>5.1</v>
      </c>
      <c r="I1601" s="17" t="n">
        <v>26192.4</v>
      </c>
      <c r="J1601" s="15" t="s">
        <v>155</v>
      </c>
      <c r="K1601" s="15" t="s">
        <v>123</v>
      </c>
    </row>
    <row r="1602" customFormat="false" ht="14.25" hidden="false" customHeight="false" outlineLevel="0" collapsed="false">
      <c r="A1602" s="15" t="s">
        <v>2109</v>
      </c>
      <c r="B1602" s="16" t="n">
        <v>45465</v>
      </c>
      <c r="C1602" s="15" t="s">
        <v>619</v>
      </c>
      <c r="D1602" s="15" t="s">
        <v>146</v>
      </c>
      <c r="E1602" s="15" t="s">
        <v>296</v>
      </c>
      <c r="F1602" s="17" t="n">
        <v>1</v>
      </c>
      <c r="G1602" s="17" t="n">
        <v>2640</v>
      </c>
      <c r="H1602" s="17" t="n">
        <v>5.9</v>
      </c>
      <c r="I1602" s="17" t="n">
        <v>2484.24</v>
      </c>
      <c r="J1602" s="15" t="s">
        <v>98</v>
      </c>
      <c r="K1602" s="15" t="s">
        <v>99</v>
      </c>
    </row>
    <row r="1603" customFormat="false" ht="14.25" hidden="false" customHeight="false" outlineLevel="0" collapsed="false">
      <c r="A1603" s="15" t="s">
        <v>2110</v>
      </c>
      <c r="B1603" s="16" t="n">
        <v>45354</v>
      </c>
      <c r="C1603" s="15" t="s">
        <v>596</v>
      </c>
      <c r="D1603" s="15" t="s">
        <v>198</v>
      </c>
      <c r="E1603" s="15" t="s">
        <v>203</v>
      </c>
      <c r="F1603" s="17" t="n">
        <v>10</v>
      </c>
      <c r="G1603" s="17" t="n">
        <v>3570</v>
      </c>
      <c r="H1603" s="17" t="n">
        <v>21.5</v>
      </c>
      <c r="I1603" s="17" t="n">
        <v>28024.5</v>
      </c>
      <c r="J1603" s="15" t="s">
        <v>98</v>
      </c>
      <c r="K1603" s="15" t="s">
        <v>105</v>
      </c>
    </row>
    <row r="1604" customFormat="false" ht="14.25" hidden="false" customHeight="false" outlineLevel="0" collapsed="false">
      <c r="A1604" s="15" t="s">
        <v>2111</v>
      </c>
      <c r="B1604" s="16" t="n">
        <v>45581</v>
      </c>
      <c r="C1604" s="15" t="s">
        <v>603</v>
      </c>
      <c r="D1604" s="15" t="s">
        <v>131</v>
      </c>
      <c r="E1604" s="15" t="s">
        <v>357</v>
      </c>
      <c r="F1604" s="17" t="n">
        <v>10</v>
      </c>
      <c r="G1604" s="17" t="n">
        <v>1430</v>
      </c>
      <c r="H1604" s="17" t="n">
        <v>11.4</v>
      </c>
      <c r="I1604" s="17" t="n">
        <v>12669.8</v>
      </c>
      <c r="J1604" s="15" t="s">
        <v>151</v>
      </c>
      <c r="K1604" s="15" t="s">
        <v>144</v>
      </c>
    </row>
    <row r="1605" customFormat="false" ht="14.25" hidden="false" customHeight="false" outlineLevel="0" collapsed="false">
      <c r="A1605" s="15" t="s">
        <v>2112</v>
      </c>
      <c r="B1605" s="16" t="n">
        <v>45643</v>
      </c>
      <c r="C1605" s="15" t="s">
        <v>834</v>
      </c>
      <c r="D1605" s="15" t="s">
        <v>126</v>
      </c>
      <c r="E1605" s="15" t="s">
        <v>263</v>
      </c>
      <c r="F1605" s="17" t="n">
        <v>7</v>
      </c>
      <c r="G1605" s="17" t="n">
        <v>960</v>
      </c>
      <c r="H1605" s="17" t="n">
        <v>22.9</v>
      </c>
      <c r="I1605" s="17" t="n">
        <v>5181.12</v>
      </c>
      <c r="J1605" s="15" t="s">
        <v>98</v>
      </c>
      <c r="K1605" s="15" t="s">
        <v>105</v>
      </c>
    </row>
    <row r="1606" customFormat="false" ht="14.25" hidden="false" customHeight="false" outlineLevel="0" collapsed="false">
      <c r="A1606" s="15" t="s">
        <v>2113</v>
      </c>
      <c r="B1606" s="16" t="n">
        <v>45606</v>
      </c>
      <c r="C1606" s="15" t="s">
        <v>1011</v>
      </c>
      <c r="D1606" s="15" t="s">
        <v>154</v>
      </c>
      <c r="E1606" s="15" t="s">
        <v>143</v>
      </c>
      <c r="F1606" s="17" t="n">
        <v>8</v>
      </c>
      <c r="G1606" s="17" t="n">
        <v>3250</v>
      </c>
      <c r="H1606" s="17" t="n">
        <v>1.9</v>
      </c>
      <c r="I1606" s="17" t="n">
        <v>25506</v>
      </c>
      <c r="J1606" s="15" t="s">
        <v>98</v>
      </c>
      <c r="K1606" s="15" t="s">
        <v>128</v>
      </c>
    </row>
    <row r="1607" customFormat="false" ht="14.25" hidden="false" customHeight="false" outlineLevel="0" collapsed="false">
      <c r="A1607" s="15" t="s">
        <v>2114</v>
      </c>
      <c r="B1607" s="16" t="n">
        <v>45356</v>
      </c>
      <c r="C1607" s="15" t="s">
        <v>639</v>
      </c>
      <c r="D1607" s="15" t="s">
        <v>172</v>
      </c>
      <c r="E1607" s="15" t="s">
        <v>314</v>
      </c>
      <c r="F1607" s="17" t="n">
        <v>9</v>
      </c>
      <c r="G1607" s="17" t="n">
        <v>3450</v>
      </c>
      <c r="H1607" s="17" t="n">
        <v>18</v>
      </c>
      <c r="I1607" s="17" t="n">
        <v>25461</v>
      </c>
      <c r="J1607" s="15" t="s">
        <v>98</v>
      </c>
      <c r="K1607" s="15" t="s">
        <v>144</v>
      </c>
    </row>
    <row r="1608" customFormat="false" ht="14.25" hidden="false" customHeight="false" outlineLevel="0" collapsed="false">
      <c r="A1608" s="15" t="s">
        <v>2115</v>
      </c>
      <c r="B1608" s="16" t="n">
        <v>45343</v>
      </c>
      <c r="C1608" s="15" t="s">
        <v>186</v>
      </c>
      <c r="D1608" s="15" t="s">
        <v>142</v>
      </c>
      <c r="E1608" s="15" t="s">
        <v>357</v>
      </c>
      <c r="F1608" s="17" t="n">
        <v>5</v>
      </c>
      <c r="G1608" s="17" t="n">
        <v>2270</v>
      </c>
      <c r="H1608" s="17" t="n">
        <v>11.5</v>
      </c>
      <c r="I1608" s="17" t="n">
        <v>10044.75</v>
      </c>
      <c r="J1608" s="15" t="s">
        <v>98</v>
      </c>
      <c r="K1608" s="15" t="s">
        <v>144</v>
      </c>
    </row>
    <row r="1609" customFormat="false" ht="14.25" hidden="false" customHeight="false" outlineLevel="0" collapsed="false">
      <c r="A1609" s="15" t="s">
        <v>2116</v>
      </c>
      <c r="B1609" s="16" t="n">
        <v>45449</v>
      </c>
      <c r="C1609" s="15" t="s">
        <v>906</v>
      </c>
      <c r="D1609" s="15" t="s">
        <v>287</v>
      </c>
      <c r="E1609" s="15" t="s">
        <v>132</v>
      </c>
      <c r="F1609" s="17" t="n">
        <v>6</v>
      </c>
      <c r="G1609" s="17" t="n">
        <v>3020</v>
      </c>
      <c r="H1609" s="17" t="n">
        <v>12.6</v>
      </c>
      <c r="I1609" s="17" t="n">
        <v>15836.88</v>
      </c>
      <c r="J1609" s="15" t="s">
        <v>98</v>
      </c>
      <c r="K1609" s="15" t="s">
        <v>128</v>
      </c>
    </row>
    <row r="1610" customFormat="false" ht="14.25" hidden="false" customHeight="false" outlineLevel="0" collapsed="false">
      <c r="A1610" s="15" t="s">
        <v>2117</v>
      </c>
      <c r="B1610" s="16" t="n">
        <v>45317</v>
      </c>
      <c r="C1610" s="15" t="s">
        <v>474</v>
      </c>
      <c r="D1610" s="15" t="s">
        <v>146</v>
      </c>
      <c r="E1610" s="15" t="s">
        <v>118</v>
      </c>
      <c r="F1610" s="17" t="n">
        <v>8</v>
      </c>
      <c r="G1610" s="17" t="n">
        <v>2640</v>
      </c>
      <c r="H1610" s="17" t="n">
        <v>14.5</v>
      </c>
      <c r="I1610" s="17" t="n">
        <v>18057.6</v>
      </c>
      <c r="J1610" s="15" t="s">
        <v>155</v>
      </c>
      <c r="K1610" s="15" t="s">
        <v>128</v>
      </c>
    </row>
    <row r="1611" customFormat="false" ht="14.25" hidden="false" customHeight="false" outlineLevel="0" collapsed="false">
      <c r="A1611" s="15" t="s">
        <v>2118</v>
      </c>
      <c r="B1611" s="16" t="n">
        <v>45561</v>
      </c>
      <c r="C1611" s="15" t="s">
        <v>134</v>
      </c>
      <c r="D1611" s="15" t="s">
        <v>142</v>
      </c>
      <c r="E1611" s="15" t="s">
        <v>354</v>
      </c>
      <c r="F1611" s="17" t="n">
        <v>2</v>
      </c>
      <c r="G1611" s="17" t="n">
        <v>2270</v>
      </c>
      <c r="H1611" s="17" t="n">
        <v>27</v>
      </c>
      <c r="I1611" s="17" t="n">
        <v>3314.2</v>
      </c>
      <c r="J1611" s="15" t="s">
        <v>98</v>
      </c>
      <c r="K1611" s="15" t="s">
        <v>128</v>
      </c>
    </row>
    <row r="1612" customFormat="false" ht="14.25" hidden="false" customHeight="false" outlineLevel="0" collapsed="false">
      <c r="A1612" s="15" t="s">
        <v>2119</v>
      </c>
      <c r="B1612" s="16" t="n">
        <v>45636</v>
      </c>
      <c r="C1612" s="15" t="s">
        <v>116</v>
      </c>
      <c r="D1612" s="15" t="s">
        <v>211</v>
      </c>
      <c r="E1612" s="15" t="s">
        <v>354</v>
      </c>
      <c r="F1612" s="17" t="n">
        <v>8</v>
      </c>
      <c r="G1612" s="17" t="n">
        <v>2760</v>
      </c>
      <c r="H1612" s="17" t="n">
        <v>18</v>
      </c>
      <c r="I1612" s="17" t="n">
        <v>18105.6</v>
      </c>
      <c r="J1612" s="15" t="s">
        <v>151</v>
      </c>
      <c r="K1612" s="15" t="s">
        <v>105</v>
      </c>
    </row>
    <row r="1613" customFormat="false" ht="14.25" hidden="false" customHeight="false" outlineLevel="0" collapsed="false">
      <c r="A1613" s="15" t="s">
        <v>2120</v>
      </c>
      <c r="B1613" s="16" t="n">
        <v>45398</v>
      </c>
      <c r="C1613" s="15" t="s">
        <v>680</v>
      </c>
      <c r="D1613" s="15" t="s">
        <v>96</v>
      </c>
      <c r="E1613" s="15" t="s">
        <v>165</v>
      </c>
      <c r="F1613" s="17" t="n">
        <v>8</v>
      </c>
      <c r="G1613" s="17" t="n">
        <v>3620</v>
      </c>
      <c r="H1613" s="17" t="n">
        <v>7.1</v>
      </c>
      <c r="I1613" s="17" t="n">
        <v>26903.84</v>
      </c>
      <c r="J1613" s="15" t="s">
        <v>98</v>
      </c>
      <c r="K1613" s="15" t="s">
        <v>144</v>
      </c>
    </row>
    <row r="1614" customFormat="false" ht="14.25" hidden="false" customHeight="false" outlineLevel="0" collapsed="false">
      <c r="A1614" s="15" t="s">
        <v>2121</v>
      </c>
      <c r="B1614" s="16" t="n">
        <v>45477</v>
      </c>
      <c r="C1614" s="15" t="s">
        <v>746</v>
      </c>
      <c r="D1614" s="15" t="s">
        <v>397</v>
      </c>
      <c r="E1614" s="15" t="s">
        <v>169</v>
      </c>
      <c r="F1614" s="17" t="n">
        <v>8</v>
      </c>
      <c r="G1614" s="17" t="n">
        <v>2290</v>
      </c>
      <c r="H1614" s="17" t="n">
        <v>16.4</v>
      </c>
      <c r="I1614" s="17" t="n">
        <v>15315.52</v>
      </c>
      <c r="J1614" s="15" t="s">
        <v>98</v>
      </c>
      <c r="K1614" s="15" t="s">
        <v>99</v>
      </c>
    </row>
    <row r="1615" customFormat="false" ht="14.25" hidden="false" customHeight="false" outlineLevel="0" collapsed="false">
      <c r="A1615" s="15" t="s">
        <v>2122</v>
      </c>
      <c r="B1615" s="16" t="n">
        <v>45462</v>
      </c>
      <c r="C1615" s="15" t="s">
        <v>852</v>
      </c>
      <c r="D1615" s="15" t="s">
        <v>187</v>
      </c>
      <c r="E1615" s="15" t="s">
        <v>132</v>
      </c>
      <c r="F1615" s="17" t="n">
        <v>3</v>
      </c>
      <c r="G1615" s="17" t="n">
        <v>1650</v>
      </c>
      <c r="H1615" s="17" t="n">
        <v>1.8</v>
      </c>
      <c r="I1615" s="17" t="n">
        <v>4860.9</v>
      </c>
      <c r="J1615" s="15" t="s">
        <v>151</v>
      </c>
      <c r="K1615" s="15" t="s">
        <v>128</v>
      </c>
    </row>
    <row r="1616" customFormat="false" ht="14.25" hidden="false" customHeight="false" outlineLevel="0" collapsed="false">
      <c r="A1616" s="15" t="s">
        <v>2123</v>
      </c>
      <c r="B1616" s="16" t="n">
        <v>45642</v>
      </c>
      <c r="C1616" s="15" t="s">
        <v>531</v>
      </c>
      <c r="D1616" s="15" t="s">
        <v>375</v>
      </c>
      <c r="E1616" s="15" t="s">
        <v>314</v>
      </c>
      <c r="F1616" s="17" t="n">
        <v>3</v>
      </c>
      <c r="G1616" s="17" t="n">
        <v>5330</v>
      </c>
      <c r="H1616" s="17" t="n">
        <v>22.2</v>
      </c>
      <c r="I1616" s="17" t="n">
        <v>12440.22</v>
      </c>
      <c r="J1616" s="15" t="s">
        <v>98</v>
      </c>
      <c r="K1616" s="15" t="s">
        <v>123</v>
      </c>
    </row>
    <row r="1617" customFormat="false" ht="14.25" hidden="false" customHeight="false" outlineLevel="0" collapsed="false">
      <c r="A1617" s="15" t="s">
        <v>2124</v>
      </c>
      <c r="B1617" s="16" t="n">
        <v>45534</v>
      </c>
      <c r="C1617" s="15" t="s">
        <v>697</v>
      </c>
      <c r="D1617" s="15" t="s">
        <v>175</v>
      </c>
      <c r="E1617" s="15" t="s">
        <v>296</v>
      </c>
      <c r="F1617" s="17" t="n">
        <v>7</v>
      </c>
      <c r="G1617" s="17" t="n">
        <v>1080</v>
      </c>
      <c r="H1617" s="17" t="n">
        <v>17.9</v>
      </c>
      <c r="I1617" s="17" t="n">
        <v>6206.76</v>
      </c>
      <c r="J1617" s="15" t="s">
        <v>98</v>
      </c>
      <c r="K1617" s="15" t="s">
        <v>123</v>
      </c>
    </row>
    <row r="1618" customFormat="false" ht="14.25" hidden="false" customHeight="false" outlineLevel="0" collapsed="false">
      <c r="A1618" s="15" t="s">
        <v>2125</v>
      </c>
      <c r="B1618" s="16" t="n">
        <v>45460</v>
      </c>
      <c r="C1618" s="15" t="s">
        <v>112</v>
      </c>
      <c r="D1618" s="15" t="s">
        <v>278</v>
      </c>
      <c r="E1618" s="15" t="s">
        <v>296</v>
      </c>
      <c r="F1618" s="17" t="n">
        <v>10</v>
      </c>
      <c r="G1618" s="17" t="n">
        <v>1220</v>
      </c>
      <c r="H1618" s="17" t="n">
        <v>5.7</v>
      </c>
      <c r="I1618" s="17" t="n">
        <v>11504.6</v>
      </c>
      <c r="J1618" s="15" t="s">
        <v>98</v>
      </c>
      <c r="K1618" s="15" t="s">
        <v>110</v>
      </c>
    </row>
    <row r="1619" customFormat="false" ht="14.25" hidden="false" customHeight="false" outlineLevel="0" collapsed="false">
      <c r="A1619" s="15" t="s">
        <v>2126</v>
      </c>
      <c r="B1619" s="16" t="n">
        <v>45648</v>
      </c>
      <c r="C1619" s="15" t="s">
        <v>316</v>
      </c>
      <c r="D1619" s="15" t="s">
        <v>214</v>
      </c>
      <c r="E1619" s="15" t="s">
        <v>181</v>
      </c>
      <c r="F1619" s="17" t="n">
        <v>10</v>
      </c>
      <c r="G1619" s="17" t="n">
        <v>660</v>
      </c>
      <c r="H1619" s="17" t="n">
        <v>7.5</v>
      </c>
      <c r="I1619" s="17" t="n">
        <v>6105</v>
      </c>
      <c r="J1619" s="15" t="s">
        <v>98</v>
      </c>
      <c r="K1619" s="15" t="s">
        <v>144</v>
      </c>
    </row>
    <row r="1620" customFormat="false" ht="14.25" hidden="false" customHeight="false" outlineLevel="0" collapsed="false">
      <c r="A1620" s="15" t="s">
        <v>2127</v>
      </c>
      <c r="B1620" s="16" t="n">
        <v>45557</v>
      </c>
      <c r="C1620" s="15" t="s">
        <v>959</v>
      </c>
      <c r="D1620" s="15" t="s">
        <v>175</v>
      </c>
      <c r="E1620" s="15" t="s">
        <v>203</v>
      </c>
      <c r="F1620" s="17" t="n">
        <v>6</v>
      </c>
      <c r="G1620" s="17" t="n">
        <v>1080</v>
      </c>
      <c r="H1620" s="17" t="n">
        <v>28.9</v>
      </c>
      <c r="I1620" s="17" t="n">
        <v>4607.28</v>
      </c>
      <c r="J1620" s="15" t="s">
        <v>98</v>
      </c>
      <c r="K1620" s="15" t="s">
        <v>99</v>
      </c>
    </row>
    <row r="1621" customFormat="false" ht="14.25" hidden="false" customHeight="false" outlineLevel="0" collapsed="false">
      <c r="A1621" s="15" t="s">
        <v>2128</v>
      </c>
      <c r="B1621" s="16" t="n">
        <v>45584</v>
      </c>
      <c r="C1621" s="15" t="s">
        <v>600</v>
      </c>
      <c r="D1621" s="15" t="s">
        <v>256</v>
      </c>
      <c r="E1621" s="15" t="s">
        <v>203</v>
      </c>
      <c r="F1621" s="17" t="n">
        <v>7</v>
      </c>
      <c r="G1621" s="17" t="n">
        <v>2270</v>
      </c>
      <c r="H1621" s="17" t="n">
        <v>1.4</v>
      </c>
      <c r="I1621" s="17" t="n">
        <v>15667.54</v>
      </c>
      <c r="J1621" s="15" t="s">
        <v>98</v>
      </c>
      <c r="K1621" s="15" t="s">
        <v>105</v>
      </c>
    </row>
    <row r="1622" customFormat="false" ht="14.25" hidden="false" customHeight="false" outlineLevel="0" collapsed="false">
      <c r="A1622" s="15" t="s">
        <v>2129</v>
      </c>
      <c r="B1622" s="16" t="n">
        <v>45475</v>
      </c>
      <c r="C1622" s="15" t="s">
        <v>792</v>
      </c>
      <c r="D1622" s="15" t="s">
        <v>121</v>
      </c>
      <c r="E1622" s="15" t="s">
        <v>139</v>
      </c>
      <c r="F1622" s="17" t="n">
        <v>3</v>
      </c>
      <c r="G1622" s="17" t="n">
        <v>370</v>
      </c>
      <c r="H1622" s="17" t="n">
        <v>9.6</v>
      </c>
      <c r="I1622" s="17" t="n">
        <v>1003.44</v>
      </c>
      <c r="J1622" s="15" t="s">
        <v>155</v>
      </c>
      <c r="K1622" s="15" t="s">
        <v>110</v>
      </c>
    </row>
    <row r="1623" customFormat="false" ht="14.25" hidden="false" customHeight="false" outlineLevel="0" collapsed="false">
      <c r="A1623" s="15" t="s">
        <v>2130</v>
      </c>
      <c r="B1623" s="16" t="n">
        <v>45365</v>
      </c>
      <c r="C1623" s="15" t="s">
        <v>885</v>
      </c>
      <c r="D1623" s="15" t="s">
        <v>138</v>
      </c>
      <c r="E1623" s="15" t="s">
        <v>215</v>
      </c>
      <c r="F1623" s="17" t="n">
        <v>9</v>
      </c>
      <c r="G1623" s="17" t="n">
        <v>970</v>
      </c>
      <c r="H1623" s="17" t="n">
        <v>29.7</v>
      </c>
      <c r="I1623" s="17" t="n">
        <v>6137.19</v>
      </c>
      <c r="J1623" s="15" t="s">
        <v>98</v>
      </c>
      <c r="K1623" s="15" t="s">
        <v>123</v>
      </c>
    </row>
    <row r="1624" customFormat="false" ht="14.25" hidden="false" customHeight="false" outlineLevel="0" collapsed="false">
      <c r="A1624" s="15" t="s">
        <v>1081</v>
      </c>
      <c r="B1624" s="16" t="n">
        <v>45405</v>
      </c>
      <c r="C1624" s="15" t="s">
        <v>956</v>
      </c>
      <c r="D1624" s="15" t="s">
        <v>303</v>
      </c>
      <c r="E1624" s="15" t="s">
        <v>159</v>
      </c>
      <c r="F1624" s="17" t="n">
        <v>1</v>
      </c>
      <c r="G1624" s="17" t="n">
        <v>620</v>
      </c>
      <c r="H1624" s="17" t="n">
        <v>10.4</v>
      </c>
      <c r="I1624" s="17" t="n">
        <v>555.52</v>
      </c>
      <c r="J1624" s="15" t="s">
        <v>151</v>
      </c>
      <c r="K1624" s="15" t="s">
        <v>99</v>
      </c>
    </row>
    <row r="1625" customFormat="false" ht="14.25" hidden="false" customHeight="false" outlineLevel="0" collapsed="false">
      <c r="A1625" s="15" t="s">
        <v>2131</v>
      </c>
      <c r="B1625" s="16" t="n">
        <v>45533</v>
      </c>
      <c r="C1625" s="15" t="s">
        <v>883</v>
      </c>
      <c r="D1625" s="15" t="s">
        <v>113</v>
      </c>
      <c r="E1625" s="15" t="s">
        <v>240</v>
      </c>
      <c r="F1625" s="17" t="n">
        <v>5</v>
      </c>
      <c r="G1625" s="17" t="n">
        <v>3660</v>
      </c>
      <c r="H1625" s="17" t="n">
        <v>8</v>
      </c>
      <c r="I1625" s="17" t="n">
        <v>16836</v>
      </c>
      <c r="J1625" s="15" t="s">
        <v>98</v>
      </c>
      <c r="K1625" s="15" t="s">
        <v>123</v>
      </c>
    </row>
    <row r="1626" customFormat="false" ht="14.25" hidden="false" customHeight="false" outlineLevel="0" collapsed="false">
      <c r="A1626" s="15" t="s">
        <v>2132</v>
      </c>
      <c r="B1626" s="16" t="n">
        <v>45628</v>
      </c>
      <c r="C1626" s="15" t="s">
        <v>112</v>
      </c>
      <c r="D1626" s="15" t="s">
        <v>349</v>
      </c>
      <c r="E1626" s="15" t="s">
        <v>127</v>
      </c>
      <c r="F1626" s="17" t="n">
        <v>7</v>
      </c>
      <c r="G1626" s="17" t="n">
        <v>2210</v>
      </c>
      <c r="H1626" s="17" t="n">
        <v>13.7</v>
      </c>
      <c r="I1626" s="17" t="n">
        <v>13350.61</v>
      </c>
      <c r="J1626" s="15" t="s">
        <v>155</v>
      </c>
      <c r="K1626" s="15" t="s">
        <v>110</v>
      </c>
    </row>
    <row r="1627" customFormat="false" ht="14.25" hidden="false" customHeight="false" outlineLevel="0" collapsed="false">
      <c r="A1627" s="15" t="s">
        <v>2133</v>
      </c>
      <c r="B1627" s="16" t="n">
        <v>45631</v>
      </c>
      <c r="C1627" s="15" t="s">
        <v>716</v>
      </c>
      <c r="D1627" s="15" t="s">
        <v>472</v>
      </c>
      <c r="E1627" s="15" t="s">
        <v>139</v>
      </c>
      <c r="F1627" s="17" t="n">
        <v>1</v>
      </c>
      <c r="G1627" s="17" t="n">
        <v>3780</v>
      </c>
      <c r="H1627" s="17" t="n">
        <v>11.5</v>
      </c>
      <c r="I1627" s="17" t="n">
        <v>3345.3</v>
      </c>
      <c r="J1627" s="15" t="s">
        <v>98</v>
      </c>
      <c r="K1627" s="15" t="s">
        <v>110</v>
      </c>
    </row>
    <row r="1628" customFormat="false" ht="14.25" hidden="false" customHeight="false" outlineLevel="0" collapsed="false">
      <c r="A1628" s="15" t="s">
        <v>2134</v>
      </c>
      <c r="B1628" s="16" t="n">
        <v>45601</v>
      </c>
      <c r="C1628" s="15" t="s">
        <v>302</v>
      </c>
      <c r="D1628" s="15" t="s">
        <v>149</v>
      </c>
      <c r="E1628" s="15" t="s">
        <v>103</v>
      </c>
      <c r="F1628" s="17" t="n">
        <v>10</v>
      </c>
      <c r="G1628" s="17" t="n">
        <v>2600</v>
      </c>
      <c r="H1628" s="17" t="n">
        <v>29.4</v>
      </c>
      <c r="I1628" s="17" t="n">
        <v>18356</v>
      </c>
      <c r="J1628" s="15" t="s">
        <v>98</v>
      </c>
      <c r="K1628" s="15" t="s">
        <v>110</v>
      </c>
    </row>
    <row r="1629" customFormat="false" ht="14.25" hidden="false" customHeight="false" outlineLevel="0" collapsed="false">
      <c r="A1629" s="15" t="s">
        <v>2135</v>
      </c>
      <c r="B1629" s="16" t="n">
        <v>45365</v>
      </c>
      <c r="C1629" s="15" t="s">
        <v>562</v>
      </c>
      <c r="D1629" s="15" t="s">
        <v>245</v>
      </c>
      <c r="E1629" s="15" t="s">
        <v>249</v>
      </c>
      <c r="F1629" s="17" t="n">
        <v>3</v>
      </c>
      <c r="G1629" s="17" t="n">
        <v>3780</v>
      </c>
      <c r="H1629" s="17" t="n">
        <v>14.4</v>
      </c>
      <c r="I1629" s="17" t="n">
        <v>9707.04</v>
      </c>
      <c r="J1629" s="15" t="s">
        <v>98</v>
      </c>
      <c r="K1629" s="15" t="s">
        <v>123</v>
      </c>
    </row>
    <row r="1630" customFormat="false" ht="14.25" hidden="false" customHeight="false" outlineLevel="0" collapsed="false">
      <c r="A1630" s="15" t="s">
        <v>2136</v>
      </c>
      <c r="B1630" s="16" t="n">
        <v>45421</v>
      </c>
      <c r="C1630" s="15" t="s">
        <v>261</v>
      </c>
      <c r="D1630" s="15" t="s">
        <v>146</v>
      </c>
      <c r="E1630" s="15" t="s">
        <v>159</v>
      </c>
      <c r="F1630" s="17" t="n">
        <v>10</v>
      </c>
      <c r="G1630" s="17" t="n">
        <v>2640</v>
      </c>
      <c r="H1630" s="17" t="n">
        <v>26.8</v>
      </c>
      <c r="I1630" s="17" t="n">
        <v>19324.8</v>
      </c>
      <c r="J1630" s="15" t="s">
        <v>104</v>
      </c>
      <c r="K1630" s="15" t="s">
        <v>128</v>
      </c>
    </row>
    <row r="1631" customFormat="false" ht="14.25" hidden="false" customHeight="false" outlineLevel="0" collapsed="false">
      <c r="A1631" s="15" t="s">
        <v>2137</v>
      </c>
      <c r="B1631" s="16" t="n">
        <v>45347</v>
      </c>
      <c r="C1631" s="15" t="s">
        <v>911</v>
      </c>
      <c r="D1631" s="15" t="s">
        <v>513</v>
      </c>
      <c r="E1631" s="15" t="s">
        <v>263</v>
      </c>
      <c r="F1631" s="17" t="n">
        <v>3</v>
      </c>
      <c r="G1631" s="17" t="n">
        <v>1090</v>
      </c>
      <c r="H1631" s="17" t="n">
        <v>9.1</v>
      </c>
      <c r="I1631" s="17" t="n">
        <v>2972.43</v>
      </c>
      <c r="J1631" s="15" t="s">
        <v>98</v>
      </c>
      <c r="K1631" s="15" t="s">
        <v>128</v>
      </c>
    </row>
    <row r="1632" customFormat="false" ht="14.25" hidden="false" customHeight="false" outlineLevel="0" collapsed="false">
      <c r="A1632" s="15" t="s">
        <v>2138</v>
      </c>
      <c r="B1632" s="16" t="n">
        <v>45574</v>
      </c>
      <c r="C1632" s="15" t="s">
        <v>711</v>
      </c>
      <c r="D1632" s="15" t="s">
        <v>463</v>
      </c>
      <c r="E1632" s="15" t="s">
        <v>127</v>
      </c>
      <c r="F1632" s="17" t="n">
        <v>3</v>
      </c>
      <c r="G1632" s="17" t="n">
        <v>3450</v>
      </c>
      <c r="H1632" s="17" t="n">
        <v>23</v>
      </c>
      <c r="I1632" s="17" t="n">
        <v>7969.5</v>
      </c>
      <c r="J1632" s="15" t="s">
        <v>104</v>
      </c>
      <c r="K1632" s="15" t="s">
        <v>105</v>
      </c>
    </row>
    <row r="1633" customFormat="false" ht="14.25" hidden="false" customHeight="false" outlineLevel="0" collapsed="false">
      <c r="A1633" s="15" t="s">
        <v>2139</v>
      </c>
      <c r="B1633" s="16" t="n">
        <v>45365</v>
      </c>
      <c r="C1633" s="15" t="s">
        <v>1242</v>
      </c>
      <c r="D1633" s="15" t="s">
        <v>391</v>
      </c>
      <c r="E1633" s="15" t="s">
        <v>199</v>
      </c>
      <c r="F1633" s="17" t="n">
        <v>1</v>
      </c>
      <c r="G1633" s="17" t="n">
        <v>960</v>
      </c>
      <c r="H1633" s="17" t="n">
        <v>1.1</v>
      </c>
      <c r="I1633" s="17" t="n">
        <v>949.44</v>
      </c>
      <c r="J1633" s="15" t="s">
        <v>98</v>
      </c>
      <c r="K1633" s="15" t="s">
        <v>99</v>
      </c>
    </row>
    <row r="1634" customFormat="false" ht="14.25" hidden="false" customHeight="false" outlineLevel="0" collapsed="false">
      <c r="A1634" s="15" t="s">
        <v>2140</v>
      </c>
      <c r="B1634" s="16" t="n">
        <v>45577</v>
      </c>
      <c r="C1634" s="15" t="s">
        <v>490</v>
      </c>
      <c r="D1634" s="15" t="s">
        <v>113</v>
      </c>
      <c r="E1634" s="15" t="s">
        <v>181</v>
      </c>
      <c r="F1634" s="17" t="n">
        <v>9</v>
      </c>
      <c r="G1634" s="17" t="n">
        <v>3660</v>
      </c>
      <c r="H1634" s="17" t="n">
        <v>9</v>
      </c>
      <c r="I1634" s="17" t="n">
        <v>29975.4</v>
      </c>
      <c r="J1634" s="15" t="s">
        <v>98</v>
      </c>
      <c r="K1634" s="15" t="s">
        <v>99</v>
      </c>
    </row>
    <row r="1635" customFormat="false" ht="14.25" hidden="false" customHeight="false" outlineLevel="0" collapsed="false">
      <c r="A1635" s="15" t="s">
        <v>2141</v>
      </c>
      <c r="B1635" s="16" t="n">
        <v>45420</v>
      </c>
      <c r="C1635" s="15" t="s">
        <v>649</v>
      </c>
      <c r="D1635" s="15" t="s">
        <v>237</v>
      </c>
      <c r="E1635" s="15" t="s">
        <v>118</v>
      </c>
      <c r="F1635" s="17" t="n">
        <v>3</v>
      </c>
      <c r="G1635" s="17" t="n">
        <v>3730</v>
      </c>
      <c r="H1635" s="17" t="n">
        <v>15.8</v>
      </c>
      <c r="I1635" s="17" t="n">
        <v>9421.98</v>
      </c>
      <c r="J1635" s="15" t="s">
        <v>98</v>
      </c>
      <c r="K1635" s="15" t="s">
        <v>110</v>
      </c>
    </row>
    <row r="1636" customFormat="false" ht="14.25" hidden="false" customHeight="false" outlineLevel="0" collapsed="false">
      <c r="A1636" s="15" t="s">
        <v>2142</v>
      </c>
      <c r="B1636" s="16" t="n">
        <v>45347</v>
      </c>
      <c r="C1636" s="15" t="s">
        <v>562</v>
      </c>
      <c r="D1636" s="15" t="s">
        <v>275</v>
      </c>
      <c r="E1636" s="15" t="s">
        <v>150</v>
      </c>
      <c r="F1636" s="17" t="n">
        <v>6</v>
      </c>
      <c r="G1636" s="17" t="n">
        <v>4070</v>
      </c>
      <c r="H1636" s="17" t="n">
        <v>6.2</v>
      </c>
      <c r="I1636" s="17" t="n">
        <v>22905.96</v>
      </c>
      <c r="J1636" s="15" t="s">
        <v>98</v>
      </c>
      <c r="K1636" s="15" t="s">
        <v>123</v>
      </c>
    </row>
    <row r="1637" customFormat="false" ht="14.25" hidden="false" customHeight="false" outlineLevel="0" collapsed="false">
      <c r="A1637" s="15" t="s">
        <v>2143</v>
      </c>
      <c r="B1637" s="16" t="n">
        <v>45329</v>
      </c>
      <c r="C1637" s="15" t="s">
        <v>628</v>
      </c>
      <c r="D1637" s="15" t="s">
        <v>290</v>
      </c>
      <c r="E1637" s="15" t="s">
        <v>296</v>
      </c>
      <c r="F1637" s="17" t="n">
        <v>1</v>
      </c>
      <c r="G1637" s="17" t="n">
        <v>2660</v>
      </c>
      <c r="H1637" s="17" t="n">
        <v>14.6</v>
      </c>
      <c r="I1637" s="17" t="n">
        <v>2271.64</v>
      </c>
      <c r="J1637" s="15" t="s">
        <v>98</v>
      </c>
      <c r="K1637" s="15" t="s">
        <v>123</v>
      </c>
    </row>
    <row r="1638" customFormat="false" ht="14.25" hidden="false" customHeight="false" outlineLevel="0" collapsed="false">
      <c r="A1638" s="15" t="s">
        <v>2144</v>
      </c>
      <c r="B1638" s="16" t="n">
        <v>45378</v>
      </c>
      <c r="C1638" s="15" t="s">
        <v>161</v>
      </c>
      <c r="D1638" s="15" t="s">
        <v>306</v>
      </c>
      <c r="E1638" s="15" t="s">
        <v>159</v>
      </c>
      <c r="F1638" s="17" t="n">
        <v>3</v>
      </c>
      <c r="G1638" s="17" t="n">
        <v>2030</v>
      </c>
      <c r="H1638" s="17" t="n">
        <v>13.3</v>
      </c>
      <c r="I1638" s="17" t="n">
        <v>5280.03</v>
      </c>
      <c r="J1638" s="15" t="s">
        <v>151</v>
      </c>
      <c r="K1638" s="15" t="s">
        <v>99</v>
      </c>
    </row>
    <row r="1639" customFormat="false" ht="14.25" hidden="false" customHeight="false" outlineLevel="0" collapsed="false">
      <c r="A1639" s="15" t="s">
        <v>2145</v>
      </c>
      <c r="B1639" s="16" t="n">
        <v>45393</v>
      </c>
      <c r="C1639" s="15" t="s">
        <v>339</v>
      </c>
      <c r="D1639" s="15" t="s">
        <v>113</v>
      </c>
      <c r="E1639" s="15" t="s">
        <v>226</v>
      </c>
      <c r="F1639" s="17" t="n">
        <v>4</v>
      </c>
      <c r="G1639" s="17" t="n">
        <v>3660</v>
      </c>
      <c r="H1639" s="17" t="n">
        <v>2.2</v>
      </c>
      <c r="I1639" s="17" t="n">
        <v>14317.92</v>
      </c>
      <c r="J1639" s="15" t="s">
        <v>98</v>
      </c>
      <c r="K1639" s="15" t="s">
        <v>105</v>
      </c>
    </row>
    <row r="1640" customFormat="false" ht="14.25" hidden="false" customHeight="false" outlineLevel="0" collapsed="false">
      <c r="A1640" s="15" t="s">
        <v>2146</v>
      </c>
      <c r="B1640" s="16" t="n">
        <v>45364</v>
      </c>
      <c r="C1640" s="15" t="s">
        <v>225</v>
      </c>
      <c r="D1640" s="15" t="s">
        <v>290</v>
      </c>
      <c r="E1640" s="15" t="s">
        <v>114</v>
      </c>
      <c r="F1640" s="17" t="n">
        <v>2</v>
      </c>
      <c r="G1640" s="17" t="n">
        <v>2660</v>
      </c>
      <c r="H1640" s="17" t="n">
        <v>7.2</v>
      </c>
      <c r="I1640" s="17" t="n">
        <v>4936.96</v>
      </c>
      <c r="J1640" s="15" t="s">
        <v>151</v>
      </c>
      <c r="K1640" s="15" t="s">
        <v>128</v>
      </c>
    </row>
    <row r="1641" customFormat="false" ht="14.25" hidden="false" customHeight="false" outlineLevel="0" collapsed="false">
      <c r="A1641" s="15" t="s">
        <v>2147</v>
      </c>
      <c r="B1641" s="16" t="n">
        <v>45624</v>
      </c>
      <c r="C1641" s="15" t="s">
        <v>548</v>
      </c>
      <c r="D1641" s="15" t="s">
        <v>195</v>
      </c>
      <c r="E1641" s="15" t="s">
        <v>263</v>
      </c>
      <c r="F1641" s="17" t="n">
        <v>2</v>
      </c>
      <c r="G1641" s="17" t="n">
        <v>4880</v>
      </c>
      <c r="H1641" s="17" t="n">
        <v>23.8</v>
      </c>
      <c r="I1641" s="17" t="n">
        <v>7437.12</v>
      </c>
      <c r="J1641" s="15" t="s">
        <v>98</v>
      </c>
      <c r="K1641" s="15" t="s">
        <v>144</v>
      </c>
    </row>
    <row r="1642" customFormat="false" ht="14.25" hidden="false" customHeight="false" outlineLevel="0" collapsed="false">
      <c r="A1642" s="15" t="s">
        <v>2148</v>
      </c>
      <c r="B1642" s="16" t="n">
        <v>45411</v>
      </c>
      <c r="C1642" s="15" t="s">
        <v>827</v>
      </c>
      <c r="D1642" s="15" t="s">
        <v>463</v>
      </c>
      <c r="E1642" s="15" t="s">
        <v>284</v>
      </c>
      <c r="F1642" s="17" t="n">
        <v>1</v>
      </c>
      <c r="G1642" s="17" t="n">
        <v>3450</v>
      </c>
      <c r="H1642" s="17" t="n">
        <v>1.7</v>
      </c>
      <c r="I1642" s="17" t="n">
        <v>3391.35</v>
      </c>
      <c r="J1642" s="15" t="s">
        <v>98</v>
      </c>
      <c r="K1642" s="15" t="s">
        <v>99</v>
      </c>
    </row>
    <row r="1643" customFormat="false" ht="14.25" hidden="false" customHeight="false" outlineLevel="0" collapsed="false">
      <c r="A1643" s="15" t="s">
        <v>2149</v>
      </c>
      <c r="B1643" s="16" t="n">
        <v>45550</v>
      </c>
      <c r="C1643" s="15" t="s">
        <v>401</v>
      </c>
      <c r="D1643" s="15" t="s">
        <v>287</v>
      </c>
      <c r="E1643" s="15" t="s">
        <v>165</v>
      </c>
      <c r="F1643" s="17" t="n">
        <v>4</v>
      </c>
      <c r="G1643" s="17" t="n">
        <v>3020</v>
      </c>
      <c r="H1643" s="17" t="n">
        <v>17.8</v>
      </c>
      <c r="I1643" s="17" t="n">
        <v>9929.76</v>
      </c>
      <c r="J1643" s="15" t="s">
        <v>98</v>
      </c>
      <c r="K1643" s="15" t="s">
        <v>99</v>
      </c>
    </row>
    <row r="1644" customFormat="false" ht="14.25" hidden="false" customHeight="false" outlineLevel="0" collapsed="false">
      <c r="A1644" s="15" t="s">
        <v>2150</v>
      </c>
      <c r="B1644" s="16" t="n">
        <v>45512</v>
      </c>
      <c r="C1644" s="15" t="s">
        <v>979</v>
      </c>
      <c r="D1644" s="15" t="s">
        <v>526</v>
      </c>
      <c r="E1644" s="15" t="s">
        <v>169</v>
      </c>
      <c r="F1644" s="17" t="n">
        <v>6</v>
      </c>
      <c r="G1644" s="17" t="n">
        <v>6940</v>
      </c>
      <c r="H1644" s="17" t="n">
        <v>8.9</v>
      </c>
      <c r="I1644" s="17" t="n">
        <v>37934.04</v>
      </c>
      <c r="J1644" s="15" t="s">
        <v>98</v>
      </c>
      <c r="K1644" s="15" t="s">
        <v>110</v>
      </c>
    </row>
    <row r="1645" customFormat="false" ht="14.25" hidden="false" customHeight="false" outlineLevel="0" collapsed="false">
      <c r="A1645" s="15" t="s">
        <v>2151</v>
      </c>
      <c r="B1645" s="16" t="n">
        <v>45523</v>
      </c>
      <c r="C1645" s="15" t="s">
        <v>433</v>
      </c>
      <c r="D1645" s="15" t="s">
        <v>211</v>
      </c>
      <c r="E1645" s="15" t="s">
        <v>165</v>
      </c>
      <c r="F1645" s="17" t="n">
        <v>10</v>
      </c>
      <c r="G1645" s="17" t="n">
        <v>2760</v>
      </c>
      <c r="H1645" s="17" t="n">
        <v>8.9</v>
      </c>
      <c r="I1645" s="17" t="n">
        <v>25143.6</v>
      </c>
      <c r="J1645" s="15" t="s">
        <v>98</v>
      </c>
      <c r="K1645" s="15" t="s">
        <v>105</v>
      </c>
    </row>
    <row r="1646" customFormat="false" ht="14.25" hidden="false" customHeight="false" outlineLevel="0" collapsed="false">
      <c r="A1646" s="15" t="s">
        <v>2152</v>
      </c>
      <c r="B1646" s="16" t="n">
        <v>45310</v>
      </c>
      <c r="C1646" s="15" t="s">
        <v>438</v>
      </c>
      <c r="D1646" s="15" t="s">
        <v>391</v>
      </c>
      <c r="E1646" s="15" t="s">
        <v>203</v>
      </c>
      <c r="F1646" s="17" t="n">
        <v>8</v>
      </c>
      <c r="G1646" s="17" t="n">
        <v>960</v>
      </c>
      <c r="H1646" s="17" t="n">
        <v>20.9</v>
      </c>
      <c r="I1646" s="17" t="n">
        <v>6074.88</v>
      </c>
      <c r="J1646" s="15" t="s">
        <v>98</v>
      </c>
      <c r="K1646" s="15" t="s">
        <v>99</v>
      </c>
    </row>
    <row r="1647" customFormat="false" ht="14.25" hidden="false" customHeight="false" outlineLevel="0" collapsed="false">
      <c r="A1647" s="15" t="s">
        <v>2153</v>
      </c>
      <c r="B1647" s="16" t="n">
        <v>45498</v>
      </c>
      <c r="C1647" s="15" t="s">
        <v>846</v>
      </c>
      <c r="D1647" s="15" t="s">
        <v>391</v>
      </c>
      <c r="E1647" s="15" t="s">
        <v>336</v>
      </c>
      <c r="F1647" s="17" t="n">
        <v>4</v>
      </c>
      <c r="G1647" s="17" t="n">
        <v>960</v>
      </c>
      <c r="H1647" s="17" t="n">
        <v>29.1</v>
      </c>
      <c r="I1647" s="17" t="n">
        <v>2722.56</v>
      </c>
      <c r="J1647" s="15" t="s">
        <v>98</v>
      </c>
      <c r="K1647" s="15" t="s">
        <v>128</v>
      </c>
    </row>
    <row r="1648" customFormat="false" ht="14.25" hidden="false" customHeight="false" outlineLevel="0" collapsed="false">
      <c r="A1648" s="15" t="s">
        <v>2154</v>
      </c>
      <c r="B1648" s="16" t="n">
        <v>45410</v>
      </c>
      <c r="C1648" s="15" t="s">
        <v>440</v>
      </c>
      <c r="D1648" s="15" t="s">
        <v>138</v>
      </c>
      <c r="E1648" s="15" t="s">
        <v>169</v>
      </c>
      <c r="F1648" s="17" t="n">
        <v>1</v>
      </c>
      <c r="G1648" s="17" t="n">
        <v>970</v>
      </c>
      <c r="H1648" s="17" t="n">
        <v>8.4</v>
      </c>
      <c r="I1648" s="17" t="n">
        <v>888.52</v>
      </c>
      <c r="J1648" s="15" t="s">
        <v>151</v>
      </c>
      <c r="K1648" s="15" t="s">
        <v>128</v>
      </c>
    </row>
    <row r="1649" customFormat="false" ht="14.25" hidden="false" customHeight="false" outlineLevel="0" collapsed="false">
      <c r="A1649" s="15" t="s">
        <v>2155</v>
      </c>
      <c r="B1649" s="16" t="n">
        <v>45400</v>
      </c>
      <c r="C1649" s="15" t="s">
        <v>885</v>
      </c>
      <c r="D1649" s="15" t="s">
        <v>252</v>
      </c>
      <c r="E1649" s="15" t="s">
        <v>165</v>
      </c>
      <c r="F1649" s="17" t="n">
        <v>5</v>
      </c>
      <c r="G1649" s="17" t="n">
        <v>6080</v>
      </c>
      <c r="H1649" s="17" t="n">
        <v>17.6</v>
      </c>
      <c r="I1649" s="17" t="n">
        <v>25049.6</v>
      </c>
      <c r="J1649" s="15" t="s">
        <v>98</v>
      </c>
      <c r="K1649" s="15" t="s">
        <v>123</v>
      </c>
    </row>
    <row r="1650" customFormat="false" ht="14.25" hidden="false" customHeight="false" outlineLevel="0" collapsed="false">
      <c r="A1650" s="15" t="s">
        <v>2156</v>
      </c>
      <c r="B1650" s="16" t="n">
        <v>45525</v>
      </c>
      <c r="C1650" s="15" t="s">
        <v>979</v>
      </c>
      <c r="D1650" s="15" t="s">
        <v>113</v>
      </c>
      <c r="E1650" s="15" t="s">
        <v>263</v>
      </c>
      <c r="F1650" s="17" t="n">
        <v>4</v>
      </c>
      <c r="G1650" s="17" t="n">
        <v>3660</v>
      </c>
      <c r="H1650" s="17" t="n">
        <v>21.8</v>
      </c>
      <c r="I1650" s="17" t="n">
        <v>11448.48</v>
      </c>
      <c r="J1650" s="15" t="s">
        <v>104</v>
      </c>
      <c r="K1650" s="15" t="s">
        <v>110</v>
      </c>
    </row>
    <row r="1651" customFormat="false" ht="14.25" hidden="false" customHeight="false" outlineLevel="0" collapsed="false">
      <c r="A1651" s="15" t="s">
        <v>2157</v>
      </c>
      <c r="B1651" s="16" t="n">
        <v>45462</v>
      </c>
      <c r="C1651" s="15" t="s">
        <v>329</v>
      </c>
      <c r="D1651" s="15" t="s">
        <v>237</v>
      </c>
      <c r="E1651" s="15" t="s">
        <v>118</v>
      </c>
      <c r="F1651" s="17" t="n">
        <v>6</v>
      </c>
      <c r="G1651" s="17" t="n">
        <v>3730</v>
      </c>
      <c r="H1651" s="17" t="n">
        <v>13.3</v>
      </c>
      <c r="I1651" s="17" t="n">
        <v>19403.46</v>
      </c>
      <c r="J1651" s="15" t="s">
        <v>151</v>
      </c>
      <c r="K1651" s="15" t="s">
        <v>105</v>
      </c>
    </row>
    <row r="1652" customFormat="false" ht="14.25" hidden="false" customHeight="false" outlineLevel="0" collapsed="false">
      <c r="A1652" s="15" t="s">
        <v>2158</v>
      </c>
      <c r="B1652" s="16" t="n">
        <v>45625</v>
      </c>
      <c r="C1652" s="15" t="s">
        <v>269</v>
      </c>
      <c r="D1652" s="15" t="s">
        <v>259</v>
      </c>
      <c r="E1652" s="15" t="s">
        <v>240</v>
      </c>
      <c r="F1652" s="17" t="n">
        <v>8</v>
      </c>
      <c r="G1652" s="17" t="n">
        <v>3870</v>
      </c>
      <c r="H1652" s="17" t="n">
        <v>21.2</v>
      </c>
      <c r="I1652" s="17" t="n">
        <v>24396.48</v>
      </c>
      <c r="J1652" s="15" t="s">
        <v>104</v>
      </c>
      <c r="K1652" s="15" t="s">
        <v>110</v>
      </c>
    </row>
    <row r="1653" customFormat="false" ht="14.25" hidden="false" customHeight="false" outlineLevel="0" collapsed="false">
      <c r="A1653" s="15" t="s">
        <v>2159</v>
      </c>
      <c r="B1653" s="16" t="n">
        <v>45390</v>
      </c>
      <c r="C1653" s="15" t="s">
        <v>427</v>
      </c>
      <c r="D1653" s="15" t="s">
        <v>211</v>
      </c>
      <c r="E1653" s="15" t="s">
        <v>357</v>
      </c>
      <c r="F1653" s="17" t="n">
        <v>4</v>
      </c>
      <c r="G1653" s="17" t="n">
        <v>2760</v>
      </c>
      <c r="H1653" s="17" t="n">
        <v>14</v>
      </c>
      <c r="I1653" s="17" t="n">
        <v>9494.4</v>
      </c>
      <c r="J1653" s="15" t="s">
        <v>98</v>
      </c>
      <c r="K1653" s="15" t="s">
        <v>128</v>
      </c>
    </row>
    <row r="1654" customFormat="false" ht="14.25" hidden="false" customHeight="false" outlineLevel="0" collapsed="false">
      <c r="A1654" s="15" t="s">
        <v>2160</v>
      </c>
      <c r="B1654" s="16" t="n">
        <v>45597</v>
      </c>
      <c r="C1654" s="15" t="s">
        <v>219</v>
      </c>
      <c r="D1654" s="15" t="s">
        <v>378</v>
      </c>
      <c r="E1654" s="15" t="s">
        <v>203</v>
      </c>
      <c r="F1654" s="17" t="n">
        <v>5</v>
      </c>
      <c r="G1654" s="17" t="n">
        <v>2380</v>
      </c>
      <c r="H1654" s="17" t="n">
        <v>16.4</v>
      </c>
      <c r="I1654" s="17" t="n">
        <v>9948.4</v>
      </c>
      <c r="J1654" s="15" t="s">
        <v>98</v>
      </c>
      <c r="K1654" s="15" t="s">
        <v>144</v>
      </c>
    </row>
    <row r="1655" customFormat="false" ht="14.25" hidden="false" customHeight="false" outlineLevel="0" collapsed="false">
      <c r="A1655" s="15" t="s">
        <v>2161</v>
      </c>
      <c r="B1655" s="16" t="n">
        <v>45307</v>
      </c>
      <c r="C1655" s="15" t="s">
        <v>2162</v>
      </c>
      <c r="D1655" s="15" t="s">
        <v>252</v>
      </c>
      <c r="E1655" s="15" t="s">
        <v>199</v>
      </c>
      <c r="F1655" s="17" t="n">
        <v>2</v>
      </c>
      <c r="G1655" s="17" t="n">
        <v>6080</v>
      </c>
      <c r="H1655" s="17" t="n">
        <v>20.1</v>
      </c>
      <c r="I1655" s="17" t="n">
        <v>9715.84</v>
      </c>
      <c r="J1655" s="15" t="s">
        <v>151</v>
      </c>
      <c r="K1655" s="15" t="s">
        <v>123</v>
      </c>
    </row>
    <row r="1656" customFormat="false" ht="14.25" hidden="false" customHeight="false" outlineLevel="0" collapsed="false">
      <c r="A1656" s="15" t="s">
        <v>2163</v>
      </c>
      <c r="B1656" s="16" t="n">
        <v>45568</v>
      </c>
      <c r="C1656" s="15" t="s">
        <v>550</v>
      </c>
      <c r="D1656" s="15" t="s">
        <v>303</v>
      </c>
      <c r="E1656" s="15" t="s">
        <v>357</v>
      </c>
      <c r="F1656" s="17" t="n">
        <v>2</v>
      </c>
      <c r="G1656" s="17" t="n">
        <v>620</v>
      </c>
      <c r="H1656" s="17" t="n">
        <v>4.3</v>
      </c>
      <c r="I1656" s="17" t="n">
        <v>1186.68</v>
      </c>
      <c r="J1656" s="15" t="s">
        <v>98</v>
      </c>
      <c r="K1656" s="15" t="s">
        <v>144</v>
      </c>
    </row>
    <row r="1657" customFormat="false" ht="14.25" hidden="false" customHeight="false" outlineLevel="0" collapsed="false">
      <c r="A1657" s="15" t="s">
        <v>2164</v>
      </c>
      <c r="B1657" s="16" t="n">
        <v>45654</v>
      </c>
      <c r="C1657" s="15" t="s">
        <v>483</v>
      </c>
      <c r="D1657" s="15" t="s">
        <v>259</v>
      </c>
      <c r="E1657" s="15" t="s">
        <v>336</v>
      </c>
      <c r="F1657" s="17" t="n">
        <v>7</v>
      </c>
      <c r="G1657" s="17" t="n">
        <v>3870</v>
      </c>
      <c r="H1657" s="17" t="n">
        <v>5.9</v>
      </c>
      <c r="I1657" s="17" t="n">
        <v>25491.69</v>
      </c>
      <c r="J1657" s="15" t="s">
        <v>98</v>
      </c>
      <c r="K1657" s="15" t="s">
        <v>105</v>
      </c>
    </row>
    <row r="1658" customFormat="false" ht="14.25" hidden="false" customHeight="false" outlineLevel="0" collapsed="false">
      <c r="A1658" s="15" t="s">
        <v>2165</v>
      </c>
      <c r="B1658" s="16" t="n">
        <v>45412</v>
      </c>
      <c r="C1658" s="15" t="s">
        <v>1017</v>
      </c>
      <c r="D1658" s="15" t="s">
        <v>198</v>
      </c>
      <c r="E1658" s="15" t="s">
        <v>203</v>
      </c>
      <c r="F1658" s="17" t="n">
        <v>8</v>
      </c>
      <c r="G1658" s="17" t="n">
        <v>3570</v>
      </c>
      <c r="H1658" s="17" t="n">
        <v>24.6</v>
      </c>
      <c r="I1658" s="17" t="n">
        <v>21534.24</v>
      </c>
      <c r="J1658" s="15" t="s">
        <v>98</v>
      </c>
      <c r="K1658" s="15" t="s">
        <v>128</v>
      </c>
    </row>
    <row r="1659" customFormat="false" ht="14.25" hidden="false" customHeight="false" outlineLevel="0" collapsed="false">
      <c r="A1659" s="15" t="s">
        <v>2166</v>
      </c>
      <c r="B1659" s="16" t="n">
        <v>45653</v>
      </c>
      <c r="C1659" s="15" t="s">
        <v>258</v>
      </c>
      <c r="D1659" s="15" t="s">
        <v>275</v>
      </c>
      <c r="E1659" s="15" t="s">
        <v>143</v>
      </c>
      <c r="F1659" s="17" t="n">
        <v>1</v>
      </c>
      <c r="G1659" s="17" t="n">
        <v>4070</v>
      </c>
      <c r="H1659" s="17" t="n">
        <v>29.1</v>
      </c>
      <c r="I1659" s="17" t="n">
        <v>2885.63</v>
      </c>
      <c r="J1659" s="15" t="s">
        <v>104</v>
      </c>
      <c r="K1659" s="15" t="s">
        <v>128</v>
      </c>
    </row>
    <row r="1660" customFormat="false" ht="14.25" hidden="false" customHeight="false" outlineLevel="0" collapsed="false">
      <c r="A1660" s="15" t="s">
        <v>2167</v>
      </c>
      <c r="B1660" s="16" t="n">
        <v>45568</v>
      </c>
      <c r="C1660" s="15" t="s">
        <v>521</v>
      </c>
      <c r="D1660" s="15" t="s">
        <v>102</v>
      </c>
      <c r="E1660" s="15" t="s">
        <v>249</v>
      </c>
      <c r="F1660" s="17" t="n">
        <v>1</v>
      </c>
      <c r="G1660" s="17" t="n">
        <v>820</v>
      </c>
      <c r="H1660" s="17" t="n">
        <v>17.9</v>
      </c>
      <c r="I1660" s="17" t="n">
        <v>673.22</v>
      </c>
      <c r="J1660" s="15" t="s">
        <v>98</v>
      </c>
      <c r="K1660" s="15" t="s">
        <v>128</v>
      </c>
    </row>
    <row r="1661" customFormat="false" ht="14.25" hidden="false" customHeight="false" outlineLevel="0" collapsed="false">
      <c r="A1661" s="15" t="s">
        <v>2168</v>
      </c>
      <c r="B1661" s="16" t="n">
        <v>45643</v>
      </c>
      <c r="C1661" s="15" t="s">
        <v>310</v>
      </c>
      <c r="D1661" s="15" t="s">
        <v>287</v>
      </c>
      <c r="E1661" s="15" t="s">
        <v>240</v>
      </c>
      <c r="F1661" s="17" t="n">
        <v>5</v>
      </c>
      <c r="G1661" s="17" t="n">
        <v>3020</v>
      </c>
      <c r="H1661" s="17" t="n">
        <v>26.2</v>
      </c>
      <c r="I1661" s="17" t="n">
        <v>11143.8</v>
      </c>
      <c r="J1661" s="15" t="s">
        <v>98</v>
      </c>
      <c r="K1661" s="15" t="s">
        <v>144</v>
      </c>
    </row>
    <row r="1662" customFormat="false" ht="14.25" hidden="false" customHeight="false" outlineLevel="0" collapsed="false">
      <c r="A1662" s="15" t="s">
        <v>2169</v>
      </c>
      <c r="B1662" s="16" t="n">
        <v>45411</v>
      </c>
      <c r="C1662" s="15" t="s">
        <v>639</v>
      </c>
      <c r="D1662" s="15" t="s">
        <v>670</v>
      </c>
      <c r="E1662" s="15" t="s">
        <v>296</v>
      </c>
      <c r="F1662" s="17" t="n">
        <v>10</v>
      </c>
      <c r="G1662" s="17" t="n">
        <v>3560</v>
      </c>
      <c r="H1662" s="17" t="n">
        <v>15.4</v>
      </c>
      <c r="I1662" s="17" t="n">
        <v>30117.6</v>
      </c>
      <c r="J1662" s="15" t="s">
        <v>155</v>
      </c>
      <c r="K1662" s="15" t="s">
        <v>144</v>
      </c>
    </row>
    <row r="1663" customFormat="false" ht="14.25" hidden="false" customHeight="false" outlineLevel="0" collapsed="false">
      <c r="A1663" s="15" t="s">
        <v>1469</v>
      </c>
      <c r="B1663" s="16" t="n">
        <v>45467</v>
      </c>
      <c r="C1663" s="15" t="s">
        <v>289</v>
      </c>
      <c r="D1663" s="15" t="s">
        <v>190</v>
      </c>
      <c r="E1663" s="15" t="s">
        <v>226</v>
      </c>
      <c r="F1663" s="17" t="n">
        <v>3</v>
      </c>
      <c r="G1663" s="17" t="n">
        <v>3350</v>
      </c>
      <c r="H1663" s="17" t="n">
        <v>8.1</v>
      </c>
      <c r="I1663" s="17" t="n">
        <v>9235.95</v>
      </c>
      <c r="J1663" s="15" t="s">
        <v>98</v>
      </c>
      <c r="K1663" s="15" t="s">
        <v>144</v>
      </c>
    </row>
    <row r="1664" customFormat="false" ht="14.25" hidden="false" customHeight="false" outlineLevel="0" collapsed="false">
      <c r="A1664" s="15" t="s">
        <v>2170</v>
      </c>
      <c r="B1664" s="16" t="n">
        <v>45542</v>
      </c>
      <c r="C1664" s="15" t="s">
        <v>731</v>
      </c>
      <c r="D1664" s="15" t="s">
        <v>397</v>
      </c>
      <c r="E1664" s="15" t="s">
        <v>122</v>
      </c>
      <c r="F1664" s="17" t="n">
        <v>10</v>
      </c>
      <c r="G1664" s="17" t="n">
        <v>2290</v>
      </c>
      <c r="H1664" s="17" t="n">
        <v>7</v>
      </c>
      <c r="I1664" s="17" t="n">
        <v>21297</v>
      </c>
      <c r="J1664" s="15" t="s">
        <v>98</v>
      </c>
      <c r="K1664" s="15" t="s">
        <v>99</v>
      </c>
    </row>
    <row r="1665" customFormat="false" ht="14.25" hidden="false" customHeight="false" outlineLevel="0" collapsed="false">
      <c r="A1665" s="15" t="s">
        <v>2171</v>
      </c>
      <c r="B1665" s="16" t="n">
        <v>45483</v>
      </c>
      <c r="C1665" s="15" t="s">
        <v>422</v>
      </c>
      <c r="D1665" s="15" t="s">
        <v>113</v>
      </c>
      <c r="E1665" s="15" t="s">
        <v>159</v>
      </c>
      <c r="F1665" s="17" t="n">
        <v>6</v>
      </c>
      <c r="G1665" s="17" t="n">
        <v>3660</v>
      </c>
      <c r="H1665" s="17" t="n">
        <v>29.9</v>
      </c>
      <c r="I1665" s="17" t="n">
        <v>15393.96</v>
      </c>
      <c r="J1665" s="15" t="s">
        <v>98</v>
      </c>
      <c r="K1665" s="15" t="s">
        <v>123</v>
      </c>
    </row>
    <row r="1666" customFormat="false" ht="14.25" hidden="false" customHeight="false" outlineLevel="0" collapsed="false">
      <c r="A1666" s="15" t="s">
        <v>2172</v>
      </c>
      <c r="B1666" s="16" t="n">
        <v>45426</v>
      </c>
      <c r="C1666" s="15" t="s">
        <v>535</v>
      </c>
      <c r="D1666" s="15" t="s">
        <v>146</v>
      </c>
      <c r="E1666" s="15" t="s">
        <v>263</v>
      </c>
      <c r="F1666" s="17" t="n">
        <v>8</v>
      </c>
      <c r="G1666" s="17" t="n">
        <v>2640</v>
      </c>
      <c r="H1666" s="17" t="n">
        <v>4.2</v>
      </c>
      <c r="I1666" s="17" t="n">
        <v>20232.96</v>
      </c>
      <c r="J1666" s="15" t="s">
        <v>155</v>
      </c>
      <c r="K1666" s="15" t="s">
        <v>123</v>
      </c>
    </row>
    <row r="1667" customFormat="false" ht="14.25" hidden="false" customHeight="false" outlineLevel="0" collapsed="false">
      <c r="A1667" s="15" t="s">
        <v>2173</v>
      </c>
      <c r="B1667" s="16" t="n">
        <v>45386</v>
      </c>
      <c r="C1667" s="15" t="s">
        <v>161</v>
      </c>
      <c r="D1667" s="15" t="s">
        <v>121</v>
      </c>
      <c r="E1667" s="15" t="s">
        <v>114</v>
      </c>
      <c r="F1667" s="17" t="n">
        <v>5</v>
      </c>
      <c r="G1667" s="17" t="n">
        <v>370</v>
      </c>
      <c r="H1667" s="17" t="n">
        <v>6</v>
      </c>
      <c r="I1667" s="17" t="n">
        <v>1739</v>
      </c>
      <c r="J1667" s="15" t="s">
        <v>98</v>
      </c>
      <c r="K1667" s="15" t="s">
        <v>99</v>
      </c>
    </row>
    <row r="1668" customFormat="false" ht="14.25" hidden="false" customHeight="false" outlineLevel="0" collapsed="false">
      <c r="A1668" s="15" t="s">
        <v>2174</v>
      </c>
      <c r="B1668" s="16" t="n">
        <v>45377</v>
      </c>
      <c r="C1668" s="15" t="s">
        <v>1076</v>
      </c>
      <c r="D1668" s="15" t="s">
        <v>142</v>
      </c>
      <c r="E1668" s="15" t="s">
        <v>97</v>
      </c>
      <c r="F1668" s="17" t="n">
        <v>9</v>
      </c>
      <c r="G1668" s="17" t="n">
        <v>2270</v>
      </c>
      <c r="H1668" s="17" t="n">
        <v>4.7</v>
      </c>
      <c r="I1668" s="17" t="n">
        <v>19469.79</v>
      </c>
      <c r="J1668" s="15" t="s">
        <v>98</v>
      </c>
      <c r="K1668" s="15" t="s">
        <v>105</v>
      </c>
    </row>
    <row r="1669" customFormat="false" ht="14.25" hidden="false" customHeight="false" outlineLevel="0" collapsed="false">
      <c r="A1669" s="15" t="s">
        <v>2175</v>
      </c>
      <c r="B1669" s="16" t="n">
        <v>45414</v>
      </c>
      <c r="C1669" s="15" t="s">
        <v>848</v>
      </c>
      <c r="D1669" s="15" t="s">
        <v>214</v>
      </c>
      <c r="E1669" s="15" t="s">
        <v>284</v>
      </c>
      <c r="F1669" s="17" t="n">
        <v>5</v>
      </c>
      <c r="G1669" s="17" t="n">
        <v>660</v>
      </c>
      <c r="H1669" s="17" t="n">
        <v>21</v>
      </c>
      <c r="I1669" s="17" t="n">
        <v>2607</v>
      </c>
      <c r="J1669" s="15" t="s">
        <v>98</v>
      </c>
      <c r="K1669" s="15" t="s">
        <v>128</v>
      </c>
    </row>
    <row r="1670" customFormat="false" ht="14.25" hidden="false" customHeight="false" outlineLevel="0" collapsed="false">
      <c r="A1670" s="15" t="s">
        <v>2176</v>
      </c>
      <c r="B1670" s="16" t="n">
        <v>45407</v>
      </c>
      <c r="C1670" s="15" t="s">
        <v>2177</v>
      </c>
      <c r="D1670" s="15" t="s">
        <v>126</v>
      </c>
      <c r="E1670" s="15" t="s">
        <v>159</v>
      </c>
      <c r="F1670" s="17" t="n">
        <v>2</v>
      </c>
      <c r="G1670" s="17" t="n">
        <v>960</v>
      </c>
      <c r="H1670" s="17" t="n">
        <v>7.3</v>
      </c>
      <c r="I1670" s="17" t="n">
        <v>1779.84</v>
      </c>
      <c r="J1670" s="15" t="s">
        <v>98</v>
      </c>
      <c r="K1670" s="15" t="s">
        <v>128</v>
      </c>
    </row>
    <row r="1671" customFormat="false" ht="14.25" hidden="false" customHeight="false" outlineLevel="0" collapsed="false">
      <c r="A1671" s="15" t="s">
        <v>2178</v>
      </c>
      <c r="B1671" s="16" t="n">
        <v>45509</v>
      </c>
      <c r="C1671" s="15" t="s">
        <v>177</v>
      </c>
      <c r="D1671" s="15" t="s">
        <v>202</v>
      </c>
      <c r="E1671" s="15" t="s">
        <v>215</v>
      </c>
      <c r="F1671" s="17" t="n">
        <v>3</v>
      </c>
      <c r="G1671" s="17" t="n">
        <v>5100</v>
      </c>
      <c r="H1671" s="17" t="n">
        <v>21</v>
      </c>
      <c r="I1671" s="17" t="n">
        <v>12087</v>
      </c>
      <c r="J1671" s="15" t="s">
        <v>98</v>
      </c>
      <c r="K1671" s="15" t="s">
        <v>144</v>
      </c>
    </row>
    <row r="1672" customFormat="false" ht="14.25" hidden="false" customHeight="false" outlineLevel="0" collapsed="false">
      <c r="A1672" s="15" t="s">
        <v>2179</v>
      </c>
      <c r="B1672" s="16" t="n">
        <v>45566</v>
      </c>
      <c r="C1672" s="15" t="s">
        <v>292</v>
      </c>
      <c r="D1672" s="15" t="s">
        <v>117</v>
      </c>
      <c r="E1672" s="15" t="s">
        <v>150</v>
      </c>
      <c r="F1672" s="17" t="n">
        <v>3</v>
      </c>
      <c r="G1672" s="17" t="n">
        <v>3160</v>
      </c>
      <c r="H1672" s="17" t="n">
        <v>13.5</v>
      </c>
      <c r="I1672" s="17" t="n">
        <v>8200.2</v>
      </c>
      <c r="J1672" s="15" t="s">
        <v>98</v>
      </c>
      <c r="K1672" s="15" t="s">
        <v>99</v>
      </c>
    </row>
    <row r="1673" customFormat="false" ht="14.25" hidden="false" customHeight="false" outlineLevel="0" collapsed="false">
      <c r="A1673" s="15" t="s">
        <v>2180</v>
      </c>
      <c r="B1673" s="16" t="n">
        <v>45524</v>
      </c>
      <c r="C1673" s="15" t="s">
        <v>2181</v>
      </c>
      <c r="D1673" s="15" t="s">
        <v>270</v>
      </c>
      <c r="E1673" s="15" t="s">
        <v>103</v>
      </c>
      <c r="F1673" s="17" t="n">
        <v>9</v>
      </c>
      <c r="G1673" s="17" t="n">
        <v>1540</v>
      </c>
      <c r="H1673" s="17" t="n">
        <v>18.2</v>
      </c>
      <c r="I1673" s="17" t="n">
        <v>11337.48</v>
      </c>
      <c r="J1673" s="15" t="s">
        <v>151</v>
      </c>
      <c r="K1673" s="15" t="s">
        <v>128</v>
      </c>
    </row>
    <row r="1674" customFormat="false" ht="14.25" hidden="false" customHeight="false" outlineLevel="0" collapsed="false">
      <c r="A1674" s="15" t="s">
        <v>2182</v>
      </c>
      <c r="B1674" s="16" t="n">
        <v>45431</v>
      </c>
      <c r="C1674" s="15" t="s">
        <v>164</v>
      </c>
      <c r="D1674" s="15" t="s">
        <v>168</v>
      </c>
      <c r="E1674" s="15" t="s">
        <v>127</v>
      </c>
      <c r="F1674" s="17" t="n">
        <v>4</v>
      </c>
      <c r="G1674" s="17" t="n">
        <v>3450</v>
      </c>
      <c r="H1674" s="17" t="n">
        <v>26.4</v>
      </c>
      <c r="I1674" s="17" t="n">
        <v>10156.8</v>
      </c>
      <c r="J1674" s="15" t="s">
        <v>104</v>
      </c>
      <c r="K1674" s="15" t="s">
        <v>128</v>
      </c>
    </row>
    <row r="1675" customFormat="false" ht="14.25" hidden="false" customHeight="false" outlineLevel="0" collapsed="false">
      <c r="A1675" s="15" t="s">
        <v>2183</v>
      </c>
      <c r="B1675" s="16" t="n">
        <v>45598</v>
      </c>
      <c r="C1675" s="15" t="s">
        <v>422</v>
      </c>
      <c r="D1675" s="15" t="s">
        <v>378</v>
      </c>
      <c r="E1675" s="15" t="s">
        <v>212</v>
      </c>
      <c r="F1675" s="17" t="n">
        <v>4</v>
      </c>
      <c r="G1675" s="17" t="n">
        <v>2380</v>
      </c>
      <c r="H1675" s="17" t="n">
        <v>6.9</v>
      </c>
      <c r="I1675" s="17" t="n">
        <v>8863.12</v>
      </c>
      <c r="J1675" s="15" t="s">
        <v>98</v>
      </c>
      <c r="K1675" s="15" t="s">
        <v>123</v>
      </c>
    </row>
    <row r="1676" customFormat="false" ht="14.25" hidden="false" customHeight="false" outlineLevel="0" collapsed="false">
      <c r="A1676" s="15" t="s">
        <v>2184</v>
      </c>
      <c r="B1676" s="16" t="n">
        <v>45419</v>
      </c>
      <c r="C1676" s="15" t="s">
        <v>292</v>
      </c>
      <c r="D1676" s="15" t="s">
        <v>237</v>
      </c>
      <c r="E1676" s="15" t="s">
        <v>159</v>
      </c>
      <c r="F1676" s="17" t="n">
        <v>2</v>
      </c>
      <c r="G1676" s="17" t="n">
        <v>3730</v>
      </c>
      <c r="H1676" s="17" t="n">
        <v>22.9</v>
      </c>
      <c r="I1676" s="17" t="n">
        <v>5751.66</v>
      </c>
      <c r="J1676" s="15" t="s">
        <v>98</v>
      </c>
      <c r="K1676" s="15" t="s">
        <v>99</v>
      </c>
    </row>
    <row r="1677" customFormat="false" ht="14.25" hidden="false" customHeight="false" outlineLevel="0" collapsed="false">
      <c r="A1677" s="15" t="s">
        <v>2185</v>
      </c>
      <c r="B1677" s="16" t="n">
        <v>45549</v>
      </c>
      <c r="C1677" s="15" t="s">
        <v>384</v>
      </c>
      <c r="D1677" s="15" t="s">
        <v>154</v>
      </c>
      <c r="E1677" s="15" t="s">
        <v>308</v>
      </c>
      <c r="F1677" s="17" t="n">
        <v>7</v>
      </c>
      <c r="G1677" s="17" t="n">
        <v>3250</v>
      </c>
      <c r="H1677" s="17" t="n">
        <v>6</v>
      </c>
      <c r="I1677" s="17" t="n">
        <v>21385</v>
      </c>
      <c r="J1677" s="15" t="s">
        <v>98</v>
      </c>
      <c r="K1677" s="15" t="s">
        <v>99</v>
      </c>
    </row>
    <row r="1678" customFormat="false" ht="14.25" hidden="false" customHeight="false" outlineLevel="0" collapsed="false">
      <c r="A1678" s="15" t="s">
        <v>2186</v>
      </c>
      <c r="B1678" s="16" t="n">
        <v>45519</v>
      </c>
      <c r="C1678" s="15" t="s">
        <v>781</v>
      </c>
      <c r="D1678" s="15" t="s">
        <v>108</v>
      </c>
      <c r="E1678" s="15" t="s">
        <v>203</v>
      </c>
      <c r="F1678" s="17" t="n">
        <v>9</v>
      </c>
      <c r="G1678" s="17" t="n">
        <v>470</v>
      </c>
      <c r="H1678" s="17" t="n">
        <v>11.6</v>
      </c>
      <c r="I1678" s="17" t="n">
        <v>3739.32</v>
      </c>
      <c r="J1678" s="15" t="s">
        <v>98</v>
      </c>
      <c r="K1678" s="15" t="s">
        <v>99</v>
      </c>
    </row>
    <row r="1679" customFormat="false" ht="14.25" hidden="false" customHeight="false" outlineLevel="0" collapsed="false">
      <c r="A1679" s="15" t="s">
        <v>2187</v>
      </c>
      <c r="B1679" s="16" t="n">
        <v>45574</v>
      </c>
      <c r="C1679" s="15" t="s">
        <v>768</v>
      </c>
      <c r="D1679" s="15" t="s">
        <v>397</v>
      </c>
      <c r="E1679" s="15" t="s">
        <v>212</v>
      </c>
      <c r="F1679" s="17" t="n">
        <v>5</v>
      </c>
      <c r="G1679" s="17" t="n">
        <v>2290</v>
      </c>
      <c r="H1679" s="17" t="n">
        <v>27.6</v>
      </c>
      <c r="I1679" s="17" t="n">
        <v>8289.8</v>
      </c>
      <c r="J1679" s="15" t="s">
        <v>98</v>
      </c>
      <c r="K1679" s="15" t="s">
        <v>128</v>
      </c>
    </row>
    <row r="1680" customFormat="false" ht="14.25" hidden="false" customHeight="false" outlineLevel="0" collapsed="false">
      <c r="A1680" s="15" t="s">
        <v>2188</v>
      </c>
      <c r="B1680" s="16" t="n">
        <v>45462</v>
      </c>
      <c r="C1680" s="15" t="s">
        <v>680</v>
      </c>
      <c r="D1680" s="15" t="s">
        <v>131</v>
      </c>
      <c r="E1680" s="15" t="s">
        <v>240</v>
      </c>
      <c r="F1680" s="17" t="n">
        <v>6</v>
      </c>
      <c r="G1680" s="17" t="n">
        <v>1430</v>
      </c>
      <c r="H1680" s="17" t="n">
        <v>18.4</v>
      </c>
      <c r="I1680" s="17" t="n">
        <v>7001.28</v>
      </c>
      <c r="J1680" s="15" t="s">
        <v>104</v>
      </c>
      <c r="K1680" s="15" t="s">
        <v>144</v>
      </c>
    </row>
    <row r="1681" customFormat="false" ht="14.25" hidden="false" customHeight="false" outlineLevel="0" collapsed="false">
      <c r="A1681" s="15" t="s">
        <v>2189</v>
      </c>
      <c r="B1681" s="16" t="n">
        <v>45336</v>
      </c>
      <c r="C1681" s="15" t="s">
        <v>1272</v>
      </c>
      <c r="D1681" s="15" t="s">
        <v>206</v>
      </c>
      <c r="E1681" s="15" t="s">
        <v>308</v>
      </c>
      <c r="F1681" s="17" t="n">
        <v>7</v>
      </c>
      <c r="G1681" s="17" t="n">
        <v>2860</v>
      </c>
      <c r="H1681" s="17" t="n">
        <v>19.5</v>
      </c>
      <c r="I1681" s="17" t="n">
        <v>16116.1</v>
      </c>
      <c r="J1681" s="15" t="s">
        <v>98</v>
      </c>
      <c r="K1681" s="15" t="s">
        <v>128</v>
      </c>
    </row>
    <row r="1682" customFormat="false" ht="14.25" hidden="false" customHeight="false" outlineLevel="0" collapsed="false">
      <c r="A1682" s="15" t="s">
        <v>2190</v>
      </c>
      <c r="B1682" s="16" t="n">
        <v>45439</v>
      </c>
      <c r="C1682" s="15" t="s">
        <v>568</v>
      </c>
      <c r="D1682" s="15" t="s">
        <v>168</v>
      </c>
      <c r="E1682" s="15" t="s">
        <v>203</v>
      </c>
      <c r="F1682" s="17" t="n">
        <v>8</v>
      </c>
      <c r="G1682" s="17" t="n">
        <v>3450</v>
      </c>
      <c r="H1682" s="17" t="n">
        <v>25.5</v>
      </c>
      <c r="I1682" s="17" t="n">
        <v>20562</v>
      </c>
      <c r="J1682" s="15" t="s">
        <v>104</v>
      </c>
      <c r="K1682" s="15" t="s">
        <v>123</v>
      </c>
    </row>
    <row r="1683" customFormat="false" ht="14.25" hidden="false" customHeight="false" outlineLevel="0" collapsed="false">
      <c r="A1683" s="15" t="s">
        <v>2191</v>
      </c>
      <c r="B1683" s="16" t="n">
        <v>45578</v>
      </c>
      <c r="C1683" s="15" t="s">
        <v>570</v>
      </c>
      <c r="D1683" s="15" t="s">
        <v>371</v>
      </c>
      <c r="E1683" s="15" t="s">
        <v>132</v>
      </c>
      <c r="F1683" s="17" t="n">
        <v>7</v>
      </c>
      <c r="G1683" s="17" t="n">
        <v>5410</v>
      </c>
      <c r="H1683" s="17" t="n">
        <v>15.2</v>
      </c>
      <c r="I1683" s="17" t="n">
        <v>32113.76</v>
      </c>
      <c r="J1683" s="15" t="s">
        <v>151</v>
      </c>
      <c r="K1683" s="15" t="s">
        <v>99</v>
      </c>
    </row>
    <row r="1684" customFormat="false" ht="14.25" hidden="false" customHeight="false" outlineLevel="0" collapsed="false">
      <c r="A1684" s="15" t="s">
        <v>2192</v>
      </c>
      <c r="B1684" s="16" t="n">
        <v>45588</v>
      </c>
      <c r="C1684" s="15" t="s">
        <v>570</v>
      </c>
      <c r="D1684" s="15" t="s">
        <v>175</v>
      </c>
      <c r="E1684" s="15" t="s">
        <v>122</v>
      </c>
      <c r="F1684" s="17" t="n">
        <v>3</v>
      </c>
      <c r="G1684" s="17" t="n">
        <v>1080</v>
      </c>
      <c r="H1684" s="17" t="n">
        <v>26</v>
      </c>
      <c r="I1684" s="17" t="n">
        <v>2397.6</v>
      </c>
      <c r="J1684" s="15" t="s">
        <v>98</v>
      </c>
      <c r="K1684" s="15" t="s">
        <v>99</v>
      </c>
    </row>
    <row r="1685" customFormat="false" ht="14.25" hidden="false" customHeight="false" outlineLevel="0" collapsed="false">
      <c r="A1685" s="15" t="s">
        <v>2193</v>
      </c>
      <c r="B1685" s="16" t="n">
        <v>45354</v>
      </c>
      <c r="C1685" s="15" t="s">
        <v>323</v>
      </c>
      <c r="D1685" s="15" t="s">
        <v>206</v>
      </c>
      <c r="E1685" s="15" t="s">
        <v>132</v>
      </c>
      <c r="F1685" s="17" t="n">
        <v>8</v>
      </c>
      <c r="G1685" s="17" t="n">
        <v>2860</v>
      </c>
      <c r="H1685" s="17" t="n">
        <v>14.8</v>
      </c>
      <c r="I1685" s="17" t="n">
        <v>19493.76</v>
      </c>
      <c r="J1685" s="15" t="s">
        <v>98</v>
      </c>
      <c r="K1685" s="15" t="s">
        <v>144</v>
      </c>
    </row>
    <row r="1686" customFormat="false" ht="14.25" hidden="false" customHeight="false" outlineLevel="0" collapsed="false">
      <c r="A1686" s="15" t="s">
        <v>2194</v>
      </c>
      <c r="B1686" s="16" t="n">
        <v>45332</v>
      </c>
      <c r="C1686" s="15" t="s">
        <v>2195</v>
      </c>
      <c r="D1686" s="15" t="s">
        <v>287</v>
      </c>
      <c r="E1686" s="15" t="s">
        <v>263</v>
      </c>
      <c r="F1686" s="17" t="n">
        <v>4</v>
      </c>
      <c r="G1686" s="17" t="n">
        <v>3020</v>
      </c>
      <c r="H1686" s="17" t="n">
        <v>8.1</v>
      </c>
      <c r="I1686" s="17" t="n">
        <v>11101.52</v>
      </c>
      <c r="J1686" s="15" t="s">
        <v>98</v>
      </c>
      <c r="K1686" s="15" t="s">
        <v>144</v>
      </c>
    </row>
    <row r="1687" customFormat="false" ht="14.25" hidden="false" customHeight="false" outlineLevel="0" collapsed="false">
      <c r="A1687" s="15" t="s">
        <v>2196</v>
      </c>
      <c r="B1687" s="16" t="n">
        <v>45649</v>
      </c>
      <c r="C1687" s="15" t="s">
        <v>239</v>
      </c>
      <c r="D1687" s="15" t="s">
        <v>126</v>
      </c>
      <c r="E1687" s="15" t="s">
        <v>122</v>
      </c>
      <c r="F1687" s="17" t="n">
        <v>4</v>
      </c>
      <c r="G1687" s="17" t="n">
        <v>960</v>
      </c>
      <c r="H1687" s="17" t="n">
        <v>6.4</v>
      </c>
      <c r="I1687" s="17" t="n">
        <v>3594.24</v>
      </c>
      <c r="J1687" s="15" t="s">
        <v>151</v>
      </c>
      <c r="K1687" s="15" t="s">
        <v>123</v>
      </c>
    </row>
    <row r="1688" customFormat="false" ht="14.25" hidden="false" customHeight="false" outlineLevel="0" collapsed="false">
      <c r="A1688" s="15" t="s">
        <v>2197</v>
      </c>
      <c r="B1688" s="16" t="n">
        <v>45596</v>
      </c>
      <c r="C1688" s="15" t="s">
        <v>562</v>
      </c>
      <c r="D1688" s="15" t="s">
        <v>259</v>
      </c>
      <c r="E1688" s="15" t="s">
        <v>240</v>
      </c>
      <c r="F1688" s="17" t="n">
        <v>4</v>
      </c>
      <c r="G1688" s="17" t="n">
        <v>3870</v>
      </c>
      <c r="H1688" s="17" t="n">
        <v>15.9</v>
      </c>
      <c r="I1688" s="17" t="n">
        <v>13018.68</v>
      </c>
      <c r="J1688" s="15" t="s">
        <v>98</v>
      </c>
      <c r="K1688" s="15" t="s">
        <v>123</v>
      </c>
    </row>
    <row r="1689" customFormat="false" ht="14.25" hidden="false" customHeight="false" outlineLevel="0" collapsed="false">
      <c r="A1689" s="15" t="s">
        <v>2198</v>
      </c>
      <c r="B1689" s="16" t="n">
        <v>45378</v>
      </c>
      <c r="C1689" s="15" t="s">
        <v>1183</v>
      </c>
      <c r="D1689" s="15" t="s">
        <v>117</v>
      </c>
      <c r="E1689" s="15" t="s">
        <v>203</v>
      </c>
      <c r="F1689" s="17" t="n">
        <v>5</v>
      </c>
      <c r="G1689" s="17" t="n">
        <v>3160</v>
      </c>
      <c r="H1689" s="17" t="n">
        <v>29.8</v>
      </c>
      <c r="I1689" s="17" t="n">
        <v>11091.6</v>
      </c>
      <c r="J1689" s="15" t="s">
        <v>98</v>
      </c>
      <c r="K1689" s="15" t="s">
        <v>99</v>
      </c>
    </row>
    <row r="1690" customFormat="false" ht="14.25" hidden="false" customHeight="false" outlineLevel="0" collapsed="false">
      <c r="A1690" s="15" t="s">
        <v>2199</v>
      </c>
      <c r="B1690" s="16" t="n">
        <v>45403</v>
      </c>
      <c r="C1690" s="15" t="s">
        <v>451</v>
      </c>
      <c r="D1690" s="15" t="s">
        <v>168</v>
      </c>
      <c r="E1690" s="15" t="s">
        <v>354</v>
      </c>
      <c r="F1690" s="17" t="n">
        <v>5</v>
      </c>
      <c r="G1690" s="17" t="n">
        <v>3450</v>
      </c>
      <c r="H1690" s="17" t="n">
        <v>29.4</v>
      </c>
      <c r="I1690" s="17" t="n">
        <v>12178.5</v>
      </c>
      <c r="J1690" s="15" t="s">
        <v>98</v>
      </c>
      <c r="K1690" s="15" t="s">
        <v>99</v>
      </c>
    </row>
    <row r="1691" customFormat="false" ht="14.25" hidden="false" customHeight="false" outlineLevel="0" collapsed="false">
      <c r="A1691" s="15" t="s">
        <v>2200</v>
      </c>
      <c r="B1691" s="16" t="n">
        <v>45535</v>
      </c>
      <c r="C1691" s="15" t="s">
        <v>861</v>
      </c>
      <c r="D1691" s="15" t="s">
        <v>391</v>
      </c>
      <c r="E1691" s="15" t="s">
        <v>314</v>
      </c>
      <c r="F1691" s="17" t="n">
        <v>10</v>
      </c>
      <c r="G1691" s="17" t="n">
        <v>960</v>
      </c>
      <c r="H1691" s="17" t="n">
        <v>27</v>
      </c>
      <c r="I1691" s="17" t="n">
        <v>7008</v>
      </c>
      <c r="J1691" s="15" t="s">
        <v>151</v>
      </c>
      <c r="K1691" s="15" t="s">
        <v>105</v>
      </c>
    </row>
    <row r="1692" customFormat="false" ht="14.25" hidden="false" customHeight="false" outlineLevel="0" collapsed="false">
      <c r="A1692" s="15" t="s">
        <v>2201</v>
      </c>
      <c r="B1692" s="16" t="n">
        <v>45429</v>
      </c>
      <c r="C1692" s="15" t="s">
        <v>790</v>
      </c>
      <c r="D1692" s="15" t="s">
        <v>526</v>
      </c>
      <c r="E1692" s="15" t="s">
        <v>314</v>
      </c>
      <c r="F1692" s="17" t="n">
        <v>10</v>
      </c>
      <c r="G1692" s="17" t="n">
        <v>6940</v>
      </c>
      <c r="H1692" s="17" t="n">
        <v>20.1</v>
      </c>
      <c r="I1692" s="17" t="n">
        <v>55450.6</v>
      </c>
      <c r="J1692" s="15" t="s">
        <v>98</v>
      </c>
      <c r="K1692" s="15" t="s">
        <v>128</v>
      </c>
    </row>
    <row r="1693" customFormat="false" ht="14.25" hidden="false" customHeight="false" outlineLevel="0" collapsed="false">
      <c r="A1693" s="15" t="s">
        <v>2202</v>
      </c>
      <c r="B1693" s="16" t="n">
        <v>45436</v>
      </c>
      <c r="C1693" s="15" t="s">
        <v>610</v>
      </c>
      <c r="D1693" s="15" t="s">
        <v>162</v>
      </c>
      <c r="E1693" s="15" t="s">
        <v>215</v>
      </c>
      <c r="F1693" s="17" t="n">
        <v>9</v>
      </c>
      <c r="G1693" s="17" t="n">
        <v>2400</v>
      </c>
      <c r="H1693" s="17" t="n">
        <v>7.8</v>
      </c>
      <c r="I1693" s="17" t="n">
        <v>19915.2</v>
      </c>
      <c r="J1693" s="15" t="s">
        <v>98</v>
      </c>
      <c r="K1693" s="15" t="s">
        <v>128</v>
      </c>
    </row>
    <row r="1694" customFormat="false" ht="14.25" hidden="false" customHeight="false" outlineLevel="0" collapsed="false">
      <c r="A1694" s="15" t="s">
        <v>2203</v>
      </c>
      <c r="B1694" s="16" t="n">
        <v>45397</v>
      </c>
      <c r="C1694" s="15" t="s">
        <v>1308</v>
      </c>
      <c r="D1694" s="15" t="s">
        <v>371</v>
      </c>
      <c r="E1694" s="15" t="s">
        <v>249</v>
      </c>
      <c r="F1694" s="17" t="n">
        <v>1</v>
      </c>
      <c r="G1694" s="17" t="n">
        <v>5410</v>
      </c>
      <c r="H1694" s="17" t="n">
        <v>22.8</v>
      </c>
      <c r="I1694" s="17" t="n">
        <v>4176.52</v>
      </c>
      <c r="J1694" s="15" t="s">
        <v>98</v>
      </c>
      <c r="K1694" s="15" t="s">
        <v>123</v>
      </c>
    </row>
    <row r="1695" customFormat="false" ht="14.25" hidden="false" customHeight="false" outlineLevel="0" collapsed="false">
      <c r="A1695" s="15" t="s">
        <v>2204</v>
      </c>
      <c r="B1695" s="16" t="n">
        <v>45629</v>
      </c>
      <c r="C1695" s="15" t="s">
        <v>1272</v>
      </c>
      <c r="D1695" s="15" t="s">
        <v>278</v>
      </c>
      <c r="E1695" s="15" t="s">
        <v>150</v>
      </c>
      <c r="F1695" s="17" t="n">
        <v>7</v>
      </c>
      <c r="G1695" s="17" t="n">
        <v>1220</v>
      </c>
      <c r="H1695" s="17" t="n">
        <v>18.8</v>
      </c>
      <c r="I1695" s="17" t="n">
        <v>6934.48</v>
      </c>
      <c r="J1695" s="15" t="s">
        <v>104</v>
      </c>
      <c r="K1695" s="15" t="s">
        <v>128</v>
      </c>
    </row>
    <row r="1696" customFormat="false" ht="14.25" hidden="false" customHeight="false" outlineLevel="0" collapsed="false">
      <c r="A1696" s="15" t="s">
        <v>2205</v>
      </c>
      <c r="B1696" s="16" t="n">
        <v>45595</v>
      </c>
      <c r="C1696" s="15" t="s">
        <v>192</v>
      </c>
      <c r="D1696" s="15" t="s">
        <v>513</v>
      </c>
      <c r="E1696" s="15" t="s">
        <v>132</v>
      </c>
      <c r="F1696" s="17" t="n">
        <v>1</v>
      </c>
      <c r="G1696" s="17" t="n">
        <v>1090</v>
      </c>
      <c r="H1696" s="17" t="n">
        <v>23.5</v>
      </c>
      <c r="I1696" s="17" t="n">
        <v>833.85</v>
      </c>
      <c r="J1696" s="15" t="s">
        <v>98</v>
      </c>
      <c r="K1696" s="15" t="s">
        <v>110</v>
      </c>
    </row>
    <row r="1697" customFormat="false" ht="14.25" hidden="false" customHeight="false" outlineLevel="0" collapsed="false">
      <c r="A1697" s="15" t="s">
        <v>2206</v>
      </c>
      <c r="B1697" s="16" t="n">
        <v>45531</v>
      </c>
      <c r="C1697" s="15" t="s">
        <v>932</v>
      </c>
      <c r="D1697" s="15" t="s">
        <v>211</v>
      </c>
      <c r="E1697" s="15" t="s">
        <v>165</v>
      </c>
      <c r="F1697" s="17" t="n">
        <v>2</v>
      </c>
      <c r="G1697" s="17" t="n">
        <v>2760</v>
      </c>
      <c r="H1697" s="17" t="n">
        <v>2.3</v>
      </c>
      <c r="I1697" s="17" t="n">
        <v>5393.04</v>
      </c>
      <c r="J1697" s="15" t="s">
        <v>98</v>
      </c>
      <c r="K1697" s="15" t="s">
        <v>128</v>
      </c>
    </row>
    <row r="1698" customFormat="false" ht="14.25" hidden="false" customHeight="false" outlineLevel="0" collapsed="false">
      <c r="A1698" s="15" t="s">
        <v>2207</v>
      </c>
      <c r="B1698" s="16" t="n">
        <v>45626</v>
      </c>
      <c r="C1698" s="15" t="s">
        <v>572</v>
      </c>
      <c r="D1698" s="15" t="s">
        <v>198</v>
      </c>
      <c r="E1698" s="15" t="s">
        <v>212</v>
      </c>
      <c r="F1698" s="17" t="n">
        <v>3</v>
      </c>
      <c r="G1698" s="17" t="n">
        <v>3570</v>
      </c>
      <c r="H1698" s="17" t="n">
        <v>18.4</v>
      </c>
      <c r="I1698" s="17" t="n">
        <v>8739.36</v>
      </c>
      <c r="J1698" s="15" t="s">
        <v>155</v>
      </c>
      <c r="K1698" s="15" t="s">
        <v>144</v>
      </c>
    </row>
    <row r="1699" customFormat="false" ht="14.25" hidden="false" customHeight="false" outlineLevel="0" collapsed="false">
      <c r="A1699" s="15" t="s">
        <v>2208</v>
      </c>
      <c r="B1699" s="16" t="n">
        <v>45502</v>
      </c>
      <c r="C1699" s="15" t="s">
        <v>700</v>
      </c>
      <c r="D1699" s="15" t="s">
        <v>278</v>
      </c>
      <c r="E1699" s="15" t="s">
        <v>150</v>
      </c>
      <c r="F1699" s="17" t="n">
        <v>7</v>
      </c>
      <c r="G1699" s="17" t="n">
        <v>1220</v>
      </c>
      <c r="H1699" s="17" t="n">
        <v>25.8</v>
      </c>
      <c r="I1699" s="17" t="n">
        <v>6336.68</v>
      </c>
      <c r="J1699" s="15" t="s">
        <v>155</v>
      </c>
      <c r="K1699" s="15" t="s">
        <v>144</v>
      </c>
    </row>
    <row r="1700" customFormat="false" ht="14.25" hidden="false" customHeight="false" outlineLevel="0" collapsed="false">
      <c r="A1700" s="15" t="s">
        <v>2209</v>
      </c>
      <c r="B1700" s="16" t="n">
        <v>45501</v>
      </c>
      <c r="C1700" s="15" t="s">
        <v>1183</v>
      </c>
      <c r="D1700" s="15" t="s">
        <v>172</v>
      </c>
      <c r="E1700" s="15" t="s">
        <v>240</v>
      </c>
      <c r="F1700" s="17" t="n">
        <v>6</v>
      </c>
      <c r="G1700" s="17" t="n">
        <v>3450</v>
      </c>
      <c r="H1700" s="17" t="n">
        <v>13.1</v>
      </c>
      <c r="I1700" s="17" t="n">
        <v>17988.3</v>
      </c>
      <c r="J1700" s="15" t="s">
        <v>98</v>
      </c>
      <c r="K1700" s="15" t="s">
        <v>99</v>
      </c>
    </row>
    <row r="1701" customFormat="false" ht="14.25" hidden="false" customHeight="false" outlineLevel="0" collapsed="false">
      <c r="A1701" s="15" t="s">
        <v>2210</v>
      </c>
      <c r="B1701" s="16" t="n">
        <v>45435</v>
      </c>
      <c r="C1701" s="15" t="s">
        <v>120</v>
      </c>
      <c r="D1701" s="15" t="s">
        <v>349</v>
      </c>
      <c r="E1701" s="15" t="s">
        <v>150</v>
      </c>
      <c r="F1701" s="17" t="n">
        <v>10</v>
      </c>
      <c r="G1701" s="17" t="n">
        <v>2210</v>
      </c>
      <c r="H1701" s="17" t="n">
        <v>16.6</v>
      </c>
      <c r="I1701" s="17" t="n">
        <v>18431.4</v>
      </c>
      <c r="J1701" s="15" t="s">
        <v>98</v>
      </c>
      <c r="K1701" s="15" t="s">
        <v>123</v>
      </c>
    </row>
    <row r="1702" customFormat="false" ht="14.25" hidden="false" customHeight="false" outlineLevel="0" collapsed="false">
      <c r="A1702" s="15" t="s">
        <v>2211</v>
      </c>
      <c r="B1702" s="16" t="n">
        <v>45295</v>
      </c>
      <c r="C1702" s="15" t="s">
        <v>427</v>
      </c>
      <c r="D1702" s="15" t="s">
        <v>178</v>
      </c>
      <c r="E1702" s="15" t="s">
        <v>354</v>
      </c>
      <c r="F1702" s="17" t="n">
        <v>10</v>
      </c>
      <c r="G1702" s="17" t="n">
        <v>2480</v>
      </c>
      <c r="H1702" s="17" t="n">
        <v>17.5</v>
      </c>
      <c r="I1702" s="17" t="n">
        <v>20460</v>
      </c>
      <c r="J1702" s="15" t="s">
        <v>98</v>
      </c>
      <c r="K1702" s="15" t="s">
        <v>128</v>
      </c>
    </row>
    <row r="1703" customFormat="false" ht="14.25" hidden="false" customHeight="false" outlineLevel="0" collapsed="false">
      <c r="A1703" s="15" t="s">
        <v>2212</v>
      </c>
      <c r="B1703" s="16" t="n">
        <v>45566</v>
      </c>
      <c r="C1703" s="15" t="s">
        <v>1183</v>
      </c>
      <c r="D1703" s="15" t="s">
        <v>154</v>
      </c>
      <c r="E1703" s="15" t="s">
        <v>132</v>
      </c>
      <c r="F1703" s="17" t="n">
        <v>9</v>
      </c>
      <c r="G1703" s="17" t="n">
        <v>3250</v>
      </c>
      <c r="H1703" s="17" t="n">
        <v>25.9</v>
      </c>
      <c r="I1703" s="17" t="n">
        <v>21674.25</v>
      </c>
      <c r="J1703" s="15" t="s">
        <v>98</v>
      </c>
      <c r="K1703" s="15" t="s">
        <v>99</v>
      </c>
    </row>
    <row r="1704" customFormat="false" ht="14.25" hidden="false" customHeight="false" outlineLevel="0" collapsed="false">
      <c r="A1704" s="15" t="s">
        <v>2213</v>
      </c>
      <c r="B1704" s="16" t="n">
        <v>45474</v>
      </c>
      <c r="C1704" s="15" t="s">
        <v>848</v>
      </c>
      <c r="D1704" s="15" t="s">
        <v>162</v>
      </c>
      <c r="E1704" s="15" t="s">
        <v>118</v>
      </c>
      <c r="F1704" s="17" t="n">
        <v>3</v>
      </c>
      <c r="G1704" s="17" t="n">
        <v>2400</v>
      </c>
      <c r="H1704" s="17" t="n">
        <v>17.5</v>
      </c>
      <c r="I1704" s="17" t="n">
        <v>5940</v>
      </c>
      <c r="J1704" s="15" t="s">
        <v>98</v>
      </c>
      <c r="K1704" s="15" t="s">
        <v>128</v>
      </c>
    </row>
    <row r="1705" customFormat="false" ht="14.25" hidden="false" customHeight="false" outlineLevel="0" collapsed="false">
      <c r="A1705" s="15" t="s">
        <v>2214</v>
      </c>
      <c r="B1705" s="16" t="n">
        <v>45372</v>
      </c>
      <c r="C1705" s="15" t="s">
        <v>302</v>
      </c>
      <c r="D1705" s="15" t="s">
        <v>371</v>
      </c>
      <c r="E1705" s="15" t="s">
        <v>114</v>
      </c>
      <c r="F1705" s="17" t="n">
        <v>8</v>
      </c>
      <c r="G1705" s="17" t="n">
        <v>5410</v>
      </c>
      <c r="H1705" s="17" t="n">
        <v>8.3</v>
      </c>
      <c r="I1705" s="17" t="n">
        <v>39687.76</v>
      </c>
      <c r="J1705" s="15" t="s">
        <v>98</v>
      </c>
      <c r="K1705" s="15" t="s">
        <v>110</v>
      </c>
    </row>
    <row r="1706" customFormat="false" ht="14.25" hidden="false" customHeight="false" outlineLevel="0" collapsed="false">
      <c r="A1706" s="15" t="s">
        <v>2215</v>
      </c>
      <c r="B1706" s="16" t="n">
        <v>45622</v>
      </c>
      <c r="C1706" s="15" t="s">
        <v>846</v>
      </c>
      <c r="D1706" s="15" t="s">
        <v>149</v>
      </c>
      <c r="E1706" s="15" t="s">
        <v>314</v>
      </c>
      <c r="F1706" s="17" t="n">
        <v>1</v>
      </c>
      <c r="G1706" s="17" t="n">
        <v>2600</v>
      </c>
      <c r="H1706" s="17" t="n">
        <v>5.9</v>
      </c>
      <c r="I1706" s="17" t="n">
        <v>2446.6</v>
      </c>
      <c r="J1706" s="15" t="s">
        <v>98</v>
      </c>
      <c r="K1706" s="15" t="s">
        <v>128</v>
      </c>
    </row>
    <row r="1707" customFormat="false" ht="14.25" hidden="false" customHeight="false" outlineLevel="0" collapsed="false">
      <c r="A1707" s="15" t="s">
        <v>2216</v>
      </c>
      <c r="B1707" s="16" t="n">
        <v>45603</v>
      </c>
      <c r="C1707" s="15" t="s">
        <v>377</v>
      </c>
      <c r="D1707" s="15" t="s">
        <v>362</v>
      </c>
      <c r="E1707" s="15" t="s">
        <v>159</v>
      </c>
      <c r="F1707" s="17" t="n">
        <v>10</v>
      </c>
      <c r="G1707" s="17" t="n">
        <v>4060</v>
      </c>
      <c r="H1707" s="17" t="n">
        <v>2.3</v>
      </c>
      <c r="I1707" s="17" t="n">
        <v>39666.2</v>
      </c>
      <c r="J1707" s="15" t="s">
        <v>98</v>
      </c>
      <c r="K1707" s="15" t="s">
        <v>123</v>
      </c>
    </row>
    <row r="1708" customFormat="false" ht="14.25" hidden="false" customHeight="false" outlineLevel="0" collapsed="false">
      <c r="A1708" s="15" t="s">
        <v>2217</v>
      </c>
      <c r="B1708" s="16" t="n">
        <v>45352</v>
      </c>
      <c r="C1708" s="15" t="s">
        <v>740</v>
      </c>
      <c r="D1708" s="15" t="s">
        <v>375</v>
      </c>
      <c r="E1708" s="15" t="s">
        <v>203</v>
      </c>
      <c r="F1708" s="17" t="n">
        <v>9</v>
      </c>
      <c r="G1708" s="17" t="n">
        <v>5330</v>
      </c>
      <c r="H1708" s="17" t="n">
        <v>23.5</v>
      </c>
      <c r="I1708" s="17" t="n">
        <v>36697.05</v>
      </c>
      <c r="J1708" s="15" t="s">
        <v>98</v>
      </c>
      <c r="K1708" s="15" t="s">
        <v>123</v>
      </c>
    </row>
    <row r="1709" customFormat="false" ht="14.25" hidden="false" customHeight="false" outlineLevel="0" collapsed="false">
      <c r="A1709" s="15" t="s">
        <v>2218</v>
      </c>
      <c r="B1709" s="16" t="n">
        <v>45600</v>
      </c>
      <c r="C1709" s="15" t="s">
        <v>310</v>
      </c>
      <c r="D1709" s="15" t="s">
        <v>190</v>
      </c>
      <c r="E1709" s="15" t="s">
        <v>122</v>
      </c>
      <c r="F1709" s="17" t="n">
        <v>7</v>
      </c>
      <c r="G1709" s="17" t="n">
        <v>3350</v>
      </c>
      <c r="H1709" s="17" t="n">
        <v>13.4</v>
      </c>
      <c r="I1709" s="17" t="n">
        <v>20307.7</v>
      </c>
      <c r="J1709" s="15" t="s">
        <v>104</v>
      </c>
      <c r="K1709" s="15" t="s">
        <v>144</v>
      </c>
    </row>
    <row r="1710" customFormat="false" ht="14.25" hidden="false" customHeight="false" outlineLevel="0" collapsed="false">
      <c r="A1710" s="15" t="s">
        <v>2219</v>
      </c>
      <c r="B1710" s="16" t="n">
        <v>45631</v>
      </c>
      <c r="C1710" s="15" t="s">
        <v>576</v>
      </c>
      <c r="D1710" s="15" t="s">
        <v>366</v>
      </c>
      <c r="E1710" s="15" t="s">
        <v>109</v>
      </c>
      <c r="F1710" s="17" t="n">
        <v>4</v>
      </c>
      <c r="G1710" s="17" t="n">
        <v>2510</v>
      </c>
      <c r="H1710" s="17" t="n">
        <v>26.6</v>
      </c>
      <c r="I1710" s="17" t="n">
        <v>7369.36</v>
      </c>
      <c r="J1710" s="15" t="s">
        <v>98</v>
      </c>
      <c r="K1710" s="15" t="s">
        <v>123</v>
      </c>
    </row>
    <row r="1711" customFormat="false" ht="14.25" hidden="false" customHeight="false" outlineLevel="0" collapsed="false">
      <c r="A1711" s="15" t="s">
        <v>2220</v>
      </c>
      <c r="B1711" s="16" t="n">
        <v>45456</v>
      </c>
      <c r="C1711" s="15" t="s">
        <v>205</v>
      </c>
      <c r="D1711" s="15" t="s">
        <v>287</v>
      </c>
      <c r="E1711" s="15" t="s">
        <v>169</v>
      </c>
      <c r="F1711" s="17" t="n">
        <v>1</v>
      </c>
      <c r="G1711" s="17" t="n">
        <v>3020</v>
      </c>
      <c r="H1711" s="17" t="n">
        <v>15.2</v>
      </c>
      <c r="I1711" s="17" t="n">
        <v>2560.96</v>
      </c>
      <c r="J1711" s="15" t="s">
        <v>151</v>
      </c>
      <c r="K1711" s="15" t="s">
        <v>99</v>
      </c>
    </row>
    <row r="1712" customFormat="false" ht="14.25" hidden="false" customHeight="false" outlineLevel="0" collapsed="false">
      <c r="A1712" s="15" t="s">
        <v>2221</v>
      </c>
      <c r="B1712" s="16" t="n">
        <v>45539</v>
      </c>
      <c r="C1712" s="15" t="s">
        <v>981</v>
      </c>
      <c r="D1712" s="15" t="s">
        <v>102</v>
      </c>
      <c r="E1712" s="15" t="s">
        <v>240</v>
      </c>
      <c r="F1712" s="17" t="n">
        <v>1</v>
      </c>
      <c r="G1712" s="17" t="n">
        <v>820</v>
      </c>
      <c r="H1712" s="17" t="n">
        <v>6.3</v>
      </c>
      <c r="I1712" s="17" t="n">
        <v>768.34</v>
      </c>
      <c r="J1712" s="15" t="s">
        <v>98</v>
      </c>
      <c r="K1712" s="15" t="s">
        <v>123</v>
      </c>
    </row>
    <row r="1713" customFormat="false" ht="14.25" hidden="false" customHeight="false" outlineLevel="0" collapsed="false">
      <c r="A1713" s="15" t="s">
        <v>2222</v>
      </c>
      <c r="B1713" s="16" t="n">
        <v>45488</v>
      </c>
      <c r="C1713" s="15" t="s">
        <v>979</v>
      </c>
      <c r="D1713" s="15" t="s">
        <v>117</v>
      </c>
      <c r="E1713" s="15" t="s">
        <v>354</v>
      </c>
      <c r="F1713" s="17" t="n">
        <v>4</v>
      </c>
      <c r="G1713" s="17" t="n">
        <v>3160</v>
      </c>
      <c r="H1713" s="17" t="n">
        <v>3.6</v>
      </c>
      <c r="I1713" s="17" t="n">
        <v>12184.96</v>
      </c>
      <c r="J1713" s="15" t="s">
        <v>104</v>
      </c>
      <c r="K1713" s="15" t="s">
        <v>110</v>
      </c>
    </row>
    <row r="1714" customFormat="false" ht="14.25" hidden="false" customHeight="false" outlineLevel="0" collapsed="false">
      <c r="A1714" s="15" t="s">
        <v>2223</v>
      </c>
      <c r="B1714" s="16" t="n">
        <v>45370</v>
      </c>
      <c r="C1714" s="15" t="s">
        <v>533</v>
      </c>
      <c r="D1714" s="15" t="s">
        <v>113</v>
      </c>
      <c r="E1714" s="15" t="s">
        <v>336</v>
      </c>
      <c r="F1714" s="17" t="n">
        <v>1</v>
      </c>
      <c r="G1714" s="17" t="n">
        <v>3660</v>
      </c>
      <c r="H1714" s="17" t="n">
        <v>28.2</v>
      </c>
      <c r="I1714" s="17" t="n">
        <v>2627.88</v>
      </c>
      <c r="J1714" s="15" t="s">
        <v>104</v>
      </c>
      <c r="K1714" s="15" t="s">
        <v>110</v>
      </c>
    </row>
    <row r="1715" customFormat="false" ht="14.25" hidden="false" customHeight="false" outlineLevel="0" collapsed="false">
      <c r="A1715" s="15" t="s">
        <v>2224</v>
      </c>
      <c r="B1715" s="16" t="n">
        <v>45394</v>
      </c>
      <c r="C1715" s="15" t="s">
        <v>107</v>
      </c>
      <c r="D1715" s="15" t="s">
        <v>102</v>
      </c>
      <c r="E1715" s="15" t="s">
        <v>212</v>
      </c>
      <c r="F1715" s="17" t="n">
        <v>2</v>
      </c>
      <c r="G1715" s="17" t="n">
        <v>820</v>
      </c>
      <c r="H1715" s="17" t="n">
        <v>7</v>
      </c>
      <c r="I1715" s="17" t="n">
        <v>1525.2</v>
      </c>
      <c r="J1715" s="15" t="s">
        <v>98</v>
      </c>
      <c r="K1715" s="15" t="s">
        <v>110</v>
      </c>
    </row>
    <row r="1716" customFormat="false" ht="14.25" hidden="false" customHeight="false" outlineLevel="0" collapsed="false">
      <c r="A1716" s="15" t="s">
        <v>2225</v>
      </c>
      <c r="B1716" s="16" t="n">
        <v>45446</v>
      </c>
      <c r="C1716" s="15" t="s">
        <v>274</v>
      </c>
      <c r="D1716" s="15" t="s">
        <v>378</v>
      </c>
      <c r="E1716" s="15" t="s">
        <v>296</v>
      </c>
      <c r="F1716" s="17" t="n">
        <v>5</v>
      </c>
      <c r="G1716" s="17" t="n">
        <v>2380</v>
      </c>
      <c r="H1716" s="17" t="n">
        <v>23</v>
      </c>
      <c r="I1716" s="17" t="n">
        <v>9163</v>
      </c>
      <c r="J1716" s="15" t="s">
        <v>98</v>
      </c>
      <c r="K1716" s="15" t="s">
        <v>144</v>
      </c>
    </row>
    <row r="1717" customFormat="false" ht="14.25" hidden="false" customHeight="false" outlineLevel="0" collapsed="false">
      <c r="A1717" s="15" t="s">
        <v>2226</v>
      </c>
      <c r="B1717" s="16" t="n">
        <v>45612</v>
      </c>
      <c r="C1717" s="15" t="s">
        <v>572</v>
      </c>
      <c r="D1717" s="15" t="s">
        <v>259</v>
      </c>
      <c r="E1717" s="15" t="s">
        <v>263</v>
      </c>
      <c r="F1717" s="17" t="n">
        <v>1</v>
      </c>
      <c r="G1717" s="17" t="n">
        <v>3870</v>
      </c>
      <c r="H1717" s="17" t="n">
        <v>27.3</v>
      </c>
      <c r="I1717" s="17" t="n">
        <v>2813.49</v>
      </c>
      <c r="J1717" s="15" t="s">
        <v>98</v>
      </c>
      <c r="K1717" s="15" t="s">
        <v>144</v>
      </c>
    </row>
    <row r="1718" customFormat="false" ht="14.25" hidden="false" customHeight="false" outlineLevel="0" collapsed="false">
      <c r="A1718" s="15" t="s">
        <v>2227</v>
      </c>
      <c r="B1718" s="16" t="n">
        <v>45301</v>
      </c>
      <c r="C1718" s="15" t="s">
        <v>673</v>
      </c>
      <c r="D1718" s="15" t="s">
        <v>293</v>
      </c>
      <c r="E1718" s="15" t="s">
        <v>97</v>
      </c>
      <c r="F1718" s="17" t="n">
        <v>10</v>
      </c>
      <c r="G1718" s="17" t="n">
        <v>300</v>
      </c>
      <c r="H1718" s="17" t="n">
        <v>14.1</v>
      </c>
      <c r="I1718" s="17" t="n">
        <v>2577</v>
      </c>
      <c r="J1718" s="15" t="s">
        <v>151</v>
      </c>
      <c r="K1718" s="15" t="s">
        <v>105</v>
      </c>
    </row>
    <row r="1719" customFormat="false" ht="14.25" hidden="false" customHeight="false" outlineLevel="0" collapsed="false">
      <c r="A1719" s="15" t="s">
        <v>2228</v>
      </c>
      <c r="B1719" s="16" t="n">
        <v>45647</v>
      </c>
      <c r="C1719" s="15" t="s">
        <v>906</v>
      </c>
      <c r="D1719" s="15" t="s">
        <v>202</v>
      </c>
      <c r="E1719" s="15" t="s">
        <v>354</v>
      </c>
      <c r="F1719" s="17" t="n">
        <v>10</v>
      </c>
      <c r="G1719" s="17" t="n">
        <v>5100</v>
      </c>
      <c r="H1719" s="17" t="n">
        <v>12.7</v>
      </c>
      <c r="I1719" s="17" t="n">
        <v>44523</v>
      </c>
      <c r="J1719" s="15" t="s">
        <v>98</v>
      </c>
      <c r="K1719" s="15" t="s">
        <v>128</v>
      </c>
    </row>
    <row r="1720" customFormat="false" ht="14.25" hidden="false" customHeight="false" outlineLevel="0" collapsed="false">
      <c r="A1720" s="15" t="s">
        <v>2229</v>
      </c>
      <c r="B1720" s="16" t="n">
        <v>45589</v>
      </c>
      <c r="C1720" s="15" t="s">
        <v>913</v>
      </c>
      <c r="D1720" s="15" t="s">
        <v>211</v>
      </c>
      <c r="E1720" s="15" t="s">
        <v>263</v>
      </c>
      <c r="F1720" s="17" t="n">
        <v>1</v>
      </c>
      <c r="G1720" s="17" t="n">
        <v>2760</v>
      </c>
      <c r="H1720" s="17" t="n">
        <v>17.8</v>
      </c>
      <c r="I1720" s="17" t="n">
        <v>2268.72</v>
      </c>
      <c r="J1720" s="15" t="s">
        <v>155</v>
      </c>
      <c r="K1720" s="15" t="s">
        <v>123</v>
      </c>
    </row>
    <row r="1721" customFormat="false" ht="14.25" hidden="false" customHeight="false" outlineLevel="0" collapsed="false">
      <c r="A1721" s="15" t="s">
        <v>2230</v>
      </c>
      <c r="B1721" s="16" t="n">
        <v>45382</v>
      </c>
      <c r="C1721" s="15" t="s">
        <v>512</v>
      </c>
      <c r="D1721" s="15" t="s">
        <v>375</v>
      </c>
      <c r="E1721" s="15" t="s">
        <v>308</v>
      </c>
      <c r="F1721" s="17" t="n">
        <v>8</v>
      </c>
      <c r="G1721" s="17" t="n">
        <v>5330</v>
      </c>
      <c r="H1721" s="17" t="n">
        <v>16.4</v>
      </c>
      <c r="I1721" s="17" t="n">
        <v>35647.04</v>
      </c>
      <c r="J1721" s="15" t="s">
        <v>98</v>
      </c>
      <c r="K1721" s="15" t="s">
        <v>144</v>
      </c>
    </row>
    <row r="1722" customFormat="false" ht="14.25" hidden="false" customHeight="false" outlineLevel="0" collapsed="false">
      <c r="A1722" s="15" t="s">
        <v>2231</v>
      </c>
      <c r="B1722" s="16" t="n">
        <v>45457</v>
      </c>
      <c r="C1722" s="15" t="s">
        <v>673</v>
      </c>
      <c r="D1722" s="15" t="s">
        <v>193</v>
      </c>
      <c r="E1722" s="15" t="s">
        <v>357</v>
      </c>
      <c r="F1722" s="17" t="n">
        <v>1</v>
      </c>
      <c r="G1722" s="17" t="n">
        <v>1010</v>
      </c>
      <c r="H1722" s="17" t="n">
        <v>20.4</v>
      </c>
      <c r="I1722" s="17" t="n">
        <v>803.96</v>
      </c>
      <c r="J1722" s="15" t="s">
        <v>151</v>
      </c>
      <c r="K1722" s="15" t="s">
        <v>105</v>
      </c>
    </row>
    <row r="1723" customFormat="false" ht="14.25" hidden="false" customHeight="false" outlineLevel="0" collapsed="false">
      <c r="A1723" s="15" t="s">
        <v>2232</v>
      </c>
      <c r="B1723" s="16" t="n">
        <v>45376</v>
      </c>
      <c r="C1723" s="15" t="s">
        <v>120</v>
      </c>
      <c r="D1723" s="15" t="s">
        <v>290</v>
      </c>
      <c r="E1723" s="15" t="s">
        <v>132</v>
      </c>
      <c r="F1723" s="17" t="n">
        <v>10</v>
      </c>
      <c r="G1723" s="17" t="n">
        <v>2660</v>
      </c>
      <c r="H1723" s="17" t="n">
        <v>29.3</v>
      </c>
      <c r="I1723" s="17" t="n">
        <v>18806.2</v>
      </c>
      <c r="J1723" s="15" t="s">
        <v>98</v>
      </c>
      <c r="K1723" s="15" t="s">
        <v>123</v>
      </c>
    </row>
    <row r="1724" customFormat="false" ht="14.25" hidden="false" customHeight="false" outlineLevel="0" collapsed="false">
      <c r="A1724" s="15" t="s">
        <v>2233</v>
      </c>
      <c r="B1724" s="16" t="n">
        <v>45506</v>
      </c>
      <c r="C1724" s="15" t="s">
        <v>180</v>
      </c>
      <c r="D1724" s="15" t="s">
        <v>419</v>
      </c>
      <c r="E1724" s="15" t="s">
        <v>284</v>
      </c>
      <c r="F1724" s="17" t="n">
        <v>9</v>
      </c>
      <c r="G1724" s="17" t="n">
        <v>3970</v>
      </c>
      <c r="H1724" s="17" t="n">
        <v>10.4</v>
      </c>
      <c r="I1724" s="17" t="n">
        <v>32014.08</v>
      </c>
      <c r="J1724" s="15" t="s">
        <v>104</v>
      </c>
      <c r="K1724" s="15" t="s">
        <v>123</v>
      </c>
    </row>
    <row r="1725" customFormat="false" ht="14.25" hidden="false" customHeight="false" outlineLevel="0" collapsed="false">
      <c r="A1725" s="15" t="s">
        <v>2234</v>
      </c>
      <c r="B1725" s="16" t="n">
        <v>45472</v>
      </c>
      <c r="C1725" s="15" t="s">
        <v>916</v>
      </c>
      <c r="D1725" s="15" t="s">
        <v>96</v>
      </c>
      <c r="E1725" s="15" t="s">
        <v>118</v>
      </c>
      <c r="F1725" s="17" t="n">
        <v>3</v>
      </c>
      <c r="G1725" s="17" t="n">
        <v>3620</v>
      </c>
      <c r="H1725" s="17" t="n">
        <v>22</v>
      </c>
      <c r="I1725" s="17" t="n">
        <v>8470.8</v>
      </c>
      <c r="J1725" s="15" t="s">
        <v>98</v>
      </c>
      <c r="K1725" s="15" t="s">
        <v>123</v>
      </c>
    </row>
    <row r="1726" customFormat="false" ht="14.25" hidden="false" customHeight="false" outlineLevel="0" collapsed="false">
      <c r="A1726" s="15" t="s">
        <v>2235</v>
      </c>
      <c r="B1726" s="16" t="n">
        <v>45383</v>
      </c>
      <c r="C1726" s="15" t="s">
        <v>550</v>
      </c>
      <c r="D1726" s="15" t="s">
        <v>256</v>
      </c>
      <c r="E1726" s="15" t="s">
        <v>314</v>
      </c>
      <c r="F1726" s="17" t="n">
        <v>6</v>
      </c>
      <c r="G1726" s="17" t="n">
        <v>2270</v>
      </c>
      <c r="H1726" s="17" t="n">
        <v>11.1</v>
      </c>
      <c r="I1726" s="17" t="n">
        <v>12108.18</v>
      </c>
      <c r="J1726" s="15" t="s">
        <v>151</v>
      </c>
      <c r="K1726" s="15" t="s">
        <v>144</v>
      </c>
    </row>
    <row r="1727" customFormat="false" ht="14.25" hidden="false" customHeight="false" outlineLevel="0" collapsed="false">
      <c r="A1727" s="15" t="s">
        <v>2236</v>
      </c>
      <c r="B1727" s="16" t="n">
        <v>45543</v>
      </c>
      <c r="C1727" s="15" t="s">
        <v>1372</v>
      </c>
      <c r="D1727" s="15" t="s">
        <v>256</v>
      </c>
      <c r="E1727" s="15" t="s">
        <v>109</v>
      </c>
      <c r="F1727" s="17" t="n">
        <v>4</v>
      </c>
      <c r="G1727" s="17" t="n">
        <v>2270</v>
      </c>
      <c r="H1727" s="17" t="n">
        <v>27.2</v>
      </c>
      <c r="I1727" s="17" t="n">
        <v>6610.24</v>
      </c>
      <c r="J1727" s="15" t="s">
        <v>104</v>
      </c>
      <c r="K1727" s="15" t="s">
        <v>105</v>
      </c>
    </row>
    <row r="1728" customFormat="false" ht="14.25" hidden="false" customHeight="false" outlineLevel="0" collapsed="false">
      <c r="A1728" s="15" t="s">
        <v>2237</v>
      </c>
      <c r="B1728" s="16" t="n">
        <v>45576</v>
      </c>
      <c r="C1728" s="15" t="s">
        <v>458</v>
      </c>
      <c r="D1728" s="15" t="s">
        <v>281</v>
      </c>
      <c r="E1728" s="15" t="s">
        <v>336</v>
      </c>
      <c r="F1728" s="17" t="n">
        <v>8</v>
      </c>
      <c r="G1728" s="17" t="n">
        <v>4610</v>
      </c>
      <c r="H1728" s="17" t="n">
        <v>24.5</v>
      </c>
      <c r="I1728" s="17" t="n">
        <v>27844.4</v>
      </c>
      <c r="J1728" s="15" t="s">
        <v>98</v>
      </c>
      <c r="K1728" s="15" t="s">
        <v>123</v>
      </c>
    </row>
    <row r="1729" customFormat="false" ht="14.25" hidden="false" customHeight="false" outlineLevel="0" collapsed="false">
      <c r="A1729" s="15" t="s">
        <v>2238</v>
      </c>
      <c r="B1729" s="16" t="n">
        <v>45366</v>
      </c>
      <c r="C1729" s="15" t="s">
        <v>695</v>
      </c>
      <c r="D1729" s="15" t="s">
        <v>158</v>
      </c>
      <c r="E1729" s="15" t="s">
        <v>203</v>
      </c>
      <c r="F1729" s="17" t="n">
        <v>6</v>
      </c>
      <c r="G1729" s="17" t="n">
        <v>190</v>
      </c>
      <c r="H1729" s="17" t="n">
        <v>8.7</v>
      </c>
      <c r="I1729" s="17" t="n">
        <v>1040.82</v>
      </c>
      <c r="J1729" s="15" t="s">
        <v>151</v>
      </c>
      <c r="K1729" s="15" t="s">
        <v>110</v>
      </c>
    </row>
    <row r="1730" customFormat="false" ht="14.25" hidden="false" customHeight="false" outlineLevel="0" collapsed="false">
      <c r="A1730" s="15" t="s">
        <v>2239</v>
      </c>
      <c r="B1730" s="16" t="n">
        <v>45617</v>
      </c>
      <c r="C1730" s="15" t="s">
        <v>255</v>
      </c>
      <c r="D1730" s="15" t="s">
        <v>306</v>
      </c>
      <c r="E1730" s="15" t="s">
        <v>212</v>
      </c>
      <c r="F1730" s="17" t="n">
        <v>5</v>
      </c>
      <c r="G1730" s="17" t="n">
        <v>2030</v>
      </c>
      <c r="H1730" s="17" t="n">
        <v>0.9</v>
      </c>
      <c r="I1730" s="17" t="n">
        <v>10058.65</v>
      </c>
      <c r="J1730" s="15" t="s">
        <v>151</v>
      </c>
      <c r="K1730" s="15" t="s">
        <v>105</v>
      </c>
    </row>
    <row r="1731" customFormat="false" ht="14.25" hidden="false" customHeight="false" outlineLevel="0" collapsed="false">
      <c r="A1731" s="15" t="s">
        <v>2240</v>
      </c>
      <c r="B1731" s="16" t="n">
        <v>45614</v>
      </c>
      <c r="C1731" s="15" t="s">
        <v>451</v>
      </c>
      <c r="D1731" s="15" t="s">
        <v>275</v>
      </c>
      <c r="E1731" s="15" t="s">
        <v>203</v>
      </c>
      <c r="F1731" s="17" t="n">
        <v>1</v>
      </c>
      <c r="G1731" s="17" t="n">
        <v>4070</v>
      </c>
      <c r="H1731" s="17" t="n">
        <v>9.3</v>
      </c>
      <c r="I1731" s="17" t="n">
        <v>3691.49</v>
      </c>
      <c r="J1731" s="15" t="s">
        <v>155</v>
      </c>
      <c r="K1731" s="15" t="s">
        <v>99</v>
      </c>
    </row>
    <row r="1732" customFormat="false" ht="14.25" hidden="false" customHeight="false" outlineLevel="0" collapsed="false">
      <c r="A1732" s="15" t="s">
        <v>2241</v>
      </c>
      <c r="B1732" s="16" t="n">
        <v>45460</v>
      </c>
      <c r="C1732" s="15" t="s">
        <v>544</v>
      </c>
      <c r="D1732" s="15" t="s">
        <v>397</v>
      </c>
      <c r="E1732" s="15" t="s">
        <v>226</v>
      </c>
      <c r="F1732" s="17" t="n">
        <v>3</v>
      </c>
      <c r="G1732" s="17" t="n">
        <v>2290</v>
      </c>
      <c r="H1732" s="17" t="n">
        <v>12.1</v>
      </c>
      <c r="I1732" s="17" t="n">
        <v>6038.73</v>
      </c>
      <c r="J1732" s="15" t="s">
        <v>98</v>
      </c>
      <c r="K1732" s="15" t="s">
        <v>110</v>
      </c>
    </row>
    <row r="1733" customFormat="false" ht="14.25" hidden="false" customHeight="false" outlineLevel="0" collapsed="false">
      <c r="A1733" s="15" t="s">
        <v>2242</v>
      </c>
      <c r="B1733" s="16" t="n">
        <v>45514</v>
      </c>
      <c r="C1733" s="15" t="s">
        <v>429</v>
      </c>
      <c r="D1733" s="15" t="s">
        <v>237</v>
      </c>
      <c r="E1733" s="15" t="s">
        <v>203</v>
      </c>
      <c r="F1733" s="17" t="n">
        <v>7</v>
      </c>
      <c r="G1733" s="17" t="n">
        <v>3730</v>
      </c>
      <c r="H1733" s="17" t="n">
        <v>4.5</v>
      </c>
      <c r="I1733" s="17" t="n">
        <v>24935.05</v>
      </c>
      <c r="J1733" s="15" t="s">
        <v>98</v>
      </c>
      <c r="K1733" s="15" t="s">
        <v>144</v>
      </c>
    </row>
    <row r="1734" customFormat="false" ht="14.25" hidden="false" customHeight="false" outlineLevel="0" collapsed="false">
      <c r="A1734" s="15" t="s">
        <v>2243</v>
      </c>
      <c r="B1734" s="16" t="n">
        <v>45306</v>
      </c>
      <c r="C1734" s="15" t="s">
        <v>424</v>
      </c>
      <c r="D1734" s="15" t="s">
        <v>303</v>
      </c>
      <c r="E1734" s="15" t="s">
        <v>103</v>
      </c>
      <c r="F1734" s="17" t="n">
        <v>5</v>
      </c>
      <c r="G1734" s="17" t="n">
        <v>620</v>
      </c>
      <c r="H1734" s="17" t="n">
        <v>7.5</v>
      </c>
      <c r="I1734" s="17" t="n">
        <v>2867.5</v>
      </c>
      <c r="J1734" s="15" t="s">
        <v>98</v>
      </c>
      <c r="K1734" s="15" t="s">
        <v>99</v>
      </c>
    </row>
    <row r="1735" customFormat="false" ht="14.25" hidden="false" customHeight="false" outlineLevel="0" collapsed="false">
      <c r="A1735" s="15" t="s">
        <v>2244</v>
      </c>
      <c r="B1735" s="16" t="n">
        <v>45455</v>
      </c>
      <c r="C1735" s="15" t="s">
        <v>393</v>
      </c>
      <c r="D1735" s="15" t="s">
        <v>146</v>
      </c>
      <c r="E1735" s="15" t="s">
        <v>143</v>
      </c>
      <c r="F1735" s="17" t="n">
        <v>8</v>
      </c>
      <c r="G1735" s="17" t="n">
        <v>2640</v>
      </c>
      <c r="H1735" s="17" t="n">
        <v>16.4</v>
      </c>
      <c r="I1735" s="17" t="n">
        <v>17656.32</v>
      </c>
      <c r="J1735" s="15" t="s">
        <v>98</v>
      </c>
      <c r="K1735" s="15" t="s">
        <v>110</v>
      </c>
    </row>
    <row r="1736" customFormat="false" ht="14.25" hidden="false" customHeight="false" outlineLevel="0" collapsed="false">
      <c r="A1736" s="15" t="s">
        <v>2245</v>
      </c>
      <c r="B1736" s="16" t="n">
        <v>45564</v>
      </c>
      <c r="C1736" s="15" t="s">
        <v>329</v>
      </c>
      <c r="D1736" s="15" t="s">
        <v>113</v>
      </c>
      <c r="E1736" s="15" t="s">
        <v>150</v>
      </c>
      <c r="F1736" s="17" t="n">
        <v>6</v>
      </c>
      <c r="G1736" s="17" t="n">
        <v>3660</v>
      </c>
      <c r="H1736" s="17" t="n">
        <v>6.2</v>
      </c>
      <c r="I1736" s="17" t="n">
        <v>20598.48</v>
      </c>
      <c r="J1736" s="15" t="s">
        <v>98</v>
      </c>
      <c r="K1736" s="15" t="s">
        <v>105</v>
      </c>
    </row>
    <row r="1737" customFormat="false" ht="14.25" hidden="false" customHeight="false" outlineLevel="0" collapsed="false">
      <c r="A1737" s="15" t="s">
        <v>2246</v>
      </c>
      <c r="B1737" s="16" t="n">
        <v>45507</v>
      </c>
      <c r="C1737" s="15" t="s">
        <v>662</v>
      </c>
      <c r="D1737" s="15" t="s">
        <v>102</v>
      </c>
      <c r="E1737" s="15" t="s">
        <v>203</v>
      </c>
      <c r="F1737" s="17" t="n">
        <v>2</v>
      </c>
      <c r="G1737" s="17" t="n">
        <v>820</v>
      </c>
      <c r="H1737" s="17" t="n">
        <v>25.4</v>
      </c>
      <c r="I1737" s="17" t="n">
        <v>1223.44</v>
      </c>
      <c r="J1737" s="15" t="s">
        <v>98</v>
      </c>
      <c r="K1737" s="15" t="s">
        <v>144</v>
      </c>
    </row>
    <row r="1738" customFormat="false" ht="14.25" hidden="false" customHeight="false" outlineLevel="0" collapsed="false">
      <c r="A1738" s="15" t="s">
        <v>2247</v>
      </c>
      <c r="B1738" s="16" t="n">
        <v>45596</v>
      </c>
      <c r="C1738" s="15" t="s">
        <v>1245</v>
      </c>
      <c r="D1738" s="15" t="s">
        <v>178</v>
      </c>
      <c r="E1738" s="15" t="s">
        <v>169</v>
      </c>
      <c r="F1738" s="17" t="n">
        <v>3</v>
      </c>
      <c r="G1738" s="17" t="n">
        <v>2480</v>
      </c>
      <c r="H1738" s="17" t="n">
        <v>28.7</v>
      </c>
      <c r="I1738" s="17" t="n">
        <v>5304.72</v>
      </c>
      <c r="J1738" s="15" t="s">
        <v>104</v>
      </c>
      <c r="K1738" s="15" t="s">
        <v>123</v>
      </c>
    </row>
    <row r="1739" customFormat="false" ht="14.25" hidden="false" customHeight="false" outlineLevel="0" collapsed="false">
      <c r="A1739" s="15" t="s">
        <v>2248</v>
      </c>
      <c r="B1739" s="16" t="n">
        <v>45534</v>
      </c>
      <c r="C1739" s="15" t="s">
        <v>834</v>
      </c>
      <c r="D1739" s="15" t="s">
        <v>252</v>
      </c>
      <c r="E1739" s="15" t="s">
        <v>139</v>
      </c>
      <c r="F1739" s="17" t="n">
        <v>10</v>
      </c>
      <c r="G1739" s="17" t="n">
        <v>6080</v>
      </c>
      <c r="H1739" s="17" t="n">
        <v>18.9</v>
      </c>
      <c r="I1739" s="17" t="n">
        <v>49308.8</v>
      </c>
      <c r="J1739" s="15" t="s">
        <v>98</v>
      </c>
      <c r="K1739" s="15" t="s">
        <v>105</v>
      </c>
    </row>
    <row r="1740" customFormat="false" ht="14.25" hidden="false" customHeight="false" outlineLevel="0" collapsed="false">
      <c r="A1740" s="15" t="s">
        <v>2249</v>
      </c>
      <c r="B1740" s="16" t="n">
        <v>45336</v>
      </c>
      <c r="C1740" s="15" t="s">
        <v>153</v>
      </c>
      <c r="D1740" s="15" t="s">
        <v>158</v>
      </c>
      <c r="E1740" s="15" t="s">
        <v>296</v>
      </c>
      <c r="F1740" s="17" t="n">
        <v>1</v>
      </c>
      <c r="G1740" s="17" t="n">
        <v>190</v>
      </c>
      <c r="H1740" s="17" t="n">
        <v>5.7</v>
      </c>
      <c r="I1740" s="17" t="n">
        <v>179.17</v>
      </c>
      <c r="J1740" s="15" t="s">
        <v>98</v>
      </c>
      <c r="K1740" s="15" t="s">
        <v>99</v>
      </c>
    </row>
    <row r="1741" customFormat="false" ht="14.25" hidden="false" customHeight="false" outlineLevel="0" collapsed="false">
      <c r="A1741" s="15" t="s">
        <v>2250</v>
      </c>
      <c r="B1741" s="16" t="n">
        <v>45463</v>
      </c>
      <c r="C1741" s="15" t="s">
        <v>221</v>
      </c>
      <c r="D1741" s="15" t="s">
        <v>472</v>
      </c>
      <c r="E1741" s="15" t="s">
        <v>212</v>
      </c>
      <c r="F1741" s="17" t="n">
        <v>2</v>
      </c>
      <c r="G1741" s="17" t="n">
        <v>3780</v>
      </c>
      <c r="H1741" s="17" t="n">
        <v>11.8</v>
      </c>
      <c r="I1741" s="17" t="n">
        <v>6667.92</v>
      </c>
      <c r="J1741" s="15" t="s">
        <v>98</v>
      </c>
      <c r="K1741" s="15" t="s">
        <v>110</v>
      </c>
    </row>
    <row r="1742" customFormat="false" ht="14.25" hidden="false" customHeight="false" outlineLevel="0" collapsed="false">
      <c r="A1742" s="15" t="s">
        <v>2251</v>
      </c>
      <c r="B1742" s="16" t="n">
        <v>45602</v>
      </c>
      <c r="C1742" s="15" t="s">
        <v>258</v>
      </c>
      <c r="D1742" s="15" t="s">
        <v>154</v>
      </c>
      <c r="E1742" s="15" t="s">
        <v>226</v>
      </c>
      <c r="F1742" s="17" t="n">
        <v>5</v>
      </c>
      <c r="G1742" s="17" t="n">
        <v>3250</v>
      </c>
      <c r="H1742" s="17" t="n">
        <v>19.9</v>
      </c>
      <c r="I1742" s="17" t="n">
        <v>13016.25</v>
      </c>
      <c r="J1742" s="15" t="s">
        <v>98</v>
      </c>
      <c r="K1742" s="15" t="s">
        <v>128</v>
      </c>
    </row>
    <row r="1743" customFormat="false" ht="14.25" hidden="false" customHeight="false" outlineLevel="0" collapsed="false">
      <c r="A1743" s="15" t="s">
        <v>2252</v>
      </c>
      <c r="B1743" s="16" t="n">
        <v>45365</v>
      </c>
      <c r="C1743" s="15" t="s">
        <v>1901</v>
      </c>
      <c r="D1743" s="15" t="s">
        <v>306</v>
      </c>
      <c r="E1743" s="15" t="s">
        <v>118</v>
      </c>
      <c r="F1743" s="17" t="n">
        <v>7</v>
      </c>
      <c r="G1743" s="17" t="n">
        <v>2030</v>
      </c>
      <c r="H1743" s="17" t="n">
        <v>4.1</v>
      </c>
      <c r="I1743" s="17" t="n">
        <v>13627.39</v>
      </c>
      <c r="J1743" s="15" t="s">
        <v>98</v>
      </c>
      <c r="K1743" s="15" t="s">
        <v>144</v>
      </c>
    </row>
    <row r="1744" customFormat="false" ht="14.25" hidden="false" customHeight="false" outlineLevel="0" collapsed="false">
      <c r="A1744" s="15" t="s">
        <v>2253</v>
      </c>
      <c r="B1744" s="16" t="n">
        <v>45651</v>
      </c>
      <c r="C1744" s="15" t="s">
        <v>708</v>
      </c>
      <c r="D1744" s="15" t="s">
        <v>195</v>
      </c>
      <c r="E1744" s="15" t="s">
        <v>336</v>
      </c>
      <c r="F1744" s="17" t="n">
        <v>5</v>
      </c>
      <c r="G1744" s="17" t="n">
        <v>4880</v>
      </c>
      <c r="H1744" s="17" t="n">
        <v>22.9</v>
      </c>
      <c r="I1744" s="17" t="n">
        <v>18812.4</v>
      </c>
      <c r="J1744" s="15" t="s">
        <v>98</v>
      </c>
      <c r="K1744" s="15" t="s">
        <v>144</v>
      </c>
    </row>
    <row r="1745" customFormat="false" ht="14.25" hidden="false" customHeight="false" outlineLevel="0" collapsed="false">
      <c r="A1745" s="15" t="s">
        <v>2254</v>
      </c>
      <c r="B1745" s="16" t="n">
        <v>45297</v>
      </c>
      <c r="C1745" s="15" t="s">
        <v>752</v>
      </c>
      <c r="D1745" s="15" t="s">
        <v>190</v>
      </c>
      <c r="E1745" s="15" t="s">
        <v>203</v>
      </c>
      <c r="F1745" s="17" t="n">
        <v>3</v>
      </c>
      <c r="G1745" s="17" t="n">
        <v>3350</v>
      </c>
      <c r="H1745" s="17" t="n">
        <v>15.2</v>
      </c>
      <c r="I1745" s="17" t="n">
        <v>8522.4</v>
      </c>
      <c r="J1745" s="15" t="s">
        <v>104</v>
      </c>
      <c r="K1745" s="15" t="s">
        <v>144</v>
      </c>
    </row>
    <row r="1746" customFormat="false" ht="14.25" hidden="false" customHeight="false" outlineLevel="0" collapsed="false">
      <c r="A1746" s="15" t="s">
        <v>2255</v>
      </c>
      <c r="B1746" s="16" t="n">
        <v>45425</v>
      </c>
      <c r="C1746" s="15" t="s">
        <v>518</v>
      </c>
      <c r="D1746" s="15" t="s">
        <v>206</v>
      </c>
      <c r="E1746" s="15" t="s">
        <v>240</v>
      </c>
      <c r="F1746" s="17" t="n">
        <v>10</v>
      </c>
      <c r="G1746" s="17" t="n">
        <v>2860</v>
      </c>
      <c r="H1746" s="17" t="n">
        <v>15</v>
      </c>
      <c r="I1746" s="17" t="n">
        <v>24310</v>
      </c>
      <c r="J1746" s="15" t="s">
        <v>98</v>
      </c>
      <c r="K1746" s="15" t="s">
        <v>99</v>
      </c>
    </row>
    <row r="1747" customFormat="false" ht="14.25" hidden="false" customHeight="false" outlineLevel="0" collapsed="false">
      <c r="A1747" s="15" t="s">
        <v>2256</v>
      </c>
      <c r="B1747" s="16" t="n">
        <v>45444</v>
      </c>
      <c r="C1747" s="15" t="s">
        <v>321</v>
      </c>
      <c r="D1747" s="15" t="s">
        <v>168</v>
      </c>
      <c r="E1747" s="15" t="s">
        <v>314</v>
      </c>
      <c r="F1747" s="17" t="n">
        <v>5</v>
      </c>
      <c r="G1747" s="17" t="n">
        <v>3450</v>
      </c>
      <c r="H1747" s="17" t="n">
        <v>2.3</v>
      </c>
      <c r="I1747" s="17" t="n">
        <v>16853.25</v>
      </c>
      <c r="J1747" s="15" t="s">
        <v>98</v>
      </c>
      <c r="K1747" s="15" t="s">
        <v>128</v>
      </c>
    </row>
    <row r="1748" customFormat="false" ht="14.25" hidden="false" customHeight="false" outlineLevel="0" collapsed="false">
      <c r="A1748" s="15" t="s">
        <v>2257</v>
      </c>
      <c r="B1748" s="16" t="n">
        <v>45397</v>
      </c>
      <c r="C1748" s="15" t="s">
        <v>205</v>
      </c>
      <c r="D1748" s="15" t="s">
        <v>142</v>
      </c>
      <c r="E1748" s="15" t="s">
        <v>199</v>
      </c>
      <c r="F1748" s="17" t="n">
        <v>3</v>
      </c>
      <c r="G1748" s="17" t="n">
        <v>2270</v>
      </c>
      <c r="H1748" s="17" t="n">
        <v>2.8</v>
      </c>
      <c r="I1748" s="17" t="n">
        <v>6619.32</v>
      </c>
      <c r="J1748" s="15" t="s">
        <v>104</v>
      </c>
      <c r="K1748" s="15" t="s">
        <v>99</v>
      </c>
    </row>
    <row r="1749" customFormat="false" ht="14.25" hidden="false" customHeight="false" outlineLevel="0" collapsed="false">
      <c r="A1749" s="15" t="s">
        <v>2258</v>
      </c>
      <c r="B1749" s="16" t="n">
        <v>45354</v>
      </c>
      <c r="C1749" s="15" t="s">
        <v>792</v>
      </c>
      <c r="D1749" s="15" t="s">
        <v>113</v>
      </c>
      <c r="E1749" s="15" t="s">
        <v>97</v>
      </c>
      <c r="F1749" s="17" t="n">
        <v>8</v>
      </c>
      <c r="G1749" s="17" t="n">
        <v>3660</v>
      </c>
      <c r="H1749" s="17" t="n">
        <v>16.8</v>
      </c>
      <c r="I1749" s="17" t="n">
        <v>24360.96</v>
      </c>
      <c r="J1749" s="15" t="s">
        <v>98</v>
      </c>
      <c r="K1749" s="15" t="s">
        <v>110</v>
      </c>
    </row>
    <row r="1750" customFormat="false" ht="14.25" hidden="false" customHeight="false" outlineLevel="0" collapsed="false">
      <c r="A1750" s="15" t="s">
        <v>2259</v>
      </c>
      <c r="B1750" s="16" t="n">
        <v>45469</v>
      </c>
      <c r="C1750" s="15" t="s">
        <v>626</v>
      </c>
      <c r="D1750" s="15" t="s">
        <v>287</v>
      </c>
      <c r="E1750" s="15" t="s">
        <v>118</v>
      </c>
      <c r="F1750" s="17" t="n">
        <v>7</v>
      </c>
      <c r="G1750" s="17" t="n">
        <v>3020</v>
      </c>
      <c r="H1750" s="17" t="n">
        <v>17.8</v>
      </c>
      <c r="I1750" s="17" t="n">
        <v>17377.08</v>
      </c>
      <c r="J1750" s="15" t="s">
        <v>98</v>
      </c>
      <c r="K1750" s="15" t="s">
        <v>123</v>
      </c>
    </row>
    <row r="1751" customFormat="false" ht="14.25" hidden="false" customHeight="false" outlineLevel="0" collapsed="false">
      <c r="A1751" s="15" t="s">
        <v>2260</v>
      </c>
      <c r="B1751" s="16" t="n">
        <v>45587</v>
      </c>
      <c r="C1751" s="15" t="s">
        <v>1272</v>
      </c>
      <c r="D1751" s="15" t="s">
        <v>175</v>
      </c>
      <c r="E1751" s="15" t="s">
        <v>109</v>
      </c>
      <c r="F1751" s="17" t="n">
        <v>7</v>
      </c>
      <c r="G1751" s="17" t="n">
        <v>1080</v>
      </c>
      <c r="H1751" s="17" t="n">
        <v>12.9</v>
      </c>
      <c r="I1751" s="17" t="n">
        <v>6584.76</v>
      </c>
      <c r="J1751" s="15" t="s">
        <v>98</v>
      </c>
      <c r="K1751" s="15" t="s">
        <v>128</v>
      </c>
    </row>
    <row r="1752" customFormat="false" ht="14.25" hidden="false" customHeight="false" outlineLevel="0" collapsed="false">
      <c r="A1752" s="15" t="s">
        <v>2261</v>
      </c>
      <c r="B1752" s="16" t="n">
        <v>45494</v>
      </c>
      <c r="C1752" s="15" t="s">
        <v>576</v>
      </c>
      <c r="D1752" s="15" t="s">
        <v>256</v>
      </c>
      <c r="E1752" s="15" t="s">
        <v>336</v>
      </c>
      <c r="F1752" s="17" t="n">
        <v>2</v>
      </c>
      <c r="G1752" s="17" t="n">
        <v>2270</v>
      </c>
      <c r="H1752" s="17" t="n">
        <v>8.6</v>
      </c>
      <c r="I1752" s="17" t="n">
        <v>4149.56</v>
      </c>
      <c r="J1752" s="15" t="s">
        <v>151</v>
      </c>
      <c r="K1752" s="15" t="s">
        <v>123</v>
      </c>
    </row>
    <row r="1753" customFormat="false" ht="14.25" hidden="false" customHeight="false" outlineLevel="0" collapsed="false">
      <c r="A1753" s="15" t="s">
        <v>2262</v>
      </c>
      <c r="B1753" s="16" t="n">
        <v>45445</v>
      </c>
      <c r="C1753" s="15" t="s">
        <v>401</v>
      </c>
      <c r="D1753" s="15" t="s">
        <v>303</v>
      </c>
      <c r="E1753" s="15" t="s">
        <v>336</v>
      </c>
      <c r="F1753" s="17" t="n">
        <v>10</v>
      </c>
      <c r="G1753" s="17" t="n">
        <v>620</v>
      </c>
      <c r="H1753" s="17" t="n">
        <v>26.1</v>
      </c>
      <c r="I1753" s="17" t="n">
        <v>4581.8</v>
      </c>
      <c r="J1753" s="15" t="s">
        <v>98</v>
      </c>
      <c r="K1753" s="15" t="s">
        <v>99</v>
      </c>
    </row>
    <row r="1754" customFormat="false" ht="14.25" hidden="false" customHeight="false" outlineLevel="0" collapsed="false">
      <c r="A1754" s="15" t="s">
        <v>2263</v>
      </c>
      <c r="B1754" s="16" t="n">
        <v>45561</v>
      </c>
      <c r="C1754" s="15" t="s">
        <v>617</v>
      </c>
      <c r="D1754" s="15" t="s">
        <v>362</v>
      </c>
      <c r="E1754" s="15" t="s">
        <v>199</v>
      </c>
      <c r="F1754" s="17" t="n">
        <v>2</v>
      </c>
      <c r="G1754" s="17" t="n">
        <v>4060</v>
      </c>
      <c r="H1754" s="17" t="n">
        <v>3.8</v>
      </c>
      <c r="I1754" s="17" t="n">
        <v>7811.44</v>
      </c>
      <c r="J1754" s="15" t="s">
        <v>98</v>
      </c>
      <c r="K1754" s="15" t="s">
        <v>123</v>
      </c>
    </row>
    <row r="1755" customFormat="false" ht="14.25" hidden="false" customHeight="false" outlineLevel="0" collapsed="false">
      <c r="A1755" s="15" t="s">
        <v>2264</v>
      </c>
      <c r="B1755" s="16" t="n">
        <v>45488</v>
      </c>
      <c r="C1755" s="15" t="s">
        <v>289</v>
      </c>
      <c r="D1755" s="15" t="s">
        <v>245</v>
      </c>
      <c r="E1755" s="15" t="s">
        <v>336</v>
      </c>
      <c r="F1755" s="17" t="n">
        <v>1</v>
      </c>
      <c r="G1755" s="17" t="n">
        <v>3780</v>
      </c>
      <c r="H1755" s="17" t="n">
        <v>27.9</v>
      </c>
      <c r="I1755" s="17" t="n">
        <v>2725.38</v>
      </c>
      <c r="J1755" s="15" t="s">
        <v>98</v>
      </c>
      <c r="K1755" s="15" t="s">
        <v>144</v>
      </c>
    </row>
    <row r="1756" customFormat="false" ht="14.25" hidden="false" customHeight="false" outlineLevel="0" collapsed="false">
      <c r="A1756" s="15" t="s">
        <v>2265</v>
      </c>
      <c r="B1756" s="16" t="n">
        <v>45617</v>
      </c>
      <c r="C1756" s="15" t="s">
        <v>269</v>
      </c>
      <c r="D1756" s="15" t="s">
        <v>378</v>
      </c>
      <c r="E1756" s="15" t="s">
        <v>296</v>
      </c>
      <c r="F1756" s="17" t="n">
        <v>8</v>
      </c>
      <c r="G1756" s="17" t="n">
        <v>2380</v>
      </c>
      <c r="H1756" s="17" t="n">
        <v>3.8</v>
      </c>
      <c r="I1756" s="17" t="n">
        <v>18316.48</v>
      </c>
      <c r="J1756" s="15" t="s">
        <v>98</v>
      </c>
      <c r="K1756" s="15" t="s">
        <v>110</v>
      </c>
    </row>
    <row r="1757" customFormat="false" ht="14.25" hidden="false" customHeight="false" outlineLevel="0" collapsed="false">
      <c r="A1757" s="15" t="s">
        <v>2266</v>
      </c>
      <c r="B1757" s="16" t="n">
        <v>45378</v>
      </c>
      <c r="C1757" s="15" t="s">
        <v>300</v>
      </c>
      <c r="D1757" s="15" t="s">
        <v>275</v>
      </c>
      <c r="E1757" s="15" t="s">
        <v>127</v>
      </c>
      <c r="F1757" s="17" t="n">
        <v>7</v>
      </c>
      <c r="G1757" s="17" t="n">
        <v>4070</v>
      </c>
      <c r="H1757" s="17" t="n">
        <v>0.3</v>
      </c>
      <c r="I1757" s="17" t="n">
        <v>28404.53</v>
      </c>
      <c r="J1757" s="15" t="s">
        <v>98</v>
      </c>
      <c r="K1757" s="15" t="s">
        <v>105</v>
      </c>
    </row>
    <row r="1758" customFormat="false" ht="14.25" hidden="false" customHeight="false" outlineLevel="0" collapsed="false">
      <c r="A1758" s="15" t="s">
        <v>2267</v>
      </c>
      <c r="B1758" s="16" t="n">
        <v>45459</v>
      </c>
      <c r="C1758" s="15" t="s">
        <v>1245</v>
      </c>
      <c r="D1758" s="15" t="s">
        <v>146</v>
      </c>
      <c r="E1758" s="15" t="s">
        <v>203</v>
      </c>
      <c r="F1758" s="17" t="n">
        <v>6</v>
      </c>
      <c r="G1758" s="17" t="n">
        <v>2640</v>
      </c>
      <c r="H1758" s="17" t="n">
        <v>3.4</v>
      </c>
      <c r="I1758" s="17" t="n">
        <v>15301.44</v>
      </c>
      <c r="J1758" s="15" t="s">
        <v>98</v>
      </c>
      <c r="K1758" s="15" t="s">
        <v>123</v>
      </c>
    </row>
    <row r="1759" customFormat="false" ht="14.25" hidden="false" customHeight="false" outlineLevel="0" collapsed="false">
      <c r="A1759" s="15" t="s">
        <v>2268</v>
      </c>
      <c r="B1759" s="16" t="n">
        <v>45377</v>
      </c>
      <c r="C1759" s="15" t="s">
        <v>192</v>
      </c>
      <c r="D1759" s="15" t="s">
        <v>472</v>
      </c>
      <c r="E1759" s="15" t="s">
        <v>181</v>
      </c>
      <c r="F1759" s="17" t="n">
        <v>10</v>
      </c>
      <c r="G1759" s="17" t="n">
        <v>3780</v>
      </c>
      <c r="H1759" s="17" t="n">
        <v>13.3</v>
      </c>
      <c r="I1759" s="17" t="n">
        <v>32772.6</v>
      </c>
      <c r="J1759" s="15" t="s">
        <v>98</v>
      </c>
      <c r="K1759" s="15" t="s">
        <v>110</v>
      </c>
    </row>
    <row r="1760" customFormat="false" ht="14.25" hidden="false" customHeight="false" outlineLevel="0" collapsed="false">
      <c r="A1760" s="15" t="s">
        <v>2269</v>
      </c>
      <c r="B1760" s="16" t="n">
        <v>45302</v>
      </c>
      <c r="C1760" s="15" t="s">
        <v>883</v>
      </c>
      <c r="D1760" s="15" t="s">
        <v>190</v>
      </c>
      <c r="E1760" s="15" t="s">
        <v>215</v>
      </c>
      <c r="F1760" s="17" t="n">
        <v>9</v>
      </c>
      <c r="G1760" s="17" t="n">
        <v>3350</v>
      </c>
      <c r="H1760" s="17" t="n">
        <v>12.8</v>
      </c>
      <c r="I1760" s="17" t="n">
        <v>26290.8</v>
      </c>
      <c r="J1760" s="15" t="s">
        <v>98</v>
      </c>
      <c r="K1760" s="15" t="s">
        <v>123</v>
      </c>
    </row>
    <row r="1761" customFormat="false" ht="14.25" hidden="false" customHeight="false" outlineLevel="0" collapsed="false">
      <c r="A1761" s="15" t="s">
        <v>2270</v>
      </c>
      <c r="B1761" s="16" t="n">
        <v>45459</v>
      </c>
      <c r="C1761" s="15" t="s">
        <v>687</v>
      </c>
      <c r="D1761" s="15" t="s">
        <v>117</v>
      </c>
      <c r="E1761" s="15" t="s">
        <v>127</v>
      </c>
      <c r="F1761" s="17" t="n">
        <v>7</v>
      </c>
      <c r="G1761" s="17" t="n">
        <v>3160</v>
      </c>
      <c r="H1761" s="17" t="n">
        <v>15.3</v>
      </c>
      <c r="I1761" s="17" t="n">
        <v>18735.64</v>
      </c>
      <c r="J1761" s="15" t="s">
        <v>98</v>
      </c>
      <c r="K1761" s="15" t="s">
        <v>99</v>
      </c>
    </row>
    <row r="1762" customFormat="false" ht="14.25" hidden="false" customHeight="false" outlineLevel="0" collapsed="false">
      <c r="A1762" s="15" t="s">
        <v>2271</v>
      </c>
      <c r="B1762" s="16" t="n">
        <v>45428</v>
      </c>
      <c r="C1762" s="15" t="s">
        <v>994</v>
      </c>
      <c r="D1762" s="15" t="s">
        <v>206</v>
      </c>
      <c r="E1762" s="15" t="s">
        <v>150</v>
      </c>
      <c r="F1762" s="17" t="n">
        <v>6</v>
      </c>
      <c r="G1762" s="17" t="n">
        <v>2860</v>
      </c>
      <c r="H1762" s="17" t="n">
        <v>17.5</v>
      </c>
      <c r="I1762" s="17" t="n">
        <v>14157</v>
      </c>
      <c r="J1762" s="15" t="s">
        <v>98</v>
      </c>
      <c r="K1762" s="15" t="s">
        <v>128</v>
      </c>
    </row>
    <row r="1763" customFormat="false" ht="14.25" hidden="false" customHeight="false" outlineLevel="0" collapsed="false">
      <c r="A1763" s="15" t="s">
        <v>2272</v>
      </c>
      <c r="B1763" s="16" t="n">
        <v>45341</v>
      </c>
      <c r="C1763" s="15" t="s">
        <v>768</v>
      </c>
      <c r="D1763" s="15" t="s">
        <v>293</v>
      </c>
      <c r="E1763" s="15" t="s">
        <v>143</v>
      </c>
      <c r="F1763" s="17" t="n">
        <v>9</v>
      </c>
      <c r="G1763" s="17" t="n">
        <v>300</v>
      </c>
      <c r="H1763" s="17" t="n">
        <v>25.2</v>
      </c>
      <c r="I1763" s="17" t="n">
        <v>2019.6</v>
      </c>
      <c r="J1763" s="15" t="s">
        <v>98</v>
      </c>
      <c r="K1763" s="15" t="s">
        <v>128</v>
      </c>
    </row>
    <row r="1764" customFormat="false" ht="14.25" hidden="false" customHeight="false" outlineLevel="0" collapsed="false">
      <c r="A1764" s="15" t="s">
        <v>2273</v>
      </c>
      <c r="B1764" s="16" t="n">
        <v>45296</v>
      </c>
      <c r="C1764" s="15" t="s">
        <v>988</v>
      </c>
      <c r="D1764" s="15" t="s">
        <v>158</v>
      </c>
      <c r="E1764" s="15" t="s">
        <v>203</v>
      </c>
      <c r="F1764" s="17" t="n">
        <v>5</v>
      </c>
      <c r="G1764" s="17" t="n">
        <v>190</v>
      </c>
      <c r="H1764" s="17" t="n">
        <v>1.8</v>
      </c>
      <c r="I1764" s="17" t="n">
        <v>932.9</v>
      </c>
      <c r="J1764" s="15" t="s">
        <v>98</v>
      </c>
      <c r="K1764" s="15" t="s">
        <v>99</v>
      </c>
    </row>
    <row r="1765" customFormat="false" ht="14.25" hidden="false" customHeight="false" outlineLevel="0" collapsed="false">
      <c r="A1765" s="15" t="s">
        <v>2274</v>
      </c>
      <c r="B1765" s="16" t="n">
        <v>45533</v>
      </c>
      <c r="C1765" s="15" t="s">
        <v>453</v>
      </c>
      <c r="D1765" s="15" t="s">
        <v>193</v>
      </c>
      <c r="E1765" s="15" t="s">
        <v>169</v>
      </c>
      <c r="F1765" s="17" t="n">
        <v>7</v>
      </c>
      <c r="G1765" s="17" t="n">
        <v>1010</v>
      </c>
      <c r="H1765" s="17" t="n">
        <v>11.2</v>
      </c>
      <c r="I1765" s="17" t="n">
        <v>6278.16</v>
      </c>
      <c r="J1765" s="15" t="s">
        <v>98</v>
      </c>
      <c r="K1765" s="15" t="s">
        <v>99</v>
      </c>
    </row>
    <row r="1766" customFormat="false" ht="14.25" hidden="false" customHeight="false" outlineLevel="0" collapsed="false">
      <c r="A1766" s="15" t="s">
        <v>2275</v>
      </c>
      <c r="B1766" s="16" t="n">
        <v>45515</v>
      </c>
      <c r="C1766" s="15" t="s">
        <v>230</v>
      </c>
      <c r="D1766" s="15" t="s">
        <v>172</v>
      </c>
      <c r="E1766" s="15" t="s">
        <v>226</v>
      </c>
      <c r="F1766" s="17" t="n">
        <v>8</v>
      </c>
      <c r="G1766" s="17" t="n">
        <v>3450</v>
      </c>
      <c r="H1766" s="17" t="n">
        <v>8.4</v>
      </c>
      <c r="I1766" s="17" t="n">
        <v>25281.6</v>
      </c>
      <c r="J1766" s="15" t="s">
        <v>98</v>
      </c>
      <c r="K1766" s="15" t="s">
        <v>110</v>
      </c>
    </row>
    <row r="1767" customFormat="false" ht="14.25" hidden="false" customHeight="false" outlineLevel="0" collapsed="false">
      <c r="A1767" s="15" t="s">
        <v>2276</v>
      </c>
      <c r="B1767" s="16" t="n">
        <v>45597</v>
      </c>
      <c r="C1767" s="15" t="s">
        <v>997</v>
      </c>
      <c r="D1767" s="15" t="s">
        <v>293</v>
      </c>
      <c r="E1767" s="15" t="s">
        <v>226</v>
      </c>
      <c r="F1767" s="17" t="n">
        <v>3</v>
      </c>
      <c r="G1767" s="17" t="n">
        <v>300</v>
      </c>
      <c r="H1767" s="17" t="n">
        <v>7.5</v>
      </c>
      <c r="I1767" s="17" t="n">
        <v>832.5</v>
      </c>
      <c r="J1767" s="15" t="s">
        <v>155</v>
      </c>
      <c r="K1767" s="15" t="s">
        <v>105</v>
      </c>
    </row>
    <row r="1768" customFormat="false" ht="14.25" hidden="false" customHeight="false" outlineLevel="0" collapsed="false">
      <c r="A1768" s="15" t="s">
        <v>2277</v>
      </c>
      <c r="B1768" s="16" t="n">
        <v>45370</v>
      </c>
      <c r="C1768" s="15" t="s">
        <v>239</v>
      </c>
      <c r="D1768" s="15" t="s">
        <v>237</v>
      </c>
      <c r="E1768" s="15" t="s">
        <v>314</v>
      </c>
      <c r="F1768" s="17" t="n">
        <v>4</v>
      </c>
      <c r="G1768" s="17" t="n">
        <v>3730</v>
      </c>
      <c r="H1768" s="17" t="n">
        <v>24.8</v>
      </c>
      <c r="I1768" s="17" t="n">
        <v>11219.84</v>
      </c>
      <c r="J1768" s="15" t="s">
        <v>98</v>
      </c>
      <c r="K1768" s="15" t="s">
        <v>123</v>
      </c>
    </row>
    <row r="1769" customFormat="false" ht="14.25" hidden="false" customHeight="false" outlineLevel="0" collapsed="false">
      <c r="A1769" s="15" t="s">
        <v>2278</v>
      </c>
      <c r="B1769" s="16" t="n">
        <v>45462</v>
      </c>
      <c r="C1769" s="15" t="s">
        <v>189</v>
      </c>
      <c r="D1769" s="15" t="s">
        <v>162</v>
      </c>
      <c r="E1769" s="15" t="s">
        <v>203</v>
      </c>
      <c r="F1769" s="17" t="n">
        <v>5</v>
      </c>
      <c r="G1769" s="17" t="n">
        <v>2400</v>
      </c>
      <c r="H1769" s="17" t="n">
        <v>9.2</v>
      </c>
      <c r="I1769" s="17" t="n">
        <v>10896</v>
      </c>
      <c r="J1769" s="15" t="s">
        <v>98</v>
      </c>
      <c r="K1769" s="15" t="s">
        <v>105</v>
      </c>
    </row>
    <row r="1770" customFormat="false" ht="14.25" hidden="false" customHeight="false" outlineLevel="0" collapsed="false">
      <c r="A1770" s="15" t="s">
        <v>2279</v>
      </c>
      <c r="B1770" s="16" t="n">
        <v>45609</v>
      </c>
      <c r="C1770" s="15" t="s">
        <v>414</v>
      </c>
      <c r="D1770" s="15" t="s">
        <v>211</v>
      </c>
      <c r="E1770" s="15" t="s">
        <v>226</v>
      </c>
      <c r="F1770" s="17" t="n">
        <v>3</v>
      </c>
      <c r="G1770" s="17" t="n">
        <v>2760</v>
      </c>
      <c r="H1770" s="17" t="n">
        <v>2.4</v>
      </c>
      <c r="I1770" s="17" t="n">
        <v>8081.28</v>
      </c>
      <c r="J1770" s="15" t="s">
        <v>98</v>
      </c>
      <c r="K1770" s="15" t="s">
        <v>128</v>
      </c>
    </row>
    <row r="1771" customFormat="false" ht="14.25" hidden="false" customHeight="false" outlineLevel="0" collapsed="false">
      <c r="A1771" s="15" t="s">
        <v>678</v>
      </c>
      <c r="B1771" s="16" t="n">
        <v>45548</v>
      </c>
      <c r="C1771" s="15" t="s">
        <v>219</v>
      </c>
      <c r="D1771" s="15" t="s">
        <v>108</v>
      </c>
      <c r="E1771" s="15" t="s">
        <v>215</v>
      </c>
      <c r="F1771" s="17" t="n">
        <v>8</v>
      </c>
      <c r="G1771" s="17" t="n">
        <v>470</v>
      </c>
      <c r="H1771" s="17" t="n">
        <v>24.8</v>
      </c>
      <c r="I1771" s="17" t="n">
        <v>2827.52</v>
      </c>
      <c r="J1771" s="15" t="s">
        <v>104</v>
      </c>
      <c r="K1771" s="15" t="s">
        <v>144</v>
      </c>
    </row>
    <row r="1772" customFormat="false" ht="14.25" hidden="false" customHeight="false" outlineLevel="0" collapsed="false">
      <c r="A1772" s="15" t="s">
        <v>2280</v>
      </c>
      <c r="B1772" s="16" t="n">
        <v>45633</v>
      </c>
      <c r="C1772" s="15" t="s">
        <v>613</v>
      </c>
      <c r="D1772" s="15" t="s">
        <v>108</v>
      </c>
      <c r="E1772" s="15" t="s">
        <v>354</v>
      </c>
      <c r="F1772" s="17" t="n">
        <v>3</v>
      </c>
      <c r="G1772" s="17" t="n">
        <v>470</v>
      </c>
      <c r="H1772" s="17" t="n">
        <v>18.6</v>
      </c>
      <c r="I1772" s="17" t="n">
        <v>1147.74</v>
      </c>
      <c r="J1772" s="15" t="s">
        <v>98</v>
      </c>
      <c r="K1772" s="15" t="s">
        <v>105</v>
      </c>
    </row>
    <row r="1773" customFormat="false" ht="14.25" hidden="false" customHeight="false" outlineLevel="0" collapsed="false">
      <c r="A1773" s="15" t="s">
        <v>2281</v>
      </c>
      <c r="B1773" s="16" t="n">
        <v>45580</v>
      </c>
      <c r="C1773" s="15" t="s">
        <v>518</v>
      </c>
      <c r="D1773" s="15" t="s">
        <v>121</v>
      </c>
      <c r="E1773" s="15" t="s">
        <v>139</v>
      </c>
      <c r="F1773" s="17" t="n">
        <v>2</v>
      </c>
      <c r="G1773" s="17" t="n">
        <v>370</v>
      </c>
      <c r="H1773" s="17" t="n">
        <v>24</v>
      </c>
      <c r="I1773" s="17" t="n">
        <v>562.4</v>
      </c>
      <c r="J1773" s="15" t="s">
        <v>98</v>
      </c>
      <c r="K1773" s="15" t="s">
        <v>99</v>
      </c>
    </row>
    <row r="1774" customFormat="false" ht="14.25" hidden="false" customHeight="false" outlineLevel="0" collapsed="false">
      <c r="A1774" s="15" t="s">
        <v>2282</v>
      </c>
      <c r="B1774" s="16" t="n">
        <v>45329</v>
      </c>
      <c r="C1774" s="15" t="s">
        <v>1245</v>
      </c>
      <c r="D1774" s="15" t="s">
        <v>349</v>
      </c>
      <c r="E1774" s="15" t="s">
        <v>226</v>
      </c>
      <c r="F1774" s="17" t="n">
        <v>6</v>
      </c>
      <c r="G1774" s="17" t="n">
        <v>2210</v>
      </c>
      <c r="H1774" s="17" t="n">
        <v>28.3</v>
      </c>
      <c r="I1774" s="17" t="n">
        <v>9507.42</v>
      </c>
      <c r="J1774" s="15" t="s">
        <v>151</v>
      </c>
      <c r="K1774" s="15" t="s">
        <v>123</v>
      </c>
    </row>
    <row r="1775" customFormat="false" ht="14.25" hidden="false" customHeight="false" outlineLevel="0" collapsed="false">
      <c r="A1775" s="15" t="s">
        <v>2283</v>
      </c>
      <c r="B1775" s="16" t="n">
        <v>45549</v>
      </c>
      <c r="C1775" s="15" t="s">
        <v>572</v>
      </c>
      <c r="D1775" s="15" t="s">
        <v>526</v>
      </c>
      <c r="E1775" s="15" t="s">
        <v>308</v>
      </c>
      <c r="F1775" s="17" t="n">
        <v>3</v>
      </c>
      <c r="G1775" s="17" t="n">
        <v>6940</v>
      </c>
      <c r="H1775" s="17" t="n">
        <v>27.2</v>
      </c>
      <c r="I1775" s="17" t="n">
        <v>15156.96</v>
      </c>
      <c r="J1775" s="15" t="s">
        <v>155</v>
      </c>
      <c r="K1775" s="15" t="s">
        <v>144</v>
      </c>
    </row>
    <row r="1776" customFormat="false" ht="14.25" hidden="false" customHeight="false" outlineLevel="0" collapsed="false">
      <c r="A1776" s="15" t="s">
        <v>2284</v>
      </c>
      <c r="B1776" s="16" t="n">
        <v>45423</v>
      </c>
      <c r="C1776" s="15" t="s">
        <v>956</v>
      </c>
      <c r="D1776" s="15" t="s">
        <v>306</v>
      </c>
      <c r="E1776" s="15" t="s">
        <v>314</v>
      </c>
      <c r="F1776" s="17" t="n">
        <v>10</v>
      </c>
      <c r="G1776" s="17" t="n">
        <v>2030</v>
      </c>
      <c r="H1776" s="17" t="n">
        <v>25.6</v>
      </c>
      <c r="I1776" s="17" t="n">
        <v>15103.2</v>
      </c>
      <c r="J1776" s="15" t="s">
        <v>98</v>
      </c>
      <c r="K1776" s="15" t="s">
        <v>99</v>
      </c>
    </row>
    <row r="1777" customFormat="false" ht="14.25" hidden="false" customHeight="false" outlineLevel="0" collapsed="false">
      <c r="A1777" s="15" t="s">
        <v>2285</v>
      </c>
      <c r="B1777" s="16" t="n">
        <v>45533</v>
      </c>
      <c r="C1777" s="15" t="s">
        <v>956</v>
      </c>
      <c r="D1777" s="15" t="s">
        <v>193</v>
      </c>
      <c r="E1777" s="15" t="s">
        <v>249</v>
      </c>
      <c r="F1777" s="17" t="n">
        <v>9</v>
      </c>
      <c r="G1777" s="17" t="n">
        <v>1010</v>
      </c>
      <c r="H1777" s="17" t="n">
        <v>9.3</v>
      </c>
      <c r="I1777" s="17" t="n">
        <v>8244.63</v>
      </c>
      <c r="J1777" s="15" t="s">
        <v>98</v>
      </c>
      <c r="K1777" s="15" t="s">
        <v>99</v>
      </c>
    </row>
    <row r="1778" customFormat="false" ht="14.25" hidden="false" customHeight="false" outlineLevel="0" collapsed="false">
      <c r="A1778" s="15" t="s">
        <v>2286</v>
      </c>
      <c r="B1778" s="16" t="n">
        <v>45571</v>
      </c>
      <c r="C1778" s="15" t="s">
        <v>339</v>
      </c>
      <c r="D1778" s="15" t="s">
        <v>366</v>
      </c>
      <c r="E1778" s="15" t="s">
        <v>308</v>
      </c>
      <c r="F1778" s="17" t="n">
        <v>5</v>
      </c>
      <c r="G1778" s="17" t="n">
        <v>2510</v>
      </c>
      <c r="H1778" s="17" t="n">
        <v>22.2</v>
      </c>
      <c r="I1778" s="17" t="n">
        <v>9763.9</v>
      </c>
      <c r="J1778" s="15" t="s">
        <v>98</v>
      </c>
      <c r="K1778" s="15" t="s">
        <v>105</v>
      </c>
    </row>
    <row r="1779" customFormat="false" ht="14.25" hidden="false" customHeight="false" outlineLevel="0" collapsed="false">
      <c r="A1779" s="15" t="s">
        <v>2287</v>
      </c>
      <c r="B1779" s="16" t="n">
        <v>45441</v>
      </c>
      <c r="C1779" s="15" t="s">
        <v>770</v>
      </c>
      <c r="D1779" s="15" t="s">
        <v>121</v>
      </c>
      <c r="E1779" s="15" t="s">
        <v>308</v>
      </c>
      <c r="F1779" s="17" t="n">
        <v>10</v>
      </c>
      <c r="G1779" s="17" t="n">
        <v>370</v>
      </c>
      <c r="H1779" s="17" t="n">
        <v>29</v>
      </c>
      <c r="I1779" s="17" t="n">
        <v>2627</v>
      </c>
      <c r="J1779" s="15" t="s">
        <v>98</v>
      </c>
      <c r="K1779" s="15" t="s">
        <v>128</v>
      </c>
    </row>
    <row r="1780" customFormat="false" ht="14.25" hidden="false" customHeight="false" outlineLevel="0" collapsed="false">
      <c r="A1780" s="15" t="s">
        <v>2288</v>
      </c>
      <c r="B1780" s="16" t="n">
        <v>45403</v>
      </c>
      <c r="C1780" s="15" t="s">
        <v>555</v>
      </c>
      <c r="D1780" s="15" t="s">
        <v>178</v>
      </c>
      <c r="E1780" s="15" t="s">
        <v>169</v>
      </c>
      <c r="F1780" s="17" t="n">
        <v>3</v>
      </c>
      <c r="G1780" s="17" t="n">
        <v>2480</v>
      </c>
      <c r="H1780" s="17" t="n">
        <v>9.6</v>
      </c>
      <c r="I1780" s="17" t="n">
        <v>6725.76</v>
      </c>
      <c r="J1780" s="15" t="s">
        <v>98</v>
      </c>
      <c r="K1780" s="15" t="s">
        <v>144</v>
      </c>
    </row>
    <row r="1781" customFormat="false" ht="14.25" hidden="false" customHeight="false" outlineLevel="0" collapsed="false">
      <c r="A1781" s="15" t="s">
        <v>2289</v>
      </c>
      <c r="B1781" s="16" t="n">
        <v>45644</v>
      </c>
      <c r="C1781" s="15" t="s">
        <v>806</v>
      </c>
      <c r="D1781" s="15" t="s">
        <v>146</v>
      </c>
      <c r="E1781" s="15" t="s">
        <v>249</v>
      </c>
      <c r="F1781" s="17" t="n">
        <v>3</v>
      </c>
      <c r="G1781" s="17" t="n">
        <v>2640</v>
      </c>
      <c r="H1781" s="17" t="n">
        <v>10.2</v>
      </c>
      <c r="I1781" s="17" t="n">
        <v>7112.16</v>
      </c>
      <c r="J1781" s="15" t="s">
        <v>151</v>
      </c>
      <c r="K1781" s="15" t="s">
        <v>105</v>
      </c>
    </row>
    <row r="1782" customFormat="false" ht="14.25" hidden="false" customHeight="false" outlineLevel="0" collapsed="false">
      <c r="A1782" s="15" t="s">
        <v>2290</v>
      </c>
      <c r="B1782" s="16" t="n">
        <v>45504</v>
      </c>
      <c r="C1782" s="15" t="s">
        <v>1510</v>
      </c>
      <c r="D1782" s="15" t="s">
        <v>513</v>
      </c>
      <c r="E1782" s="15" t="s">
        <v>203</v>
      </c>
      <c r="F1782" s="17" t="n">
        <v>1</v>
      </c>
      <c r="G1782" s="17" t="n">
        <v>1090</v>
      </c>
      <c r="H1782" s="17" t="n">
        <v>21.6</v>
      </c>
      <c r="I1782" s="17" t="n">
        <v>854.56</v>
      </c>
      <c r="J1782" s="15" t="s">
        <v>151</v>
      </c>
      <c r="K1782" s="15" t="s">
        <v>105</v>
      </c>
    </row>
    <row r="1783" customFormat="false" ht="14.25" hidden="false" customHeight="false" outlineLevel="0" collapsed="false">
      <c r="A1783" s="15" t="s">
        <v>2291</v>
      </c>
      <c r="B1783" s="16" t="n">
        <v>45606</v>
      </c>
      <c r="C1783" s="15" t="s">
        <v>1361</v>
      </c>
      <c r="D1783" s="15" t="s">
        <v>190</v>
      </c>
      <c r="E1783" s="15" t="s">
        <v>308</v>
      </c>
      <c r="F1783" s="17" t="n">
        <v>10</v>
      </c>
      <c r="G1783" s="17" t="n">
        <v>3350</v>
      </c>
      <c r="H1783" s="17" t="n">
        <v>12.1</v>
      </c>
      <c r="I1783" s="17" t="n">
        <v>29446.5</v>
      </c>
      <c r="J1783" s="15" t="s">
        <v>98</v>
      </c>
      <c r="K1783" s="15" t="s">
        <v>123</v>
      </c>
    </row>
    <row r="1784" customFormat="false" ht="14.25" hidden="false" customHeight="false" outlineLevel="0" collapsed="false">
      <c r="A1784" s="15" t="s">
        <v>2292</v>
      </c>
      <c r="B1784" s="16" t="n">
        <v>45562</v>
      </c>
      <c r="C1784" s="15" t="s">
        <v>596</v>
      </c>
      <c r="D1784" s="15" t="s">
        <v>252</v>
      </c>
      <c r="E1784" s="15" t="s">
        <v>199</v>
      </c>
      <c r="F1784" s="17" t="n">
        <v>4</v>
      </c>
      <c r="G1784" s="17" t="n">
        <v>6080</v>
      </c>
      <c r="H1784" s="17" t="n">
        <v>26.7</v>
      </c>
      <c r="I1784" s="17" t="n">
        <v>17826.56</v>
      </c>
      <c r="J1784" s="15" t="s">
        <v>151</v>
      </c>
      <c r="K1784" s="15" t="s">
        <v>105</v>
      </c>
    </row>
    <row r="1785" customFormat="false" ht="14.25" hidden="false" customHeight="false" outlineLevel="0" collapsed="false">
      <c r="A1785" s="15" t="s">
        <v>2293</v>
      </c>
      <c r="B1785" s="16" t="n">
        <v>45372</v>
      </c>
      <c r="C1785" s="15" t="s">
        <v>708</v>
      </c>
      <c r="D1785" s="15" t="s">
        <v>391</v>
      </c>
      <c r="E1785" s="15" t="s">
        <v>308</v>
      </c>
      <c r="F1785" s="17" t="n">
        <v>3</v>
      </c>
      <c r="G1785" s="17" t="n">
        <v>960</v>
      </c>
      <c r="H1785" s="17" t="n">
        <v>13.2</v>
      </c>
      <c r="I1785" s="17" t="n">
        <v>2499.84</v>
      </c>
      <c r="J1785" s="15" t="s">
        <v>98</v>
      </c>
      <c r="K1785" s="15" t="s">
        <v>144</v>
      </c>
    </row>
    <row r="1786" customFormat="false" ht="14.25" hidden="false" customHeight="false" outlineLevel="0" collapsed="false">
      <c r="A1786" s="15" t="s">
        <v>2294</v>
      </c>
      <c r="B1786" s="16" t="n">
        <v>45610</v>
      </c>
      <c r="C1786" s="15" t="s">
        <v>574</v>
      </c>
      <c r="D1786" s="15" t="s">
        <v>113</v>
      </c>
      <c r="E1786" s="15" t="s">
        <v>97</v>
      </c>
      <c r="F1786" s="17" t="n">
        <v>9</v>
      </c>
      <c r="G1786" s="17" t="n">
        <v>3660</v>
      </c>
      <c r="H1786" s="17" t="n">
        <v>9.3</v>
      </c>
      <c r="I1786" s="17" t="n">
        <v>29876.58</v>
      </c>
      <c r="J1786" s="15" t="s">
        <v>151</v>
      </c>
      <c r="K1786" s="15" t="s">
        <v>99</v>
      </c>
    </row>
    <row r="1787" customFormat="false" ht="14.25" hidden="false" customHeight="false" outlineLevel="0" collapsed="false">
      <c r="A1787" s="15" t="s">
        <v>2295</v>
      </c>
      <c r="B1787" s="16" t="n">
        <v>45388</v>
      </c>
      <c r="C1787" s="15" t="s">
        <v>416</v>
      </c>
      <c r="D1787" s="15" t="s">
        <v>168</v>
      </c>
      <c r="E1787" s="15" t="s">
        <v>132</v>
      </c>
      <c r="F1787" s="17" t="n">
        <v>6</v>
      </c>
      <c r="G1787" s="17" t="n">
        <v>3450</v>
      </c>
      <c r="H1787" s="17" t="n">
        <v>8.2</v>
      </c>
      <c r="I1787" s="17" t="n">
        <v>19002.6</v>
      </c>
      <c r="J1787" s="15" t="s">
        <v>98</v>
      </c>
      <c r="K1787" s="15" t="s">
        <v>105</v>
      </c>
    </row>
    <row r="1788" customFormat="false" ht="14.25" hidden="false" customHeight="false" outlineLevel="0" collapsed="false">
      <c r="A1788" s="15" t="s">
        <v>2296</v>
      </c>
      <c r="B1788" s="16" t="n">
        <v>45421</v>
      </c>
      <c r="C1788" s="15" t="s">
        <v>684</v>
      </c>
      <c r="D1788" s="15" t="s">
        <v>281</v>
      </c>
      <c r="E1788" s="15" t="s">
        <v>203</v>
      </c>
      <c r="F1788" s="17" t="n">
        <v>7</v>
      </c>
      <c r="G1788" s="17" t="n">
        <v>4610</v>
      </c>
      <c r="H1788" s="17" t="n">
        <v>10.4</v>
      </c>
      <c r="I1788" s="17" t="n">
        <v>28913.92</v>
      </c>
      <c r="J1788" s="15" t="s">
        <v>98</v>
      </c>
      <c r="K1788" s="15" t="s">
        <v>123</v>
      </c>
    </row>
    <row r="1789" customFormat="false" ht="14.25" hidden="false" customHeight="false" outlineLevel="0" collapsed="false">
      <c r="A1789" s="15" t="s">
        <v>2297</v>
      </c>
      <c r="B1789" s="16" t="n">
        <v>45529</v>
      </c>
      <c r="C1789" s="15" t="s">
        <v>474</v>
      </c>
      <c r="D1789" s="15" t="s">
        <v>126</v>
      </c>
      <c r="E1789" s="15" t="s">
        <v>215</v>
      </c>
      <c r="F1789" s="17" t="n">
        <v>2</v>
      </c>
      <c r="G1789" s="17" t="n">
        <v>960</v>
      </c>
      <c r="H1789" s="17" t="n">
        <v>16.5</v>
      </c>
      <c r="I1789" s="17" t="n">
        <v>1603.2</v>
      </c>
      <c r="J1789" s="15" t="s">
        <v>98</v>
      </c>
      <c r="K1789" s="15" t="s">
        <v>128</v>
      </c>
    </row>
    <row r="1790" customFormat="false" ht="14.25" hidden="false" customHeight="false" outlineLevel="0" collapsed="false">
      <c r="A1790" s="15" t="s">
        <v>2298</v>
      </c>
      <c r="B1790" s="16" t="n">
        <v>45553</v>
      </c>
      <c r="C1790" s="15" t="s">
        <v>433</v>
      </c>
      <c r="D1790" s="15" t="s">
        <v>121</v>
      </c>
      <c r="E1790" s="15" t="s">
        <v>165</v>
      </c>
      <c r="F1790" s="17" t="n">
        <v>7</v>
      </c>
      <c r="G1790" s="17" t="n">
        <v>370</v>
      </c>
      <c r="H1790" s="17" t="n">
        <v>1.4</v>
      </c>
      <c r="I1790" s="17" t="n">
        <v>2553.74</v>
      </c>
      <c r="J1790" s="15" t="s">
        <v>155</v>
      </c>
      <c r="K1790" s="15" t="s">
        <v>105</v>
      </c>
    </row>
    <row r="1791" customFormat="false" ht="14.25" hidden="false" customHeight="false" outlineLevel="0" collapsed="false">
      <c r="A1791" s="15" t="s">
        <v>2299</v>
      </c>
      <c r="B1791" s="16" t="n">
        <v>45535</v>
      </c>
      <c r="C1791" s="15" t="s">
        <v>632</v>
      </c>
      <c r="D1791" s="15" t="s">
        <v>142</v>
      </c>
      <c r="E1791" s="15" t="s">
        <v>150</v>
      </c>
      <c r="F1791" s="17" t="n">
        <v>3</v>
      </c>
      <c r="G1791" s="17" t="n">
        <v>2270</v>
      </c>
      <c r="H1791" s="17" t="n">
        <v>12.6</v>
      </c>
      <c r="I1791" s="17" t="n">
        <v>5951.94</v>
      </c>
      <c r="J1791" s="15" t="s">
        <v>98</v>
      </c>
      <c r="K1791" s="15" t="s">
        <v>105</v>
      </c>
    </row>
    <row r="1792" customFormat="false" ht="14.25" hidden="false" customHeight="false" outlineLevel="0" collapsed="false">
      <c r="A1792" s="15" t="s">
        <v>642</v>
      </c>
      <c r="B1792" s="16" t="n">
        <v>45301</v>
      </c>
      <c r="C1792" s="15" t="s">
        <v>1369</v>
      </c>
      <c r="D1792" s="15" t="s">
        <v>154</v>
      </c>
      <c r="E1792" s="15" t="s">
        <v>109</v>
      </c>
      <c r="F1792" s="17" t="n">
        <v>1</v>
      </c>
      <c r="G1792" s="17" t="n">
        <v>3250</v>
      </c>
      <c r="H1792" s="17" t="n">
        <v>17.8</v>
      </c>
      <c r="I1792" s="17" t="n">
        <v>2671.5</v>
      </c>
      <c r="J1792" s="15" t="s">
        <v>98</v>
      </c>
      <c r="K1792" s="15" t="s">
        <v>123</v>
      </c>
    </row>
    <row r="1793" customFormat="false" ht="14.25" hidden="false" customHeight="false" outlineLevel="0" collapsed="false">
      <c r="A1793" s="15" t="s">
        <v>2300</v>
      </c>
      <c r="B1793" s="16" t="n">
        <v>45404</v>
      </c>
      <c r="C1793" s="15" t="s">
        <v>1886</v>
      </c>
      <c r="D1793" s="15" t="s">
        <v>303</v>
      </c>
      <c r="E1793" s="15" t="s">
        <v>314</v>
      </c>
      <c r="F1793" s="17" t="n">
        <v>5</v>
      </c>
      <c r="G1793" s="17" t="n">
        <v>620</v>
      </c>
      <c r="H1793" s="17" t="n">
        <v>19.4</v>
      </c>
      <c r="I1793" s="17" t="n">
        <v>2498.6</v>
      </c>
      <c r="J1793" s="15" t="s">
        <v>104</v>
      </c>
      <c r="K1793" s="15" t="s">
        <v>105</v>
      </c>
    </row>
    <row r="1794" customFormat="false" ht="14.25" hidden="false" customHeight="false" outlineLevel="0" collapsed="false">
      <c r="A1794" s="15" t="s">
        <v>2301</v>
      </c>
      <c r="B1794" s="16" t="n">
        <v>45600</v>
      </c>
      <c r="C1794" s="15" t="s">
        <v>401</v>
      </c>
      <c r="D1794" s="15" t="s">
        <v>290</v>
      </c>
      <c r="E1794" s="15" t="s">
        <v>103</v>
      </c>
      <c r="F1794" s="17" t="n">
        <v>6</v>
      </c>
      <c r="G1794" s="17" t="n">
        <v>2660</v>
      </c>
      <c r="H1794" s="17" t="n">
        <v>14.9</v>
      </c>
      <c r="I1794" s="17" t="n">
        <v>13581.96</v>
      </c>
      <c r="J1794" s="15" t="s">
        <v>98</v>
      </c>
      <c r="K1794" s="15" t="s">
        <v>99</v>
      </c>
    </row>
    <row r="1795" customFormat="false" ht="14.25" hidden="false" customHeight="false" outlineLevel="0" collapsed="false">
      <c r="A1795" s="15" t="s">
        <v>2302</v>
      </c>
      <c r="B1795" s="16" t="n">
        <v>45526</v>
      </c>
      <c r="C1795" s="15" t="s">
        <v>881</v>
      </c>
      <c r="D1795" s="15" t="s">
        <v>96</v>
      </c>
      <c r="E1795" s="15" t="s">
        <v>226</v>
      </c>
      <c r="F1795" s="17" t="n">
        <v>5</v>
      </c>
      <c r="G1795" s="17" t="n">
        <v>3620</v>
      </c>
      <c r="H1795" s="17" t="n">
        <v>21</v>
      </c>
      <c r="I1795" s="17" t="n">
        <v>14299</v>
      </c>
      <c r="J1795" s="15" t="s">
        <v>151</v>
      </c>
      <c r="K1795" s="15" t="s">
        <v>128</v>
      </c>
    </row>
    <row r="1796" customFormat="false" ht="14.25" hidden="false" customHeight="false" outlineLevel="0" collapsed="false">
      <c r="A1796" s="15" t="s">
        <v>2303</v>
      </c>
      <c r="B1796" s="16" t="n">
        <v>45580</v>
      </c>
      <c r="C1796" s="15" t="s">
        <v>1675</v>
      </c>
      <c r="D1796" s="15" t="s">
        <v>248</v>
      </c>
      <c r="E1796" s="15" t="s">
        <v>169</v>
      </c>
      <c r="F1796" s="17" t="n">
        <v>1</v>
      </c>
      <c r="G1796" s="17" t="n">
        <v>3640</v>
      </c>
      <c r="H1796" s="17" t="n">
        <v>15.8</v>
      </c>
      <c r="I1796" s="17" t="n">
        <v>3064.88</v>
      </c>
      <c r="J1796" s="15" t="s">
        <v>98</v>
      </c>
      <c r="K1796" s="15" t="s">
        <v>128</v>
      </c>
    </row>
    <row r="1797" customFormat="false" ht="14.25" hidden="false" customHeight="false" outlineLevel="0" collapsed="false">
      <c r="A1797" s="15" t="s">
        <v>2304</v>
      </c>
      <c r="B1797" s="16" t="n">
        <v>45444</v>
      </c>
      <c r="C1797" s="15" t="s">
        <v>773</v>
      </c>
      <c r="D1797" s="15" t="s">
        <v>278</v>
      </c>
      <c r="E1797" s="15" t="s">
        <v>97</v>
      </c>
      <c r="F1797" s="17" t="n">
        <v>1</v>
      </c>
      <c r="G1797" s="17" t="n">
        <v>1220</v>
      </c>
      <c r="H1797" s="17" t="n">
        <v>0.6</v>
      </c>
      <c r="I1797" s="17" t="n">
        <v>1212.68</v>
      </c>
      <c r="J1797" s="15" t="s">
        <v>155</v>
      </c>
      <c r="K1797" s="15" t="s">
        <v>144</v>
      </c>
    </row>
    <row r="1798" customFormat="false" ht="14.25" hidden="false" customHeight="false" outlineLevel="0" collapsed="false">
      <c r="A1798" s="15" t="s">
        <v>2305</v>
      </c>
      <c r="B1798" s="16" t="n">
        <v>45350</v>
      </c>
      <c r="C1798" s="15" t="s">
        <v>164</v>
      </c>
      <c r="D1798" s="15" t="s">
        <v>178</v>
      </c>
      <c r="E1798" s="15" t="s">
        <v>308</v>
      </c>
      <c r="F1798" s="17" t="n">
        <v>10</v>
      </c>
      <c r="G1798" s="17" t="n">
        <v>2480</v>
      </c>
      <c r="H1798" s="17" t="n">
        <v>0.6</v>
      </c>
      <c r="I1798" s="17" t="n">
        <v>24651.2</v>
      </c>
      <c r="J1798" s="15" t="s">
        <v>98</v>
      </c>
      <c r="K1798" s="15" t="s">
        <v>128</v>
      </c>
    </row>
    <row r="1799" customFormat="false" ht="14.25" hidden="false" customHeight="false" outlineLevel="0" collapsed="false">
      <c r="A1799" s="15" t="s">
        <v>2306</v>
      </c>
      <c r="B1799" s="16" t="n">
        <v>45634</v>
      </c>
      <c r="C1799" s="15" t="s">
        <v>613</v>
      </c>
      <c r="D1799" s="15" t="s">
        <v>187</v>
      </c>
      <c r="E1799" s="15" t="s">
        <v>354</v>
      </c>
      <c r="F1799" s="17" t="n">
        <v>9</v>
      </c>
      <c r="G1799" s="17" t="n">
        <v>1650</v>
      </c>
      <c r="H1799" s="17" t="n">
        <v>26.8</v>
      </c>
      <c r="I1799" s="17" t="n">
        <v>10870.2</v>
      </c>
      <c r="J1799" s="15" t="s">
        <v>98</v>
      </c>
      <c r="K1799" s="15" t="s">
        <v>105</v>
      </c>
    </row>
    <row r="1800" customFormat="false" ht="14.25" hidden="false" customHeight="false" outlineLevel="0" collapsed="false">
      <c r="A1800" s="15" t="s">
        <v>2307</v>
      </c>
      <c r="B1800" s="16" t="n">
        <v>45560</v>
      </c>
      <c r="C1800" s="15" t="s">
        <v>728</v>
      </c>
      <c r="D1800" s="15" t="s">
        <v>287</v>
      </c>
      <c r="E1800" s="15" t="s">
        <v>118</v>
      </c>
      <c r="F1800" s="17" t="n">
        <v>10</v>
      </c>
      <c r="G1800" s="17" t="n">
        <v>3020</v>
      </c>
      <c r="H1800" s="17" t="n">
        <v>2.6</v>
      </c>
      <c r="I1800" s="17" t="n">
        <v>29414.8</v>
      </c>
      <c r="J1800" s="15" t="s">
        <v>98</v>
      </c>
      <c r="K1800" s="15" t="s">
        <v>105</v>
      </c>
    </row>
    <row r="1801" customFormat="false" ht="14.25" hidden="false" customHeight="false" outlineLevel="0" collapsed="false">
      <c r="A1801" s="15" t="s">
        <v>2308</v>
      </c>
      <c r="B1801" s="16" t="n">
        <v>45544</v>
      </c>
      <c r="C1801" s="15" t="s">
        <v>881</v>
      </c>
      <c r="D1801" s="15" t="s">
        <v>463</v>
      </c>
      <c r="E1801" s="15" t="s">
        <v>109</v>
      </c>
      <c r="F1801" s="17" t="n">
        <v>5</v>
      </c>
      <c r="G1801" s="17" t="n">
        <v>3450</v>
      </c>
      <c r="H1801" s="17" t="n">
        <v>25.3</v>
      </c>
      <c r="I1801" s="17" t="n">
        <v>12885.75</v>
      </c>
      <c r="J1801" s="15" t="s">
        <v>98</v>
      </c>
      <c r="K1801" s="15" t="s">
        <v>128</v>
      </c>
    </row>
    <row r="1802" customFormat="false" ht="14.25" hidden="false" customHeight="false" outlineLevel="0" collapsed="false">
      <c r="A1802" s="15" t="s">
        <v>2309</v>
      </c>
      <c r="B1802" s="16" t="n">
        <v>45457</v>
      </c>
      <c r="C1802" s="15" t="s">
        <v>219</v>
      </c>
      <c r="D1802" s="15" t="s">
        <v>278</v>
      </c>
      <c r="E1802" s="15" t="s">
        <v>132</v>
      </c>
      <c r="F1802" s="17" t="n">
        <v>7</v>
      </c>
      <c r="G1802" s="17" t="n">
        <v>1220</v>
      </c>
      <c r="H1802" s="17" t="n">
        <v>13.1</v>
      </c>
      <c r="I1802" s="17" t="n">
        <v>7421.26</v>
      </c>
      <c r="J1802" s="15" t="s">
        <v>98</v>
      </c>
      <c r="K1802" s="15" t="s">
        <v>144</v>
      </c>
    </row>
    <row r="1803" customFormat="false" ht="14.25" hidden="false" customHeight="false" outlineLevel="0" collapsed="false">
      <c r="A1803" s="15" t="s">
        <v>2310</v>
      </c>
      <c r="B1803" s="16" t="n">
        <v>45578</v>
      </c>
      <c r="C1803" s="15" t="s">
        <v>217</v>
      </c>
      <c r="D1803" s="15" t="s">
        <v>245</v>
      </c>
      <c r="E1803" s="15" t="s">
        <v>103</v>
      </c>
      <c r="F1803" s="17" t="n">
        <v>10</v>
      </c>
      <c r="G1803" s="17" t="n">
        <v>3780</v>
      </c>
      <c r="H1803" s="17" t="n">
        <v>23.7</v>
      </c>
      <c r="I1803" s="17" t="n">
        <v>28841.4</v>
      </c>
      <c r="J1803" s="15" t="s">
        <v>98</v>
      </c>
      <c r="K1803" s="15" t="s">
        <v>144</v>
      </c>
    </row>
    <row r="1804" customFormat="false" ht="14.25" hidden="false" customHeight="false" outlineLevel="0" collapsed="false">
      <c r="A1804" s="15" t="s">
        <v>2311</v>
      </c>
      <c r="B1804" s="16" t="n">
        <v>45405</v>
      </c>
      <c r="C1804" s="15" t="s">
        <v>431</v>
      </c>
      <c r="D1804" s="15" t="s">
        <v>290</v>
      </c>
      <c r="E1804" s="15" t="s">
        <v>308</v>
      </c>
      <c r="F1804" s="17" t="n">
        <v>8</v>
      </c>
      <c r="G1804" s="17" t="n">
        <v>2660</v>
      </c>
      <c r="H1804" s="17" t="n">
        <v>16.1</v>
      </c>
      <c r="I1804" s="17" t="n">
        <v>17853.92</v>
      </c>
      <c r="J1804" s="15" t="s">
        <v>98</v>
      </c>
      <c r="K1804" s="15" t="s">
        <v>110</v>
      </c>
    </row>
    <row r="1805" customFormat="false" ht="14.25" hidden="false" customHeight="false" outlineLevel="0" collapsed="false">
      <c r="A1805" s="15" t="s">
        <v>2312</v>
      </c>
      <c r="B1805" s="16" t="n">
        <v>45338</v>
      </c>
      <c r="C1805" s="15" t="s">
        <v>323</v>
      </c>
      <c r="D1805" s="15" t="s">
        <v>513</v>
      </c>
      <c r="E1805" s="15" t="s">
        <v>118</v>
      </c>
      <c r="F1805" s="17" t="n">
        <v>6</v>
      </c>
      <c r="G1805" s="17" t="n">
        <v>1090</v>
      </c>
      <c r="H1805" s="17" t="n">
        <v>20</v>
      </c>
      <c r="I1805" s="17" t="n">
        <v>5232</v>
      </c>
      <c r="J1805" s="15" t="s">
        <v>104</v>
      </c>
      <c r="K1805" s="15" t="s">
        <v>144</v>
      </c>
    </row>
    <row r="1806" customFormat="false" ht="14.25" hidden="false" customHeight="false" outlineLevel="0" collapsed="false">
      <c r="A1806" s="15" t="s">
        <v>2313</v>
      </c>
      <c r="B1806" s="16" t="n">
        <v>45324</v>
      </c>
      <c r="C1806" s="15" t="s">
        <v>2314</v>
      </c>
      <c r="D1806" s="15" t="s">
        <v>214</v>
      </c>
      <c r="E1806" s="15" t="s">
        <v>357</v>
      </c>
      <c r="F1806" s="17" t="n">
        <v>2</v>
      </c>
      <c r="G1806" s="17" t="n">
        <v>660</v>
      </c>
      <c r="H1806" s="17" t="n">
        <v>18.7</v>
      </c>
      <c r="I1806" s="17" t="n">
        <v>1073.16</v>
      </c>
      <c r="J1806" s="15" t="s">
        <v>98</v>
      </c>
      <c r="K1806" s="15" t="s">
        <v>123</v>
      </c>
    </row>
    <row r="1807" customFormat="false" ht="14.25" hidden="false" customHeight="false" outlineLevel="0" collapsed="false">
      <c r="A1807" s="15" t="s">
        <v>2315</v>
      </c>
      <c r="B1807" s="16" t="n">
        <v>45332</v>
      </c>
      <c r="C1807" s="15" t="s">
        <v>1083</v>
      </c>
      <c r="D1807" s="15" t="s">
        <v>513</v>
      </c>
      <c r="E1807" s="15" t="s">
        <v>199</v>
      </c>
      <c r="F1807" s="17" t="n">
        <v>7</v>
      </c>
      <c r="G1807" s="17" t="n">
        <v>1090</v>
      </c>
      <c r="H1807" s="17" t="n">
        <v>19.4</v>
      </c>
      <c r="I1807" s="17" t="n">
        <v>6149.78</v>
      </c>
      <c r="J1807" s="15" t="s">
        <v>104</v>
      </c>
      <c r="K1807" s="15" t="s">
        <v>123</v>
      </c>
    </row>
    <row r="1808" customFormat="false" ht="14.25" hidden="false" customHeight="false" outlineLevel="0" collapsed="false">
      <c r="A1808" s="15" t="s">
        <v>2316</v>
      </c>
      <c r="B1808" s="16" t="n">
        <v>45429</v>
      </c>
      <c r="C1808" s="15" t="s">
        <v>321</v>
      </c>
      <c r="D1808" s="15" t="s">
        <v>349</v>
      </c>
      <c r="E1808" s="15" t="s">
        <v>199</v>
      </c>
      <c r="F1808" s="17" t="n">
        <v>3</v>
      </c>
      <c r="G1808" s="17" t="n">
        <v>2210</v>
      </c>
      <c r="H1808" s="17" t="n">
        <v>11</v>
      </c>
      <c r="I1808" s="17" t="n">
        <v>5900.7</v>
      </c>
      <c r="J1808" s="15" t="s">
        <v>98</v>
      </c>
      <c r="K1808" s="15" t="s">
        <v>128</v>
      </c>
    </row>
    <row r="1809" customFormat="false" ht="14.25" hidden="false" customHeight="false" outlineLevel="0" collapsed="false">
      <c r="A1809" s="15" t="s">
        <v>2317</v>
      </c>
      <c r="B1809" s="16" t="n">
        <v>45420</v>
      </c>
      <c r="C1809" s="15" t="s">
        <v>189</v>
      </c>
      <c r="D1809" s="15" t="s">
        <v>419</v>
      </c>
      <c r="E1809" s="15" t="s">
        <v>240</v>
      </c>
      <c r="F1809" s="17" t="n">
        <v>2</v>
      </c>
      <c r="G1809" s="17" t="n">
        <v>3970</v>
      </c>
      <c r="H1809" s="17" t="n">
        <v>24.9</v>
      </c>
      <c r="I1809" s="17" t="n">
        <v>5962.94</v>
      </c>
      <c r="J1809" s="15" t="s">
        <v>98</v>
      </c>
      <c r="K1809" s="15" t="s">
        <v>105</v>
      </c>
    </row>
    <row r="1810" customFormat="false" ht="14.25" hidden="false" customHeight="false" outlineLevel="0" collapsed="false">
      <c r="A1810" s="15" t="s">
        <v>2318</v>
      </c>
      <c r="B1810" s="16" t="n">
        <v>45403</v>
      </c>
      <c r="C1810" s="15" t="s">
        <v>518</v>
      </c>
      <c r="D1810" s="15" t="s">
        <v>281</v>
      </c>
      <c r="E1810" s="15" t="s">
        <v>169</v>
      </c>
      <c r="F1810" s="17" t="n">
        <v>7</v>
      </c>
      <c r="G1810" s="17" t="n">
        <v>4610</v>
      </c>
      <c r="H1810" s="17" t="n">
        <v>6.3</v>
      </c>
      <c r="I1810" s="17" t="n">
        <v>30236.99</v>
      </c>
      <c r="J1810" s="15" t="s">
        <v>98</v>
      </c>
      <c r="K1810" s="15" t="s">
        <v>99</v>
      </c>
    </row>
    <row r="1811" customFormat="false" ht="14.25" hidden="false" customHeight="false" outlineLevel="0" collapsed="false">
      <c r="A1811" s="15" t="s">
        <v>2319</v>
      </c>
      <c r="B1811" s="16" t="n">
        <v>45403</v>
      </c>
      <c r="C1811" s="15" t="s">
        <v>533</v>
      </c>
      <c r="D1811" s="15" t="s">
        <v>391</v>
      </c>
      <c r="E1811" s="15" t="s">
        <v>212</v>
      </c>
      <c r="F1811" s="17" t="n">
        <v>10</v>
      </c>
      <c r="G1811" s="17" t="n">
        <v>960</v>
      </c>
      <c r="H1811" s="17" t="n">
        <v>14.6</v>
      </c>
      <c r="I1811" s="17" t="n">
        <v>8198.4</v>
      </c>
      <c r="J1811" s="15" t="s">
        <v>98</v>
      </c>
      <c r="K1811" s="15" t="s">
        <v>110</v>
      </c>
    </row>
    <row r="1812" customFormat="false" ht="14.25" hidden="false" customHeight="false" outlineLevel="0" collapsed="false">
      <c r="A1812" s="15" t="s">
        <v>2320</v>
      </c>
      <c r="B1812" s="16" t="n">
        <v>45600</v>
      </c>
      <c r="C1812" s="15" t="s">
        <v>242</v>
      </c>
      <c r="D1812" s="15" t="s">
        <v>287</v>
      </c>
      <c r="E1812" s="15" t="s">
        <v>357</v>
      </c>
      <c r="F1812" s="17" t="n">
        <v>8</v>
      </c>
      <c r="G1812" s="17" t="n">
        <v>3020</v>
      </c>
      <c r="H1812" s="17" t="n">
        <v>14.5</v>
      </c>
      <c r="I1812" s="17" t="n">
        <v>20656.8</v>
      </c>
      <c r="J1812" s="15" t="s">
        <v>98</v>
      </c>
      <c r="K1812" s="15" t="s">
        <v>128</v>
      </c>
    </row>
    <row r="1813" customFormat="false" ht="14.25" hidden="false" customHeight="false" outlineLevel="0" collapsed="false">
      <c r="A1813" s="15" t="s">
        <v>2321</v>
      </c>
      <c r="B1813" s="16" t="n">
        <v>45629</v>
      </c>
      <c r="C1813" s="15" t="s">
        <v>153</v>
      </c>
      <c r="D1813" s="15" t="s">
        <v>178</v>
      </c>
      <c r="E1813" s="15" t="s">
        <v>212</v>
      </c>
      <c r="F1813" s="17" t="n">
        <v>7</v>
      </c>
      <c r="G1813" s="17" t="n">
        <v>2480</v>
      </c>
      <c r="H1813" s="17" t="n">
        <v>17.3</v>
      </c>
      <c r="I1813" s="17" t="n">
        <v>14356.72</v>
      </c>
      <c r="J1813" s="15" t="s">
        <v>98</v>
      </c>
      <c r="K1813" s="15" t="s">
        <v>99</v>
      </c>
    </row>
    <row r="1814" customFormat="false" ht="14.25" hidden="false" customHeight="false" outlineLevel="0" collapsed="false">
      <c r="A1814" s="15" t="s">
        <v>2322</v>
      </c>
      <c r="B1814" s="16" t="n">
        <v>45330</v>
      </c>
      <c r="C1814" s="15" t="s">
        <v>603</v>
      </c>
      <c r="D1814" s="15" t="s">
        <v>259</v>
      </c>
      <c r="E1814" s="15" t="s">
        <v>263</v>
      </c>
      <c r="F1814" s="17" t="n">
        <v>10</v>
      </c>
      <c r="G1814" s="17" t="n">
        <v>3870</v>
      </c>
      <c r="H1814" s="17" t="n">
        <v>22.4</v>
      </c>
      <c r="I1814" s="17" t="n">
        <v>30031.2</v>
      </c>
      <c r="J1814" s="15" t="s">
        <v>104</v>
      </c>
      <c r="K1814" s="15" t="s">
        <v>144</v>
      </c>
    </row>
    <row r="1815" customFormat="false" ht="14.25" hidden="false" customHeight="false" outlineLevel="0" collapsed="false">
      <c r="A1815" s="15" t="s">
        <v>2323</v>
      </c>
      <c r="B1815" s="16" t="n">
        <v>45551</v>
      </c>
      <c r="C1815" s="15" t="s">
        <v>889</v>
      </c>
      <c r="D1815" s="15" t="s">
        <v>214</v>
      </c>
      <c r="E1815" s="15" t="s">
        <v>296</v>
      </c>
      <c r="F1815" s="17" t="n">
        <v>6</v>
      </c>
      <c r="G1815" s="17" t="n">
        <v>660</v>
      </c>
      <c r="H1815" s="17" t="n">
        <v>27.3</v>
      </c>
      <c r="I1815" s="17" t="n">
        <v>2878.92</v>
      </c>
      <c r="J1815" s="15" t="s">
        <v>98</v>
      </c>
      <c r="K1815" s="15" t="s">
        <v>123</v>
      </c>
    </row>
    <row r="1816" customFormat="false" ht="14.25" hidden="false" customHeight="false" outlineLevel="0" collapsed="false">
      <c r="A1816" s="15" t="s">
        <v>2324</v>
      </c>
      <c r="B1816" s="16" t="n">
        <v>45321</v>
      </c>
      <c r="C1816" s="15" t="s">
        <v>2325</v>
      </c>
      <c r="D1816" s="15" t="s">
        <v>259</v>
      </c>
      <c r="E1816" s="15" t="s">
        <v>212</v>
      </c>
      <c r="F1816" s="17" t="n">
        <v>3</v>
      </c>
      <c r="G1816" s="17" t="n">
        <v>3870</v>
      </c>
      <c r="H1816" s="17" t="n">
        <v>7.6</v>
      </c>
      <c r="I1816" s="17" t="n">
        <v>10727.64</v>
      </c>
      <c r="J1816" s="15" t="s">
        <v>151</v>
      </c>
      <c r="K1816" s="15" t="s">
        <v>105</v>
      </c>
    </row>
    <row r="1817" customFormat="false" ht="14.25" hidden="false" customHeight="false" outlineLevel="0" collapsed="false">
      <c r="A1817" s="15" t="s">
        <v>2326</v>
      </c>
      <c r="B1817" s="16" t="n">
        <v>45542</v>
      </c>
      <c r="C1817" s="15" t="s">
        <v>95</v>
      </c>
      <c r="D1817" s="15" t="s">
        <v>178</v>
      </c>
      <c r="E1817" s="15" t="s">
        <v>114</v>
      </c>
      <c r="F1817" s="17" t="n">
        <v>10</v>
      </c>
      <c r="G1817" s="17" t="n">
        <v>2480</v>
      </c>
      <c r="H1817" s="17" t="n">
        <v>21.5</v>
      </c>
      <c r="I1817" s="17" t="n">
        <v>19468</v>
      </c>
      <c r="J1817" s="15" t="s">
        <v>104</v>
      </c>
      <c r="K1817" s="15" t="s">
        <v>99</v>
      </c>
    </row>
    <row r="1818" customFormat="false" ht="14.25" hidden="false" customHeight="false" outlineLevel="0" collapsed="false">
      <c r="A1818" s="15" t="s">
        <v>2327</v>
      </c>
      <c r="B1818" s="16" t="n">
        <v>45643</v>
      </c>
      <c r="C1818" s="15" t="s">
        <v>613</v>
      </c>
      <c r="D1818" s="15" t="s">
        <v>146</v>
      </c>
      <c r="E1818" s="15" t="s">
        <v>226</v>
      </c>
      <c r="F1818" s="17" t="n">
        <v>8</v>
      </c>
      <c r="G1818" s="17" t="n">
        <v>2640</v>
      </c>
      <c r="H1818" s="17" t="n">
        <v>22.3</v>
      </c>
      <c r="I1818" s="17" t="n">
        <v>16410.24</v>
      </c>
      <c r="J1818" s="15" t="s">
        <v>98</v>
      </c>
      <c r="K1818" s="15" t="s">
        <v>105</v>
      </c>
    </row>
    <row r="1819" customFormat="false" ht="14.25" hidden="false" customHeight="false" outlineLevel="0" collapsed="false">
      <c r="A1819" s="15" t="s">
        <v>2328</v>
      </c>
      <c r="B1819" s="16" t="n">
        <v>45559</v>
      </c>
      <c r="C1819" s="15" t="s">
        <v>1204</v>
      </c>
      <c r="D1819" s="15" t="s">
        <v>138</v>
      </c>
      <c r="E1819" s="15" t="s">
        <v>226</v>
      </c>
      <c r="F1819" s="17" t="n">
        <v>8</v>
      </c>
      <c r="G1819" s="17" t="n">
        <v>970</v>
      </c>
      <c r="H1819" s="17" t="n">
        <v>13.1</v>
      </c>
      <c r="I1819" s="17" t="n">
        <v>6743.44</v>
      </c>
      <c r="J1819" s="15" t="s">
        <v>98</v>
      </c>
      <c r="K1819" s="15" t="s">
        <v>144</v>
      </c>
    </row>
    <row r="1820" customFormat="false" ht="14.25" hidden="false" customHeight="false" outlineLevel="0" collapsed="false">
      <c r="A1820" s="15" t="s">
        <v>2329</v>
      </c>
      <c r="B1820" s="16" t="n">
        <v>45416</v>
      </c>
      <c r="C1820" s="15" t="s">
        <v>608</v>
      </c>
      <c r="D1820" s="15" t="s">
        <v>126</v>
      </c>
      <c r="E1820" s="15" t="s">
        <v>226</v>
      </c>
      <c r="F1820" s="17" t="n">
        <v>6</v>
      </c>
      <c r="G1820" s="17" t="n">
        <v>960</v>
      </c>
      <c r="H1820" s="17" t="n">
        <v>3.2</v>
      </c>
      <c r="I1820" s="17" t="n">
        <v>5575.68</v>
      </c>
      <c r="J1820" s="15" t="s">
        <v>98</v>
      </c>
      <c r="K1820" s="15" t="s">
        <v>123</v>
      </c>
    </row>
    <row r="1821" customFormat="false" ht="14.25" hidden="false" customHeight="false" outlineLevel="0" collapsed="false">
      <c r="A1821" s="15" t="s">
        <v>2330</v>
      </c>
      <c r="B1821" s="16" t="n">
        <v>45469</v>
      </c>
      <c r="C1821" s="15" t="s">
        <v>1540</v>
      </c>
      <c r="D1821" s="15" t="s">
        <v>306</v>
      </c>
      <c r="E1821" s="15" t="s">
        <v>118</v>
      </c>
      <c r="F1821" s="17" t="n">
        <v>9</v>
      </c>
      <c r="G1821" s="17" t="n">
        <v>2030</v>
      </c>
      <c r="H1821" s="17" t="n">
        <v>12.6</v>
      </c>
      <c r="I1821" s="17" t="n">
        <v>15967.98</v>
      </c>
      <c r="J1821" s="15" t="s">
        <v>151</v>
      </c>
      <c r="K1821" s="15" t="s">
        <v>105</v>
      </c>
    </row>
    <row r="1822" customFormat="false" ht="14.25" hidden="false" customHeight="false" outlineLevel="0" collapsed="false">
      <c r="A1822" s="15" t="s">
        <v>2036</v>
      </c>
      <c r="B1822" s="16" t="n">
        <v>45387</v>
      </c>
      <c r="C1822" s="15" t="s">
        <v>244</v>
      </c>
      <c r="D1822" s="15" t="s">
        <v>397</v>
      </c>
      <c r="E1822" s="15" t="s">
        <v>127</v>
      </c>
      <c r="F1822" s="17" t="n">
        <v>10</v>
      </c>
      <c r="G1822" s="17" t="n">
        <v>2290</v>
      </c>
      <c r="H1822" s="17" t="n">
        <v>22.2</v>
      </c>
      <c r="I1822" s="17" t="n">
        <v>17816.2</v>
      </c>
      <c r="J1822" s="15" t="s">
        <v>98</v>
      </c>
      <c r="K1822" s="15" t="s">
        <v>99</v>
      </c>
    </row>
    <row r="1823" customFormat="false" ht="14.25" hidden="false" customHeight="false" outlineLevel="0" collapsed="false">
      <c r="A1823" s="15" t="s">
        <v>2331</v>
      </c>
      <c r="B1823" s="16" t="n">
        <v>45373</v>
      </c>
      <c r="C1823" s="15" t="s">
        <v>1510</v>
      </c>
      <c r="D1823" s="15" t="s">
        <v>102</v>
      </c>
      <c r="E1823" s="15" t="s">
        <v>354</v>
      </c>
      <c r="F1823" s="17" t="n">
        <v>7</v>
      </c>
      <c r="G1823" s="17" t="n">
        <v>820</v>
      </c>
      <c r="H1823" s="17" t="n">
        <v>6.4</v>
      </c>
      <c r="I1823" s="17" t="n">
        <v>5372.64</v>
      </c>
      <c r="J1823" s="15" t="s">
        <v>155</v>
      </c>
      <c r="K1823" s="15" t="s">
        <v>105</v>
      </c>
    </row>
    <row r="1824" customFormat="false" ht="14.25" hidden="false" customHeight="false" outlineLevel="0" collapsed="false">
      <c r="A1824" s="15" t="s">
        <v>2332</v>
      </c>
      <c r="B1824" s="16" t="n">
        <v>45614</v>
      </c>
      <c r="C1824" s="15" t="s">
        <v>344</v>
      </c>
      <c r="D1824" s="15" t="s">
        <v>175</v>
      </c>
      <c r="E1824" s="15" t="s">
        <v>181</v>
      </c>
      <c r="F1824" s="17" t="n">
        <v>5</v>
      </c>
      <c r="G1824" s="17" t="n">
        <v>1080</v>
      </c>
      <c r="H1824" s="17" t="n">
        <v>6</v>
      </c>
      <c r="I1824" s="17" t="n">
        <v>5076</v>
      </c>
      <c r="J1824" s="15" t="s">
        <v>98</v>
      </c>
      <c r="K1824" s="15" t="s">
        <v>144</v>
      </c>
    </row>
    <row r="1825" customFormat="false" ht="14.25" hidden="false" customHeight="false" outlineLevel="0" collapsed="false">
      <c r="A1825" s="15" t="s">
        <v>2333</v>
      </c>
      <c r="B1825" s="16" t="n">
        <v>45310</v>
      </c>
      <c r="C1825" s="15" t="s">
        <v>490</v>
      </c>
      <c r="D1825" s="15" t="s">
        <v>158</v>
      </c>
      <c r="E1825" s="15" t="s">
        <v>139</v>
      </c>
      <c r="F1825" s="17" t="n">
        <v>4</v>
      </c>
      <c r="G1825" s="17" t="n">
        <v>190</v>
      </c>
      <c r="H1825" s="17" t="n">
        <v>6.3</v>
      </c>
      <c r="I1825" s="17" t="n">
        <v>712.12</v>
      </c>
      <c r="J1825" s="15" t="s">
        <v>155</v>
      </c>
      <c r="K1825" s="15" t="s">
        <v>99</v>
      </c>
    </row>
    <row r="1826" customFormat="false" ht="14.25" hidden="false" customHeight="false" outlineLevel="0" collapsed="false">
      <c r="A1826" s="15" t="s">
        <v>2334</v>
      </c>
      <c r="B1826" s="16" t="n">
        <v>45319</v>
      </c>
      <c r="C1826" s="15" t="s">
        <v>283</v>
      </c>
      <c r="D1826" s="15" t="s">
        <v>366</v>
      </c>
      <c r="E1826" s="15" t="s">
        <v>240</v>
      </c>
      <c r="F1826" s="17" t="n">
        <v>6</v>
      </c>
      <c r="G1826" s="17" t="n">
        <v>2510</v>
      </c>
      <c r="H1826" s="17" t="n">
        <v>11.5</v>
      </c>
      <c r="I1826" s="17" t="n">
        <v>13328.1</v>
      </c>
      <c r="J1826" s="15" t="s">
        <v>98</v>
      </c>
      <c r="K1826" s="15" t="s">
        <v>105</v>
      </c>
    </row>
    <row r="1827" customFormat="false" ht="14.25" hidden="false" customHeight="false" outlineLevel="0" collapsed="false">
      <c r="A1827" s="15" t="s">
        <v>2335</v>
      </c>
      <c r="B1827" s="16" t="n">
        <v>45299</v>
      </c>
      <c r="C1827" s="15" t="s">
        <v>116</v>
      </c>
      <c r="D1827" s="15" t="s">
        <v>670</v>
      </c>
      <c r="E1827" s="15" t="s">
        <v>199</v>
      </c>
      <c r="F1827" s="17" t="n">
        <v>2</v>
      </c>
      <c r="G1827" s="17" t="n">
        <v>3560</v>
      </c>
      <c r="H1827" s="17" t="n">
        <v>10.5</v>
      </c>
      <c r="I1827" s="17" t="n">
        <v>6372.4</v>
      </c>
      <c r="J1827" s="15" t="s">
        <v>98</v>
      </c>
      <c r="K1827" s="15" t="s">
        <v>105</v>
      </c>
    </row>
    <row r="1828" customFormat="false" ht="14.25" hidden="false" customHeight="false" outlineLevel="0" collapsed="false">
      <c r="A1828" s="15" t="s">
        <v>2336</v>
      </c>
      <c r="B1828" s="16" t="n">
        <v>45556</v>
      </c>
      <c r="C1828" s="15" t="s">
        <v>852</v>
      </c>
      <c r="D1828" s="15" t="s">
        <v>102</v>
      </c>
      <c r="E1828" s="15" t="s">
        <v>263</v>
      </c>
      <c r="F1828" s="17" t="n">
        <v>3</v>
      </c>
      <c r="G1828" s="17" t="n">
        <v>820</v>
      </c>
      <c r="H1828" s="17" t="n">
        <v>13</v>
      </c>
      <c r="I1828" s="17" t="n">
        <v>2140.2</v>
      </c>
      <c r="J1828" s="15" t="s">
        <v>151</v>
      </c>
      <c r="K1828" s="15" t="s">
        <v>128</v>
      </c>
    </row>
    <row r="1829" customFormat="false" ht="14.25" hidden="false" customHeight="false" outlineLevel="0" collapsed="false">
      <c r="A1829" s="15" t="s">
        <v>2337</v>
      </c>
      <c r="B1829" s="16" t="n">
        <v>45500</v>
      </c>
      <c r="C1829" s="15" t="s">
        <v>1369</v>
      </c>
      <c r="D1829" s="15" t="s">
        <v>248</v>
      </c>
      <c r="E1829" s="15" t="s">
        <v>159</v>
      </c>
      <c r="F1829" s="17" t="n">
        <v>6</v>
      </c>
      <c r="G1829" s="17" t="n">
        <v>3640</v>
      </c>
      <c r="H1829" s="17" t="n">
        <v>14</v>
      </c>
      <c r="I1829" s="17" t="n">
        <v>18782.4</v>
      </c>
      <c r="J1829" s="15" t="s">
        <v>98</v>
      </c>
      <c r="K1829" s="15" t="s">
        <v>123</v>
      </c>
    </row>
    <row r="1830" customFormat="false" ht="14.25" hidden="false" customHeight="false" outlineLevel="0" collapsed="false">
      <c r="A1830" s="15" t="s">
        <v>2338</v>
      </c>
      <c r="B1830" s="16" t="n">
        <v>45370</v>
      </c>
      <c r="C1830" s="15" t="s">
        <v>171</v>
      </c>
      <c r="D1830" s="15" t="s">
        <v>113</v>
      </c>
      <c r="E1830" s="15" t="s">
        <v>132</v>
      </c>
      <c r="F1830" s="17" t="n">
        <v>5</v>
      </c>
      <c r="G1830" s="17" t="n">
        <v>3660</v>
      </c>
      <c r="H1830" s="17" t="n">
        <v>28.7</v>
      </c>
      <c r="I1830" s="17" t="n">
        <v>13047.9</v>
      </c>
      <c r="J1830" s="15" t="s">
        <v>98</v>
      </c>
      <c r="K1830" s="15" t="s">
        <v>123</v>
      </c>
    </row>
    <row r="1831" customFormat="false" ht="14.25" hidden="false" customHeight="false" outlineLevel="0" collapsed="false">
      <c r="A1831" s="15" t="s">
        <v>2339</v>
      </c>
      <c r="B1831" s="16" t="n">
        <v>45521</v>
      </c>
      <c r="C1831" s="15" t="s">
        <v>244</v>
      </c>
      <c r="D1831" s="15" t="s">
        <v>206</v>
      </c>
      <c r="E1831" s="15" t="s">
        <v>181</v>
      </c>
      <c r="F1831" s="17" t="n">
        <v>2</v>
      </c>
      <c r="G1831" s="17" t="n">
        <v>2860</v>
      </c>
      <c r="H1831" s="17" t="n">
        <v>21.1</v>
      </c>
      <c r="I1831" s="17" t="n">
        <v>4513.08</v>
      </c>
      <c r="J1831" s="15" t="s">
        <v>98</v>
      </c>
      <c r="K1831" s="15" t="s">
        <v>99</v>
      </c>
    </row>
    <row r="1832" customFormat="false" ht="14.25" hidden="false" customHeight="false" outlineLevel="0" collapsed="false">
      <c r="A1832" s="15" t="s">
        <v>2340</v>
      </c>
      <c r="B1832" s="16" t="n">
        <v>45481</v>
      </c>
      <c r="C1832" s="15" t="s">
        <v>649</v>
      </c>
      <c r="D1832" s="15" t="s">
        <v>184</v>
      </c>
      <c r="E1832" s="15" t="s">
        <v>132</v>
      </c>
      <c r="F1832" s="17" t="n">
        <v>1</v>
      </c>
      <c r="G1832" s="17" t="n">
        <v>2720</v>
      </c>
      <c r="H1832" s="17" t="n">
        <v>22.1</v>
      </c>
      <c r="I1832" s="17" t="n">
        <v>2118.88</v>
      </c>
      <c r="J1832" s="15" t="s">
        <v>98</v>
      </c>
      <c r="K1832" s="15" t="s">
        <v>110</v>
      </c>
    </row>
    <row r="1833" customFormat="false" ht="14.25" hidden="false" customHeight="false" outlineLevel="0" collapsed="false">
      <c r="A1833" s="15" t="s">
        <v>2341</v>
      </c>
      <c r="B1833" s="16" t="n">
        <v>45633</v>
      </c>
      <c r="C1833" s="15" t="s">
        <v>906</v>
      </c>
      <c r="D1833" s="15" t="s">
        <v>206</v>
      </c>
      <c r="E1833" s="15" t="s">
        <v>150</v>
      </c>
      <c r="F1833" s="17" t="n">
        <v>6</v>
      </c>
      <c r="G1833" s="17" t="n">
        <v>2860</v>
      </c>
      <c r="H1833" s="17" t="n">
        <v>10.5</v>
      </c>
      <c r="I1833" s="17" t="n">
        <v>15358.2</v>
      </c>
      <c r="J1833" s="15" t="s">
        <v>151</v>
      </c>
      <c r="K1833" s="15" t="s">
        <v>128</v>
      </c>
    </row>
    <row r="1834" customFormat="false" ht="14.25" hidden="false" customHeight="false" outlineLevel="0" collapsed="false">
      <c r="A1834" s="15" t="s">
        <v>2342</v>
      </c>
      <c r="B1834" s="16" t="n">
        <v>45305</v>
      </c>
      <c r="C1834" s="15" t="s">
        <v>566</v>
      </c>
      <c r="D1834" s="15" t="s">
        <v>366</v>
      </c>
      <c r="E1834" s="15" t="s">
        <v>203</v>
      </c>
      <c r="F1834" s="17" t="n">
        <v>1</v>
      </c>
      <c r="G1834" s="17" t="n">
        <v>2510</v>
      </c>
      <c r="H1834" s="17" t="n">
        <v>12</v>
      </c>
      <c r="I1834" s="17" t="n">
        <v>2208.8</v>
      </c>
      <c r="J1834" s="15" t="s">
        <v>98</v>
      </c>
      <c r="K1834" s="15" t="s">
        <v>123</v>
      </c>
    </row>
    <row r="1835" customFormat="false" ht="14.25" hidden="false" customHeight="false" outlineLevel="0" collapsed="false">
      <c r="A1835" s="15" t="s">
        <v>2343</v>
      </c>
      <c r="B1835" s="16" t="n">
        <v>45593</v>
      </c>
      <c r="C1835" s="15" t="s">
        <v>593</v>
      </c>
      <c r="D1835" s="15" t="s">
        <v>366</v>
      </c>
      <c r="E1835" s="15" t="s">
        <v>203</v>
      </c>
      <c r="F1835" s="17" t="n">
        <v>4</v>
      </c>
      <c r="G1835" s="17" t="n">
        <v>2510</v>
      </c>
      <c r="H1835" s="17" t="n">
        <v>23.2</v>
      </c>
      <c r="I1835" s="17" t="n">
        <v>7710.72</v>
      </c>
      <c r="J1835" s="15" t="s">
        <v>98</v>
      </c>
      <c r="K1835" s="15" t="s">
        <v>105</v>
      </c>
    </row>
    <row r="1836" customFormat="false" ht="14.25" hidden="false" customHeight="false" outlineLevel="0" collapsed="false">
      <c r="A1836" s="15" t="s">
        <v>2344</v>
      </c>
      <c r="B1836" s="16" t="n">
        <v>45555</v>
      </c>
      <c r="C1836" s="15" t="s">
        <v>1076</v>
      </c>
      <c r="D1836" s="15" t="s">
        <v>391</v>
      </c>
      <c r="E1836" s="15" t="s">
        <v>103</v>
      </c>
      <c r="F1836" s="17" t="n">
        <v>8</v>
      </c>
      <c r="G1836" s="17" t="n">
        <v>960</v>
      </c>
      <c r="H1836" s="17" t="n">
        <v>20.3</v>
      </c>
      <c r="I1836" s="17" t="n">
        <v>6120.96</v>
      </c>
      <c r="J1836" s="15" t="s">
        <v>104</v>
      </c>
      <c r="K1836" s="15" t="s">
        <v>105</v>
      </c>
    </row>
    <row r="1837" customFormat="false" ht="14.25" hidden="false" customHeight="false" outlineLevel="0" collapsed="false">
      <c r="A1837" s="15" t="s">
        <v>2345</v>
      </c>
      <c r="B1837" s="16" t="n">
        <v>45406</v>
      </c>
      <c r="C1837" s="15" t="s">
        <v>2064</v>
      </c>
      <c r="D1837" s="15" t="s">
        <v>135</v>
      </c>
      <c r="E1837" s="15" t="s">
        <v>143</v>
      </c>
      <c r="F1837" s="17" t="n">
        <v>3</v>
      </c>
      <c r="G1837" s="17" t="n">
        <v>5490</v>
      </c>
      <c r="H1837" s="17" t="n">
        <v>25.2</v>
      </c>
      <c r="I1837" s="17" t="n">
        <v>12319.56</v>
      </c>
      <c r="J1837" s="15" t="s">
        <v>98</v>
      </c>
      <c r="K1837" s="15" t="s">
        <v>144</v>
      </c>
    </row>
    <row r="1838" customFormat="false" ht="14.25" hidden="false" customHeight="false" outlineLevel="0" collapsed="false">
      <c r="A1838" s="15" t="s">
        <v>2346</v>
      </c>
      <c r="B1838" s="16" t="n">
        <v>45647</v>
      </c>
      <c r="C1838" s="15" t="s">
        <v>956</v>
      </c>
      <c r="D1838" s="15" t="s">
        <v>366</v>
      </c>
      <c r="E1838" s="15" t="s">
        <v>114</v>
      </c>
      <c r="F1838" s="17" t="n">
        <v>2</v>
      </c>
      <c r="G1838" s="17" t="n">
        <v>2510</v>
      </c>
      <c r="H1838" s="17" t="n">
        <v>28.2</v>
      </c>
      <c r="I1838" s="17" t="n">
        <v>3604.36</v>
      </c>
      <c r="J1838" s="15" t="s">
        <v>98</v>
      </c>
      <c r="K1838" s="15" t="s">
        <v>99</v>
      </c>
    </row>
    <row r="1839" customFormat="false" ht="14.25" hidden="false" customHeight="false" outlineLevel="0" collapsed="false">
      <c r="A1839" s="15" t="s">
        <v>2347</v>
      </c>
      <c r="B1839" s="16" t="n">
        <v>45386</v>
      </c>
      <c r="C1839" s="15" t="s">
        <v>808</v>
      </c>
      <c r="D1839" s="15" t="s">
        <v>102</v>
      </c>
      <c r="E1839" s="15" t="s">
        <v>284</v>
      </c>
      <c r="F1839" s="17" t="n">
        <v>1</v>
      </c>
      <c r="G1839" s="17" t="n">
        <v>820</v>
      </c>
      <c r="H1839" s="17" t="n">
        <v>4.7</v>
      </c>
      <c r="I1839" s="17" t="n">
        <v>781.46</v>
      </c>
      <c r="J1839" s="15" t="s">
        <v>98</v>
      </c>
      <c r="K1839" s="15" t="s">
        <v>110</v>
      </c>
    </row>
    <row r="1840" customFormat="false" ht="14.25" hidden="false" customHeight="false" outlineLevel="0" collapsed="false">
      <c r="A1840" s="15" t="s">
        <v>2348</v>
      </c>
      <c r="B1840" s="16" t="n">
        <v>45453</v>
      </c>
      <c r="C1840" s="15" t="s">
        <v>361</v>
      </c>
      <c r="D1840" s="15" t="s">
        <v>293</v>
      </c>
      <c r="E1840" s="15" t="s">
        <v>314</v>
      </c>
      <c r="F1840" s="17" t="n">
        <v>6</v>
      </c>
      <c r="G1840" s="17" t="n">
        <v>300</v>
      </c>
      <c r="H1840" s="17" t="n">
        <v>13.3</v>
      </c>
      <c r="I1840" s="17" t="n">
        <v>1560.6</v>
      </c>
      <c r="J1840" s="15" t="s">
        <v>98</v>
      </c>
      <c r="K1840" s="15" t="s">
        <v>123</v>
      </c>
    </row>
    <row r="1841" customFormat="false" ht="14.25" hidden="false" customHeight="false" outlineLevel="0" collapsed="false">
      <c r="A1841" s="15" t="s">
        <v>2349</v>
      </c>
      <c r="B1841" s="16" t="n">
        <v>45492</v>
      </c>
      <c r="C1841" s="15" t="s">
        <v>116</v>
      </c>
      <c r="D1841" s="15" t="s">
        <v>190</v>
      </c>
      <c r="E1841" s="15" t="s">
        <v>357</v>
      </c>
      <c r="F1841" s="17" t="n">
        <v>4</v>
      </c>
      <c r="G1841" s="17" t="n">
        <v>3350</v>
      </c>
      <c r="H1841" s="17" t="n">
        <v>5.8</v>
      </c>
      <c r="I1841" s="17" t="n">
        <v>12622.8</v>
      </c>
      <c r="J1841" s="15" t="s">
        <v>104</v>
      </c>
      <c r="K1841" s="15" t="s">
        <v>105</v>
      </c>
    </row>
    <row r="1842" customFormat="false" ht="14.25" hidden="false" customHeight="false" outlineLevel="0" collapsed="false">
      <c r="A1842" s="15" t="s">
        <v>2350</v>
      </c>
      <c r="B1842" s="16" t="n">
        <v>45605</v>
      </c>
      <c r="C1842" s="15" t="s">
        <v>1827</v>
      </c>
      <c r="D1842" s="15" t="s">
        <v>154</v>
      </c>
      <c r="E1842" s="15" t="s">
        <v>122</v>
      </c>
      <c r="F1842" s="17" t="n">
        <v>3</v>
      </c>
      <c r="G1842" s="17" t="n">
        <v>3250</v>
      </c>
      <c r="H1842" s="17" t="n">
        <v>19.6</v>
      </c>
      <c r="I1842" s="17" t="n">
        <v>7839</v>
      </c>
      <c r="J1842" s="15" t="s">
        <v>104</v>
      </c>
      <c r="K1842" s="15" t="s">
        <v>110</v>
      </c>
    </row>
    <row r="1843" customFormat="false" ht="14.25" hidden="false" customHeight="false" outlineLevel="0" collapsed="false">
      <c r="A1843" s="15" t="s">
        <v>2351</v>
      </c>
      <c r="B1843" s="16" t="n">
        <v>45344</v>
      </c>
      <c r="C1843" s="15" t="s">
        <v>164</v>
      </c>
      <c r="D1843" s="15" t="s">
        <v>187</v>
      </c>
      <c r="E1843" s="15" t="s">
        <v>354</v>
      </c>
      <c r="F1843" s="17" t="n">
        <v>10</v>
      </c>
      <c r="G1843" s="17" t="n">
        <v>1650</v>
      </c>
      <c r="H1843" s="17" t="n">
        <v>22.5</v>
      </c>
      <c r="I1843" s="17" t="n">
        <v>12787.5</v>
      </c>
      <c r="J1843" s="15" t="s">
        <v>151</v>
      </c>
      <c r="K1843" s="15" t="s">
        <v>128</v>
      </c>
    </row>
    <row r="1844" customFormat="false" ht="14.25" hidden="false" customHeight="false" outlineLevel="0" collapsed="false">
      <c r="A1844" s="15" t="s">
        <v>2352</v>
      </c>
      <c r="B1844" s="16" t="n">
        <v>45506</v>
      </c>
      <c r="C1844" s="15" t="s">
        <v>763</v>
      </c>
      <c r="D1844" s="15" t="s">
        <v>278</v>
      </c>
      <c r="E1844" s="15" t="s">
        <v>212</v>
      </c>
      <c r="F1844" s="17" t="n">
        <v>2</v>
      </c>
      <c r="G1844" s="17" t="n">
        <v>1220</v>
      </c>
      <c r="H1844" s="17" t="n">
        <v>10.5</v>
      </c>
      <c r="I1844" s="17" t="n">
        <v>2183.8</v>
      </c>
      <c r="J1844" s="15" t="s">
        <v>98</v>
      </c>
      <c r="K1844" s="15" t="s">
        <v>128</v>
      </c>
    </row>
    <row r="1845" customFormat="false" ht="14.25" hidden="false" customHeight="false" outlineLevel="0" collapsed="false">
      <c r="A1845" s="15" t="s">
        <v>2353</v>
      </c>
      <c r="B1845" s="16" t="n">
        <v>45521</v>
      </c>
      <c r="C1845" s="15" t="s">
        <v>323</v>
      </c>
      <c r="D1845" s="15" t="s">
        <v>391</v>
      </c>
      <c r="E1845" s="15" t="s">
        <v>212</v>
      </c>
      <c r="F1845" s="17" t="n">
        <v>7</v>
      </c>
      <c r="G1845" s="17" t="n">
        <v>960</v>
      </c>
      <c r="H1845" s="17" t="n">
        <v>5.4</v>
      </c>
      <c r="I1845" s="17" t="n">
        <v>6357.12</v>
      </c>
      <c r="J1845" s="15" t="s">
        <v>155</v>
      </c>
      <c r="K1845" s="15" t="s">
        <v>144</v>
      </c>
    </row>
    <row r="1846" customFormat="false" ht="14.25" hidden="false" customHeight="false" outlineLevel="0" collapsed="false">
      <c r="A1846" s="15" t="s">
        <v>2354</v>
      </c>
      <c r="B1846" s="16" t="n">
        <v>45389</v>
      </c>
      <c r="C1846" s="15" t="s">
        <v>916</v>
      </c>
      <c r="D1846" s="15" t="s">
        <v>195</v>
      </c>
      <c r="E1846" s="15" t="s">
        <v>109</v>
      </c>
      <c r="F1846" s="17" t="n">
        <v>3</v>
      </c>
      <c r="G1846" s="17" t="n">
        <v>4880</v>
      </c>
      <c r="H1846" s="17" t="n">
        <v>17.1</v>
      </c>
      <c r="I1846" s="17" t="n">
        <v>12136.56</v>
      </c>
      <c r="J1846" s="15" t="s">
        <v>98</v>
      </c>
      <c r="K1846" s="15" t="s">
        <v>123</v>
      </c>
    </row>
    <row r="1847" customFormat="false" ht="14.25" hidden="false" customHeight="false" outlineLevel="0" collapsed="false">
      <c r="A1847" s="15" t="s">
        <v>2355</v>
      </c>
      <c r="B1847" s="16" t="n">
        <v>45390</v>
      </c>
      <c r="C1847" s="15" t="s">
        <v>593</v>
      </c>
      <c r="D1847" s="15" t="s">
        <v>142</v>
      </c>
      <c r="E1847" s="15" t="s">
        <v>139</v>
      </c>
      <c r="F1847" s="17" t="n">
        <v>5</v>
      </c>
      <c r="G1847" s="17" t="n">
        <v>2270</v>
      </c>
      <c r="H1847" s="17" t="n">
        <v>12.4</v>
      </c>
      <c r="I1847" s="17" t="n">
        <v>9942.6</v>
      </c>
      <c r="J1847" s="15" t="s">
        <v>98</v>
      </c>
      <c r="K1847" s="15" t="s">
        <v>105</v>
      </c>
    </row>
    <row r="1848" customFormat="false" ht="14.25" hidden="false" customHeight="false" outlineLevel="0" collapsed="false">
      <c r="A1848" s="15" t="s">
        <v>2356</v>
      </c>
      <c r="B1848" s="16" t="n">
        <v>45413</v>
      </c>
      <c r="C1848" s="15" t="s">
        <v>624</v>
      </c>
      <c r="D1848" s="15" t="s">
        <v>513</v>
      </c>
      <c r="E1848" s="15" t="s">
        <v>139</v>
      </c>
      <c r="F1848" s="17" t="n">
        <v>1</v>
      </c>
      <c r="G1848" s="17" t="n">
        <v>1090</v>
      </c>
      <c r="H1848" s="17" t="n">
        <v>17.3</v>
      </c>
      <c r="I1848" s="17" t="n">
        <v>901.43</v>
      </c>
      <c r="J1848" s="15" t="s">
        <v>98</v>
      </c>
      <c r="K1848" s="15" t="s">
        <v>123</v>
      </c>
    </row>
    <row r="1849" customFormat="false" ht="14.25" hidden="false" customHeight="false" outlineLevel="0" collapsed="false">
      <c r="A1849" s="15" t="s">
        <v>2357</v>
      </c>
      <c r="B1849" s="16" t="n">
        <v>45535</v>
      </c>
      <c r="C1849" s="15" t="s">
        <v>335</v>
      </c>
      <c r="D1849" s="15" t="s">
        <v>454</v>
      </c>
      <c r="E1849" s="15" t="s">
        <v>240</v>
      </c>
      <c r="F1849" s="17" t="n">
        <v>8</v>
      </c>
      <c r="G1849" s="17" t="n">
        <v>5080</v>
      </c>
      <c r="H1849" s="17" t="n">
        <v>0.9</v>
      </c>
      <c r="I1849" s="17" t="n">
        <v>40274.24</v>
      </c>
      <c r="J1849" s="15" t="s">
        <v>98</v>
      </c>
      <c r="K1849" s="15" t="s">
        <v>144</v>
      </c>
    </row>
    <row r="1850" customFormat="false" ht="14.25" hidden="false" customHeight="false" outlineLevel="0" collapsed="false">
      <c r="A1850" s="15" t="s">
        <v>2358</v>
      </c>
      <c r="B1850" s="16" t="n">
        <v>45569</v>
      </c>
      <c r="C1850" s="15" t="s">
        <v>867</v>
      </c>
      <c r="D1850" s="15" t="s">
        <v>281</v>
      </c>
      <c r="E1850" s="15" t="s">
        <v>249</v>
      </c>
      <c r="F1850" s="17" t="n">
        <v>7</v>
      </c>
      <c r="G1850" s="17" t="n">
        <v>4610</v>
      </c>
      <c r="H1850" s="17" t="n">
        <v>0.9</v>
      </c>
      <c r="I1850" s="17" t="n">
        <v>31979.57</v>
      </c>
      <c r="J1850" s="15" t="s">
        <v>98</v>
      </c>
      <c r="K1850" s="15" t="s">
        <v>99</v>
      </c>
    </row>
    <row r="1851" customFormat="false" ht="14.25" hidden="false" customHeight="false" outlineLevel="0" collapsed="false">
      <c r="A1851" s="15" t="s">
        <v>2359</v>
      </c>
      <c r="B1851" s="16" t="n">
        <v>45527</v>
      </c>
      <c r="C1851" s="15" t="s">
        <v>512</v>
      </c>
      <c r="D1851" s="15" t="s">
        <v>287</v>
      </c>
      <c r="E1851" s="15" t="s">
        <v>139</v>
      </c>
      <c r="F1851" s="17" t="n">
        <v>1</v>
      </c>
      <c r="G1851" s="17" t="n">
        <v>3020</v>
      </c>
      <c r="H1851" s="17" t="n">
        <v>10.3</v>
      </c>
      <c r="I1851" s="17" t="n">
        <v>2708.94</v>
      </c>
      <c r="J1851" s="15" t="s">
        <v>98</v>
      </c>
      <c r="K1851" s="15" t="s">
        <v>144</v>
      </c>
    </row>
    <row r="1852" customFormat="false" ht="14.25" hidden="false" customHeight="false" outlineLevel="0" collapsed="false">
      <c r="A1852" s="15" t="s">
        <v>2360</v>
      </c>
      <c r="B1852" s="16" t="n">
        <v>45453</v>
      </c>
      <c r="C1852" s="15" t="s">
        <v>649</v>
      </c>
      <c r="D1852" s="15" t="s">
        <v>256</v>
      </c>
      <c r="E1852" s="15" t="s">
        <v>139</v>
      </c>
      <c r="F1852" s="17" t="n">
        <v>6</v>
      </c>
      <c r="G1852" s="17" t="n">
        <v>2270</v>
      </c>
      <c r="H1852" s="17" t="n">
        <v>23.1</v>
      </c>
      <c r="I1852" s="17" t="n">
        <v>10473.78</v>
      </c>
      <c r="J1852" s="15" t="s">
        <v>98</v>
      </c>
      <c r="K1852" s="15" t="s">
        <v>110</v>
      </c>
    </row>
    <row r="1853" customFormat="false" ht="14.25" hidden="false" customHeight="false" outlineLevel="0" collapsed="false">
      <c r="A1853" s="15" t="s">
        <v>2361</v>
      </c>
      <c r="B1853" s="16" t="n">
        <v>45605</v>
      </c>
      <c r="C1853" s="15" t="s">
        <v>153</v>
      </c>
      <c r="D1853" s="15" t="s">
        <v>275</v>
      </c>
      <c r="E1853" s="15" t="s">
        <v>143</v>
      </c>
      <c r="F1853" s="17" t="n">
        <v>6</v>
      </c>
      <c r="G1853" s="17" t="n">
        <v>4070</v>
      </c>
      <c r="H1853" s="17" t="n">
        <v>28.9</v>
      </c>
      <c r="I1853" s="17" t="n">
        <v>17362.62</v>
      </c>
      <c r="J1853" s="15" t="s">
        <v>98</v>
      </c>
      <c r="K1853" s="15" t="s">
        <v>99</v>
      </c>
    </row>
    <row r="1854" customFormat="false" ht="14.25" hidden="false" customHeight="false" outlineLevel="0" collapsed="false">
      <c r="A1854" s="15" t="s">
        <v>2362</v>
      </c>
      <c r="B1854" s="16" t="n">
        <v>45650</v>
      </c>
      <c r="C1854" s="15" t="s">
        <v>552</v>
      </c>
      <c r="D1854" s="15" t="s">
        <v>278</v>
      </c>
      <c r="E1854" s="15" t="s">
        <v>249</v>
      </c>
      <c r="F1854" s="17" t="n">
        <v>5</v>
      </c>
      <c r="G1854" s="17" t="n">
        <v>1220</v>
      </c>
      <c r="H1854" s="17" t="n">
        <v>18.7</v>
      </c>
      <c r="I1854" s="17" t="n">
        <v>4959.3</v>
      </c>
      <c r="J1854" s="15" t="s">
        <v>98</v>
      </c>
      <c r="K1854" s="15" t="s">
        <v>105</v>
      </c>
    </row>
    <row r="1855" customFormat="false" ht="14.25" hidden="false" customHeight="false" outlineLevel="0" collapsed="false">
      <c r="A1855" s="15" t="s">
        <v>2363</v>
      </c>
      <c r="B1855" s="16" t="n">
        <v>45412</v>
      </c>
      <c r="C1855" s="15" t="s">
        <v>396</v>
      </c>
      <c r="D1855" s="15" t="s">
        <v>178</v>
      </c>
      <c r="E1855" s="15" t="s">
        <v>127</v>
      </c>
      <c r="F1855" s="17" t="n">
        <v>8</v>
      </c>
      <c r="G1855" s="17" t="n">
        <v>2480</v>
      </c>
      <c r="H1855" s="17" t="n">
        <v>3.2</v>
      </c>
      <c r="I1855" s="17" t="n">
        <v>19205.12</v>
      </c>
      <c r="J1855" s="15" t="s">
        <v>151</v>
      </c>
      <c r="K1855" s="15" t="s">
        <v>128</v>
      </c>
    </row>
    <row r="1856" customFormat="false" ht="14.25" hidden="false" customHeight="false" outlineLevel="0" collapsed="false">
      <c r="A1856" s="15" t="s">
        <v>2364</v>
      </c>
      <c r="B1856" s="16" t="n">
        <v>45554</v>
      </c>
      <c r="C1856" s="15" t="s">
        <v>471</v>
      </c>
      <c r="D1856" s="15" t="s">
        <v>206</v>
      </c>
      <c r="E1856" s="15" t="s">
        <v>97</v>
      </c>
      <c r="F1856" s="17" t="n">
        <v>7</v>
      </c>
      <c r="G1856" s="17" t="n">
        <v>2860</v>
      </c>
      <c r="H1856" s="17" t="n">
        <v>8.4</v>
      </c>
      <c r="I1856" s="17" t="n">
        <v>18338.32</v>
      </c>
      <c r="J1856" s="15" t="s">
        <v>98</v>
      </c>
      <c r="K1856" s="15" t="s">
        <v>99</v>
      </c>
    </row>
    <row r="1857" customFormat="false" ht="14.25" hidden="false" customHeight="false" outlineLevel="0" collapsed="false">
      <c r="A1857" s="15" t="s">
        <v>2365</v>
      </c>
      <c r="B1857" s="16" t="n">
        <v>45365</v>
      </c>
      <c r="C1857" s="15" t="s">
        <v>333</v>
      </c>
      <c r="D1857" s="15" t="s">
        <v>245</v>
      </c>
      <c r="E1857" s="15" t="s">
        <v>127</v>
      </c>
      <c r="F1857" s="17" t="n">
        <v>1</v>
      </c>
      <c r="G1857" s="17" t="n">
        <v>3780</v>
      </c>
      <c r="H1857" s="17" t="n">
        <v>16.3</v>
      </c>
      <c r="I1857" s="17" t="n">
        <v>3163.86</v>
      </c>
      <c r="J1857" s="15" t="s">
        <v>151</v>
      </c>
      <c r="K1857" s="15" t="s">
        <v>110</v>
      </c>
    </row>
    <row r="1858" customFormat="false" ht="14.25" hidden="false" customHeight="false" outlineLevel="0" collapsed="false">
      <c r="A1858" s="15" t="s">
        <v>2366</v>
      </c>
      <c r="B1858" s="16" t="n">
        <v>45504</v>
      </c>
      <c r="C1858" s="15" t="s">
        <v>988</v>
      </c>
      <c r="D1858" s="15" t="s">
        <v>206</v>
      </c>
      <c r="E1858" s="15" t="s">
        <v>122</v>
      </c>
      <c r="F1858" s="17" t="n">
        <v>6</v>
      </c>
      <c r="G1858" s="17" t="n">
        <v>2860</v>
      </c>
      <c r="H1858" s="17" t="n">
        <v>10.7</v>
      </c>
      <c r="I1858" s="17" t="n">
        <v>15323.88</v>
      </c>
      <c r="J1858" s="15" t="s">
        <v>98</v>
      </c>
      <c r="K1858" s="15" t="s">
        <v>99</v>
      </c>
    </row>
    <row r="1859" customFormat="false" ht="14.25" hidden="false" customHeight="false" outlineLevel="0" collapsed="false">
      <c r="A1859" s="15" t="s">
        <v>2367</v>
      </c>
      <c r="B1859" s="16" t="n">
        <v>45652</v>
      </c>
      <c r="C1859" s="15" t="s">
        <v>752</v>
      </c>
      <c r="D1859" s="15" t="s">
        <v>162</v>
      </c>
      <c r="E1859" s="15" t="s">
        <v>354</v>
      </c>
      <c r="F1859" s="17" t="n">
        <v>3</v>
      </c>
      <c r="G1859" s="17" t="n">
        <v>2400</v>
      </c>
      <c r="H1859" s="17" t="n">
        <v>20.7</v>
      </c>
      <c r="I1859" s="17" t="n">
        <v>5709.6</v>
      </c>
      <c r="J1859" s="15" t="s">
        <v>98</v>
      </c>
      <c r="K1859" s="15" t="s">
        <v>144</v>
      </c>
    </row>
    <row r="1860" customFormat="false" ht="14.25" hidden="false" customHeight="false" outlineLevel="0" collapsed="false">
      <c r="A1860" s="15" t="s">
        <v>2368</v>
      </c>
      <c r="B1860" s="16" t="n">
        <v>45330</v>
      </c>
      <c r="C1860" s="15" t="s">
        <v>1272</v>
      </c>
      <c r="D1860" s="15" t="s">
        <v>378</v>
      </c>
      <c r="E1860" s="15" t="s">
        <v>122</v>
      </c>
      <c r="F1860" s="17" t="n">
        <v>8</v>
      </c>
      <c r="G1860" s="17" t="n">
        <v>2380</v>
      </c>
      <c r="H1860" s="17" t="n">
        <v>22.3</v>
      </c>
      <c r="I1860" s="17" t="n">
        <v>14794.08</v>
      </c>
      <c r="J1860" s="15" t="s">
        <v>155</v>
      </c>
      <c r="K1860" s="15" t="s">
        <v>128</v>
      </c>
    </row>
    <row r="1861" customFormat="false" ht="14.25" hidden="false" customHeight="false" outlineLevel="0" collapsed="false">
      <c r="A1861" s="15" t="s">
        <v>2369</v>
      </c>
      <c r="B1861" s="16" t="n">
        <v>45533</v>
      </c>
      <c r="C1861" s="15" t="s">
        <v>468</v>
      </c>
      <c r="D1861" s="15" t="s">
        <v>202</v>
      </c>
      <c r="E1861" s="15" t="s">
        <v>114</v>
      </c>
      <c r="F1861" s="17" t="n">
        <v>7</v>
      </c>
      <c r="G1861" s="17" t="n">
        <v>5100</v>
      </c>
      <c r="H1861" s="17" t="n">
        <v>22.9</v>
      </c>
      <c r="I1861" s="17" t="n">
        <v>27524.7</v>
      </c>
      <c r="J1861" s="15" t="s">
        <v>151</v>
      </c>
      <c r="K1861" s="15" t="s">
        <v>99</v>
      </c>
    </row>
    <row r="1862" customFormat="false" ht="14.25" hidden="false" customHeight="false" outlineLevel="0" collapsed="false">
      <c r="A1862" s="15" t="s">
        <v>2370</v>
      </c>
      <c r="B1862" s="16" t="n">
        <v>45463</v>
      </c>
      <c r="C1862" s="15" t="s">
        <v>498</v>
      </c>
      <c r="D1862" s="15" t="s">
        <v>293</v>
      </c>
      <c r="E1862" s="15" t="s">
        <v>199</v>
      </c>
      <c r="F1862" s="17" t="n">
        <v>7</v>
      </c>
      <c r="G1862" s="17" t="n">
        <v>300</v>
      </c>
      <c r="H1862" s="17" t="n">
        <v>15.3</v>
      </c>
      <c r="I1862" s="17" t="n">
        <v>1778.7</v>
      </c>
      <c r="J1862" s="15" t="s">
        <v>98</v>
      </c>
      <c r="K1862" s="15" t="s">
        <v>99</v>
      </c>
    </row>
    <row r="1863" customFormat="false" ht="14.25" hidden="false" customHeight="false" outlineLevel="0" collapsed="false">
      <c r="A1863" s="15" t="s">
        <v>2371</v>
      </c>
      <c r="B1863" s="16" t="n">
        <v>45428</v>
      </c>
      <c r="C1863" s="15" t="s">
        <v>148</v>
      </c>
      <c r="D1863" s="15" t="s">
        <v>172</v>
      </c>
      <c r="E1863" s="15" t="s">
        <v>143</v>
      </c>
      <c r="F1863" s="17" t="n">
        <v>5</v>
      </c>
      <c r="G1863" s="17" t="n">
        <v>3450</v>
      </c>
      <c r="H1863" s="17" t="n">
        <v>16.8</v>
      </c>
      <c r="I1863" s="17" t="n">
        <v>14352</v>
      </c>
      <c r="J1863" s="15" t="s">
        <v>98</v>
      </c>
      <c r="K1863" s="15" t="s">
        <v>110</v>
      </c>
    </row>
    <row r="1864" customFormat="false" ht="14.25" hidden="false" customHeight="false" outlineLevel="0" collapsed="false">
      <c r="A1864" s="15" t="s">
        <v>2372</v>
      </c>
      <c r="B1864" s="16" t="n">
        <v>45634</v>
      </c>
      <c r="C1864" s="15" t="s">
        <v>697</v>
      </c>
      <c r="D1864" s="15" t="s">
        <v>206</v>
      </c>
      <c r="E1864" s="15" t="s">
        <v>109</v>
      </c>
      <c r="F1864" s="17" t="n">
        <v>4</v>
      </c>
      <c r="G1864" s="17" t="n">
        <v>2860</v>
      </c>
      <c r="H1864" s="17" t="n">
        <v>14.3</v>
      </c>
      <c r="I1864" s="17" t="n">
        <v>9804.08</v>
      </c>
      <c r="J1864" s="15" t="s">
        <v>98</v>
      </c>
      <c r="K1864" s="15" t="s">
        <v>123</v>
      </c>
    </row>
    <row r="1865" customFormat="false" ht="14.25" hidden="false" customHeight="false" outlineLevel="0" collapsed="false">
      <c r="A1865" s="15" t="s">
        <v>2373</v>
      </c>
      <c r="B1865" s="16" t="n">
        <v>45627</v>
      </c>
      <c r="C1865" s="15" t="s">
        <v>539</v>
      </c>
      <c r="D1865" s="15" t="s">
        <v>184</v>
      </c>
      <c r="E1865" s="15" t="s">
        <v>226</v>
      </c>
      <c r="F1865" s="17" t="n">
        <v>6</v>
      </c>
      <c r="G1865" s="17" t="n">
        <v>2720</v>
      </c>
      <c r="H1865" s="17" t="n">
        <v>25.1</v>
      </c>
      <c r="I1865" s="17" t="n">
        <v>12223.68</v>
      </c>
      <c r="J1865" s="15" t="s">
        <v>151</v>
      </c>
      <c r="K1865" s="15" t="s">
        <v>123</v>
      </c>
    </row>
    <row r="1866" customFormat="false" ht="14.25" hidden="false" customHeight="false" outlineLevel="0" collapsed="false">
      <c r="A1866" s="15" t="s">
        <v>2374</v>
      </c>
      <c r="B1866" s="16" t="n">
        <v>45429</v>
      </c>
      <c r="C1866" s="15" t="s">
        <v>373</v>
      </c>
      <c r="D1866" s="15" t="s">
        <v>237</v>
      </c>
      <c r="E1866" s="15" t="s">
        <v>139</v>
      </c>
      <c r="F1866" s="17" t="n">
        <v>3</v>
      </c>
      <c r="G1866" s="17" t="n">
        <v>3730</v>
      </c>
      <c r="H1866" s="17" t="n">
        <v>24.8</v>
      </c>
      <c r="I1866" s="17" t="n">
        <v>8414.88</v>
      </c>
      <c r="J1866" s="15" t="s">
        <v>98</v>
      </c>
      <c r="K1866" s="15" t="s">
        <v>105</v>
      </c>
    </row>
    <row r="1867" customFormat="false" ht="14.25" hidden="false" customHeight="false" outlineLevel="0" collapsed="false">
      <c r="A1867" s="15" t="s">
        <v>2375</v>
      </c>
      <c r="B1867" s="16" t="n">
        <v>45648</v>
      </c>
      <c r="C1867" s="15" t="s">
        <v>1361</v>
      </c>
      <c r="D1867" s="15" t="s">
        <v>362</v>
      </c>
      <c r="E1867" s="15" t="s">
        <v>308</v>
      </c>
      <c r="F1867" s="17" t="n">
        <v>2</v>
      </c>
      <c r="G1867" s="17" t="n">
        <v>4060</v>
      </c>
      <c r="H1867" s="17" t="n">
        <v>11.3</v>
      </c>
      <c r="I1867" s="17" t="n">
        <v>7202.44</v>
      </c>
      <c r="J1867" s="15" t="s">
        <v>98</v>
      </c>
      <c r="K1867" s="15" t="s">
        <v>123</v>
      </c>
    </row>
    <row r="1868" customFormat="false" ht="14.25" hidden="false" customHeight="false" outlineLevel="0" collapsed="false">
      <c r="A1868" s="15" t="s">
        <v>2376</v>
      </c>
      <c r="B1868" s="16" t="n">
        <v>45295</v>
      </c>
      <c r="C1868" s="15" t="s">
        <v>932</v>
      </c>
      <c r="D1868" s="15" t="s">
        <v>397</v>
      </c>
      <c r="E1868" s="15" t="s">
        <v>314</v>
      </c>
      <c r="F1868" s="17" t="n">
        <v>6</v>
      </c>
      <c r="G1868" s="17" t="n">
        <v>2290</v>
      </c>
      <c r="H1868" s="17" t="n">
        <v>26.8</v>
      </c>
      <c r="I1868" s="17" t="n">
        <v>10057.68</v>
      </c>
      <c r="J1868" s="15" t="s">
        <v>155</v>
      </c>
      <c r="K1868" s="15" t="s">
        <v>128</v>
      </c>
    </row>
    <row r="1869" customFormat="false" ht="14.25" hidden="false" customHeight="false" outlineLevel="0" collapsed="false">
      <c r="A1869" s="15" t="s">
        <v>2377</v>
      </c>
      <c r="B1869" s="16" t="n">
        <v>45418</v>
      </c>
      <c r="C1869" s="15" t="s">
        <v>364</v>
      </c>
      <c r="D1869" s="15" t="s">
        <v>526</v>
      </c>
      <c r="E1869" s="15" t="s">
        <v>263</v>
      </c>
      <c r="F1869" s="17" t="n">
        <v>1</v>
      </c>
      <c r="G1869" s="17" t="n">
        <v>6940</v>
      </c>
      <c r="H1869" s="17" t="n">
        <v>15.7</v>
      </c>
      <c r="I1869" s="17" t="n">
        <v>5850.42</v>
      </c>
      <c r="J1869" s="15" t="s">
        <v>98</v>
      </c>
      <c r="K1869" s="15" t="s">
        <v>105</v>
      </c>
    </row>
    <row r="1870" customFormat="false" ht="14.25" hidden="false" customHeight="false" outlineLevel="0" collapsed="false">
      <c r="A1870" s="15" t="s">
        <v>2378</v>
      </c>
      <c r="B1870" s="16" t="n">
        <v>45623</v>
      </c>
      <c r="C1870" s="15" t="s">
        <v>422</v>
      </c>
      <c r="D1870" s="15" t="s">
        <v>237</v>
      </c>
      <c r="E1870" s="15" t="s">
        <v>215</v>
      </c>
      <c r="F1870" s="17" t="n">
        <v>3</v>
      </c>
      <c r="G1870" s="17" t="n">
        <v>3730</v>
      </c>
      <c r="H1870" s="17" t="n">
        <v>18.1</v>
      </c>
      <c r="I1870" s="17" t="n">
        <v>9164.61</v>
      </c>
      <c r="J1870" s="15" t="s">
        <v>98</v>
      </c>
      <c r="K1870" s="15" t="s">
        <v>123</v>
      </c>
    </row>
    <row r="1871" customFormat="false" ht="14.25" hidden="false" customHeight="false" outlineLevel="0" collapsed="false">
      <c r="A1871" s="15" t="s">
        <v>2379</v>
      </c>
      <c r="B1871" s="16" t="n">
        <v>45528</v>
      </c>
      <c r="C1871" s="15" t="s">
        <v>353</v>
      </c>
      <c r="D1871" s="15" t="s">
        <v>237</v>
      </c>
      <c r="E1871" s="15" t="s">
        <v>308</v>
      </c>
      <c r="F1871" s="17" t="n">
        <v>8</v>
      </c>
      <c r="G1871" s="17" t="n">
        <v>3730</v>
      </c>
      <c r="H1871" s="17" t="n">
        <v>12.5</v>
      </c>
      <c r="I1871" s="17" t="n">
        <v>26110</v>
      </c>
      <c r="J1871" s="15" t="s">
        <v>98</v>
      </c>
      <c r="K1871" s="15" t="s">
        <v>105</v>
      </c>
    </row>
    <row r="1872" customFormat="false" ht="14.25" hidden="false" customHeight="false" outlineLevel="0" collapsed="false">
      <c r="A1872" s="15" t="s">
        <v>2380</v>
      </c>
      <c r="B1872" s="16" t="n">
        <v>45644</v>
      </c>
      <c r="C1872" s="15" t="s">
        <v>1827</v>
      </c>
      <c r="D1872" s="15" t="s">
        <v>378</v>
      </c>
      <c r="E1872" s="15" t="s">
        <v>199</v>
      </c>
      <c r="F1872" s="17" t="n">
        <v>9</v>
      </c>
      <c r="G1872" s="17" t="n">
        <v>2380</v>
      </c>
      <c r="H1872" s="17" t="n">
        <v>8.1</v>
      </c>
      <c r="I1872" s="17" t="n">
        <v>19684.98</v>
      </c>
      <c r="J1872" s="15" t="s">
        <v>151</v>
      </c>
      <c r="K1872" s="15" t="s">
        <v>110</v>
      </c>
    </row>
    <row r="1873" customFormat="false" ht="14.25" hidden="false" customHeight="false" outlineLevel="0" collapsed="false">
      <c r="A1873" s="15" t="s">
        <v>2381</v>
      </c>
      <c r="B1873" s="16" t="n">
        <v>45475</v>
      </c>
      <c r="C1873" s="15" t="s">
        <v>1228</v>
      </c>
      <c r="D1873" s="15" t="s">
        <v>175</v>
      </c>
      <c r="E1873" s="15" t="s">
        <v>308</v>
      </c>
      <c r="F1873" s="17" t="n">
        <v>6</v>
      </c>
      <c r="G1873" s="17" t="n">
        <v>1080</v>
      </c>
      <c r="H1873" s="17" t="n">
        <v>8.8</v>
      </c>
      <c r="I1873" s="17" t="n">
        <v>5909.76</v>
      </c>
      <c r="J1873" s="15" t="s">
        <v>98</v>
      </c>
      <c r="K1873" s="15" t="s">
        <v>123</v>
      </c>
    </row>
    <row r="1874" customFormat="false" ht="14.25" hidden="false" customHeight="false" outlineLevel="0" collapsed="false">
      <c r="A1874" s="15" t="s">
        <v>2222</v>
      </c>
      <c r="B1874" s="16" t="n">
        <v>45401</v>
      </c>
      <c r="C1874" s="15" t="s">
        <v>603</v>
      </c>
      <c r="D1874" s="15" t="s">
        <v>108</v>
      </c>
      <c r="E1874" s="15" t="s">
        <v>263</v>
      </c>
      <c r="F1874" s="17" t="n">
        <v>5</v>
      </c>
      <c r="G1874" s="17" t="n">
        <v>470</v>
      </c>
      <c r="H1874" s="17" t="n">
        <v>1.3</v>
      </c>
      <c r="I1874" s="17" t="n">
        <v>2319.45</v>
      </c>
      <c r="J1874" s="15" t="s">
        <v>98</v>
      </c>
      <c r="K1874" s="15" t="s">
        <v>144</v>
      </c>
    </row>
    <row r="1875" customFormat="false" ht="14.25" hidden="false" customHeight="false" outlineLevel="0" collapsed="false">
      <c r="A1875" s="15" t="s">
        <v>2382</v>
      </c>
      <c r="B1875" s="16" t="n">
        <v>45516</v>
      </c>
      <c r="C1875" s="15" t="s">
        <v>956</v>
      </c>
      <c r="D1875" s="15" t="s">
        <v>121</v>
      </c>
      <c r="E1875" s="15" t="s">
        <v>212</v>
      </c>
      <c r="F1875" s="17" t="n">
        <v>4</v>
      </c>
      <c r="G1875" s="17" t="n">
        <v>370</v>
      </c>
      <c r="H1875" s="17" t="n">
        <v>13.1</v>
      </c>
      <c r="I1875" s="17" t="n">
        <v>1286.12</v>
      </c>
      <c r="J1875" s="15" t="s">
        <v>98</v>
      </c>
      <c r="K1875" s="15" t="s">
        <v>99</v>
      </c>
    </row>
    <row r="1876" customFormat="false" ht="14.25" hidden="false" customHeight="false" outlineLevel="0" collapsed="false">
      <c r="A1876" s="15" t="s">
        <v>2383</v>
      </c>
      <c r="B1876" s="16" t="n">
        <v>45517</v>
      </c>
      <c r="C1876" s="15" t="s">
        <v>628</v>
      </c>
      <c r="D1876" s="15" t="s">
        <v>117</v>
      </c>
      <c r="E1876" s="15" t="s">
        <v>97</v>
      </c>
      <c r="F1876" s="17" t="n">
        <v>7</v>
      </c>
      <c r="G1876" s="17" t="n">
        <v>3160</v>
      </c>
      <c r="H1876" s="17" t="n">
        <v>12.3</v>
      </c>
      <c r="I1876" s="17" t="n">
        <v>19399.24</v>
      </c>
      <c r="J1876" s="15" t="s">
        <v>98</v>
      </c>
      <c r="K1876" s="15" t="s">
        <v>123</v>
      </c>
    </row>
    <row r="1877" customFormat="false" ht="14.25" hidden="false" customHeight="false" outlineLevel="0" collapsed="false">
      <c r="A1877" s="15" t="s">
        <v>2384</v>
      </c>
      <c r="B1877" s="16" t="n">
        <v>45645</v>
      </c>
      <c r="C1877" s="15" t="s">
        <v>414</v>
      </c>
      <c r="D1877" s="15" t="s">
        <v>670</v>
      </c>
      <c r="E1877" s="15" t="s">
        <v>127</v>
      </c>
      <c r="F1877" s="17" t="n">
        <v>5</v>
      </c>
      <c r="G1877" s="17" t="n">
        <v>3560</v>
      </c>
      <c r="H1877" s="17" t="n">
        <v>24</v>
      </c>
      <c r="I1877" s="17" t="n">
        <v>13528</v>
      </c>
      <c r="J1877" s="15" t="s">
        <v>98</v>
      </c>
      <c r="K1877" s="15" t="s">
        <v>128</v>
      </c>
    </row>
    <row r="1878" customFormat="false" ht="14.25" hidden="false" customHeight="false" outlineLevel="0" collapsed="false">
      <c r="A1878" s="15" t="s">
        <v>2385</v>
      </c>
      <c r="B1878" s="16" t="n">
        <v>45417</v>
      </c>
      <c r="C1878" s="15" t="s">
        <v>433</v>
      </c>
      <c r="D1878" s="15" t="s">
        <v>306</v>
      </c>
      <c r="E1878" s="15" t="s">
        <v>169</v>
      </c>
      <c r="F1878" s="17" t="n">
        <v>6</v>
      </c>
      <c r="G1878" s="17" t="n">
        <v>2030</v>
      </c>
      <c r="H1878" s="17" t="n">
        <v>20.5</v>
      </c>
      <c r="I1878" s="17" t="n">
        <v>9683.1</v>
      </c>
      <c r="J1878" s="15" t="s">
        <v>98</v>
      </c>
      <c r="K1878" s="15" t="s">
        <v>105</v>
      </c>
    </row>
    <row r="1879" customFormat="false" ht="14.25" hidden="false" customHeight="false" outlineLevel="0" collapsed="false">
      <c r="A1879" s="15" t="s">
        <v>2386</v>
      </c>
      <c r="B1879" s="16" t="n">
        <v>45351</v>
      </c>
      <c r="C1879" s="15" t="s">
        <v>483</v>
      </c>
      <c r="D1879" s="15" t="s">
        <v>146</v>
      </c>
      <c r="E1879" s="15" t="s">
        <v>314</v>
      </c>
      <c r="F1879" s="17" t="n">
        <v>5</v>
      </c>
      <c r="G1879" s="17" t="n">
        <v>2640</v>
      </c>
      <c r="H1879" s="17" t="n">
        <v>21.3</v>
      </c>
      <c r="I1879" s="17" t="n">
        <v>10388.4</v>
      </c>
      <c r="J1879" s="15" t="s">
        <v>104</v>
      </c>
      <c r="K1879" s="15" t="s">
        <v>105</v>
      </c>
    </row>
    <row r="1880" customFormat="false" ht="14.25" hidden="false" customHeight="false" outlineLevel="0" collapsed="false">
      <c r="A1880" s="15" t="s">
        <v>2387</v>
      </c>
      <c r="B1880" s="16" t="n">
        <v>45629</v>
      </c>
      <c r="C1880" s="15" t="s">
        <v>236</v>
      </c>
      <c r="D1880" s="15" t="s">
        <v>256</v>
      </c>
      <c r="E1880" s="15" t="s">
        <v>308</v>
      </c>
      <c r="F1880" s="17" t="n">
        <v>4</v>
      </c>
      <c r="G1880" s="17" t="n">
        <v>2270</v>
      </c>
      <c r="H1880" s="17" t="n">
        <v>15.8</v>
      </c>
      <c r="I1880" s="17" t="n">
        <v>7645.36</v>
      </c>
      <c r="J1880" s="15" t="s">
        <v>98</v>
      </c>
      <c r="K1880" s="15" t="s">
        <v>105</v>
      </c>
    </row>
    <row r="1881" customFormat="false" ht="14.25" hidden="false" customHeight="false" outlineLevel="0" collapsed="false">
      <c r="A1881" s="15" t="s">
        <v>2388</v>
      </c>
      <c r="B1881" s="16" t="n">
        <v>45588</v>
      </c>
      <c r="C1881" s="15" t="s">
        <v>539</v>
      </c>
      <c r="D1881" s="15" t="s">
        <v>121</v>
      </c>
      <c r="E1881" s="15" t="s">
        <v>308</v>
      </c>
      <c r="F1881" s="17" t="n">
        <v>1</v>
      </c>
      <c r="G1881" s="17" t="n">
        <v>370</v>
      </c>
      <c r="H1881" s="17" t="n">
        <v>27</v>
      </c>
      <c r="I1881" s="17" t="n">
        <v>270.1</v>
      </c>
      <c r="J1881" s="15" t="s">
        <v>104</v>
      </c>
      <c r="K1881" s="15" t="s">
        <v>123</v>
      </c>
    </row>
    <row r="1882" customFormat="false" ht="14.25" hidden="false" customHeight="false" outlineLevel="0" collapsed="false">
      <c r="A1882" s="15" t="s">
        <v>2389</v>
      </c>
      <c r="B1882" s="16" t="n">
        <v>45366</v>
      </c>
      <c r="C1882" s="15" t="s">
        <v>283</v>
      </c>
      <c r="D1882" s="15" t="s">
        <v>202</v>
      </c>
      <c r="E1882" s="15" t="s">
        <v>249</v>
      </c>
      <c r="F1882" s="17" t="n">
        <v>9</v>
      </c>
      <c r="G1882" s="17" t="n">
        <v>5100</v>
      </c>
      <c r="H1882" s="17" t="n">
        <v>2.4</v>
      </c>
      <c r="I1882" s="17" t="n">
        <v>44798.4</v>
      </c>
      <c r="J1882" s="15" t="s">
        <v>98</v>
      </c>
      <c r="K1882" s="15" t="s">
        <v>105</v>
      </c>
    </row>
    <row r="1883" customFormat="false" ht="14.25" hidden="false" customHeight="false" outlineLevel="0" collapsed="false">
      <c r="A1883" s="15" t="s">
        <v>2390</v>
      </c>
      <c r="B1883" s="16" t="n">
        <v>45322</v>
      </c>
      <c r="C1883" s="15" t="s">
        <v>603</v>
      </c>
      <c r="D1883" s="15" t="s">
        <v>121</v>
      </c>
      <c r="E1883" s="15" t="s">
        <v>165</v>
      </c>
      <c r="F1883" s="17" t="n">
        <v>6</v>
      </c>
      <c r="G1883" s="17" t="n">
        <v>370</v>
      </c>
      <c r="H1883" s="17" t="n">
        <v>18.7</v>
      </c>
      <c r="I1883" s="17" t="n">
        <v>1804.86</v>
      </c>
      <c r="J1883" s="15" t="s">
        <v>151</v>
      </c>
      <c r="K1883" s="15" t="s">
        <v>144</v>
      </c>
    </row>
    <row r="1884" customFormat="false" ht="14.25" hidden="false" customHeight="false" outlineLevel="0" collapsed="false">
      <c r="A1884" s="15" t="s">
        <v>2391</v>
      </c>
      <c r="B1884" s="16" t="n">
        <v>45465</v>
      </c>
      <c r="C1884" s="15" t="s">
        <v>574</v>
      </c>
      <c r="D1884" s="15" t="s">
        <v>138</v>
      </c>
      <c r="E1884" s="15" t="s">
        <v>150</v>
      </c>
      <c r="F1884" s="17" t="n">
        <v>6</v>
      </c>
      <c r="G1884" s="17" t="n">
        <v>970</v>
      </c>
      <c r="H1884" s="17" t="n">
        <v>21.6</v>
      </c>
      <c r="I1884" s="17" t="n">
        <v>4562.88</v>
      </c>
      <c r="J1884" s="15" t="s">
        <v>98</v>
      </c>
      <c r="K1884" s="15" t="s">
        <v>99</v>
      </c>
    </row>
    <row r="1885" customFormat="false" ht="14.25" hidden="false" customHeight="false" outlineLevel="0" collapsed="false">
      <c r="A1885" s="15" t="s">
        <v>2392</v>
      </c>
      <c r="B1885" s="16" t="n">
        <v>45622</v>
      </c>
      <c r="C1885" s="15" t="s">
        <v>2393</v>
      </c>
      <c r="D1885" s="15" t="s">
        <v>349</v>
      </c>
      <c r="E1885" s="15" t="s">
        <v>240</v>
      </c>
      <c r="F1885" s="17" t="n">
        <v>3</v>
      </c>
      <c r="G1885" s="17" t="n">
        <v>2210</v>
      </c>
      <c r="H1885" s="17" t="n">
        <v>8.5</v>
      </c>
      <c r="I1885" s="17" t="n">
        <v>6066.45</v>
      </c>
      <c r="J1885" s="15" t="s">
        <v>98</v>
      </c>
      <c r="K1885" s="15" t="s">
        <v>110</v>
      </c>
    </row>
    <row r="1886" customFormat="false" ht="14.25" hidden="false" customHeight="false" outlineLevel="0" collapsed="false">
      <c r="A1886" s="15" t="s">
        <v>2394</v>
      </c>
      <c r="B1886" s="16" t="n">
        <v>45457</v>
      </c>
      <c r="C1886" s="15" t="s">
        <v>393</v>
      </c>
      <c r="D1886" s="15" t="s">
        <v>187</v>
      </c>
      <c r="E1886" s="15" t="s">
        <v>308</v>
      </c>
      <c r="F1886" s="17" t="n">
        <v>1</v>
      </c>
      <c r="G1886" s="17" t="n">
        <v>1650</v>
      </c>
      <c r="H1886" s="17" t="n">
        <v>19.7</v>
      </c>
      <c r="I1886" s="17" t="n">
        <v>1324.95</v>
      </c>
      <c r="J1886" s="15" t="s">
        <v>98</v>
      </c>
      <c r="K1886" s="15" t="s">
        <v>110</v>
      </c>
    </row>
    <row r="1887" customFormat="false" ht="14.25" hidden="false" customHeight="false" outlineLevel="0" collapsed="false">
      <c r="A1887" s="15" t="s">
        <v>2395</v>
      </c>
      <c r="B1887" s="16" t="n">
        <v>45480</v>
      </c>
      <c r="C1887" s="15" t="s">
        <v>959</v>
      </c>
      <c r="D1887" s="15" t="s">
        <v>526</v>
      </c>
      <c r="E1887" s="15" t="s">
        <v>159</v>
      </c>
      <c r="F1887" s="17" t="n">
        <v>5</v>
      </c>
      <c r="G1887" s="17" t="n">
        <v>6940</v>
      </c>
      <c r="H1887" s="17" t="n">
        <v>7.7</v>
      </c>
      <c r="I1887" s="17" t="n">
        <v>32028.1</v>
      </c>
      <c r="J1887" s="15" t="s">
        <v>98</v>
      </c>
      <c r="K1887" s="15" t="s">
        <v>99</v>
      </c>
    </row>
    <row r="1888" customFormat="false" ht="14.25" hidden="false" customHeight="false" outlineLevel="0" collapsed="false">
      <c r="A1888" s="15" t="s">
        <v>2396</v>
      </c>
      <c r="B1888" s="16" t="n">
        <v>45392</v>
      </c>
      <c r="C1888" s="15" t="s">
        <v>498</v>
      </c>
      <c r="D1888" s="15" t="s">
        <v>349</v>
      </c>
      <c r="E1888" s="15" t="s">
        <v>296</v>
      </c>
      <c r="F1888" s="17" t="n">
        <v>2</v>
      </c>
      <c r="G1888" s="17" t="n">
        <v>2210</v>
      </c>
      <c r="H1888" s="17" t="n">
        <v>5.6</v>
      </c>
      <c r="I1888" s="17" t="n">
        <v>4172.48</v>
      </c>
      <c r="J1888" s="15" t="s">
        <v>151</v>
      </c>
      <c r="K1888" s="15" t="s">
        <v>99</v>
      </c>
    </row>
    <row r="1889" customFormat="false" ht="14.25" hidden="false" customHeight="false" outlineLevel="0" collapsed="false">
      <c r="A1889" s="15" t="s">
        <v>2397</v>
      </c>
      <c r="B1889" s="16" t="n">
        <v>45380</v>
      </c>
      <c r="C1889" s="15" t="s">
        <v>327</v>
      </c>
      <c r="D1889" s="15" t="s">
        <v>149</v>
      </c>
      <c r="E1889" s="15" t="s">
        <v>109</v>
      </c>
      <c r="F1889" s="17" t="n">
        <v>9</v>
      </c>
      <c r="G1889" s="17" t="n">
        <v>2600</v>
      </c>
      <c r="H1889" s="17" t="n">
        <v>3.1</v>
      </c>
      <c r="I1889" s="17" t="n">
        <v>22674.6</v>
      </c>
      <c r="J1889" s="15" t="s">
        <v>98</v>
      </c>
      <c r="K1889" s="15" t="s">
        <v>99</v>
      </c>
    </row>
    <row r="1890" customFormat="false" ht="14.25" hidden="false" customHeight="false" outlineLevel="0" collapsed="false">
      <c r="A1890" s="15" t="s">
        <v>2398</v>
      </c>
      <c r="B1890" s="16" t="n">
        <v>45494</v>
      </c>
      <c r="C1890" s="15" t="s">
        <v>911</v>
      </c>
      <c r="D1890" s="15" t="s">
        <v>472</v>
      </c>
      <c r="E1890" s="15" t="s">
        <v>159</v>
      </c>
      <c r="F1890" s="17" t="n">
        <v>7</v>
      </c>
      <c r="G1890" s="17" t="n">
        <v>3780</v>
      </c>
      <c r="H1890" s="17" t="n">
        <v>13.3</v>
      </c>
      <c r="I1890" s="17" t="n">
        <v>22940.82</v>
      </c>
      <c r="J1890" s="15" t="s">
        <v>98</v>
      </c>
      <c r="K1890" s="15" t="s">
        <v>128</v>
      </c>
    </row>
    <row r="1891" customFormat="false" ht="14.25" hidden="false" customHeight="false" outlineLevel="0" collapsed="false">
      <c r="A1891" s="15" t="s">
        <v>2399</v>
      </c>
      <c r="B1891" s="16" t="n">
        <v>45621</v>
      </c>
      <c r="C1891" s="15" t="s">
        <v>1049</v>
      </c>
      <c r="D1891" s="15" t="s">
        <v>162</v>
      </c>
      <c r="E1891" s="15" t="s">
        <v>263</v>
      </c>
      <c r="F1891" s="17" t="n">
        <v>4</v>
      </c>
      <c r="G1891" s="17" t="n">
        <v>2400</v>
      </c>
      <c r="H1891" s="17" t="n">
        <v>16.6</v>
      </c>
      <c r="I1891" s="17" t="n">
        <v>8006.4</v>
      </c>
      <c r="J1891" s="15" t="s">
        <v>104</v>
      </c>
      <c r="K1891" s="15" t="s">
        <v>128</v>
      </c>
    </row>
    <row r="1892" customFormat="false" ht="14.25" hidden="false" customHeight="false" outlineLevel="0" collapsed="false">
      <c r="A1892" s="15" t="s">
        <v>2400</v>
      </c>
      <c r="B1892" s="16" t="n">
        <v>45603</v>
      </c>
      <c r="C1892" s="15" t="s">
        <v>292</v>
      </c>
      <c r="D1892" s="15" t="s">
        <v>293</v>
      </c>
      <c r="E1892" s="15" t="s">
        <v>103</v>
      </c>
      <c r="F1892" s="17" t="n">
        <v>10</v>
      </c>
      <c r="G1892" s="17" t="n">
        <v>300</v>
      </c>
      <c r="H1892" s="17" t="n">
        <v>23.9</v>
      </c>
      <c r="I1892" s="17" t="n">
        <v>2283</v>
      </c>
      <c r="J1892" s="15" t="s">
        <v>98</v>
      </c>
      <c r="K1892" s="15" t="s">
        <v>99</v>
      </c>
    </row>
    <row r="1893" customFormat="false" ht="14.25" hidden="false" customHeight="false" outlineLevel="0" collapsed="false">
      <c r="A1893" s="15" t="s">
        <v>2401</v>
      </c>
      <c r="B1893" s="16" t="n">
        <v>45640</v>
      </c>
      <c r="C1893" s="15" t="s">
        <v>277</v>
      </c>
      <c r="D1893" s="15" t="s">
        <v>113</v>
      </c>
      <c r="E1893" s="15" t="s">
        <v>143</v>
      </c>
      <c r="F1893" s="17" t="n">
        <v>1</v>
      </c>
      <c r="G1893" s="17" t="n">
        <v>3660</v>
      </c>
      <c r="H1893" s="17" t="n">
        <v>1.5</v>
      </c>
      <c r="I1893" s="17" t="n">
        <v>3605.1</v>
      </c>
      <c r="J1893" s="15" t="s">
        <v>104</v>
      </c>
      <c r="K1893" s="15" t="s">
        <v>110</v>
      </c>
    </row>
    <row r="1894" customFormat="false" ht="14.25" hidden="false" customHeight="false" outlineLevel="0" collapsed="false">
      <c r="A1894" s="15" t="s">
        <v>2402</v>
      </c>
      <c r="B1894" s="16" t="n">
        <v>45534</v>
      </c>
      <c r="C1894" s="15" t="s">
        <v>321</v>
      </c>
      <c r="D1894" s="15" t="s">
        <v>172</v>
      </c>
      <c r="E1894" s="15" t="s">
        <v>284</v>
      </c>
      <c r="F1894" s="17" t="n">
        <v>9</v>
      </c>
      <c r="G1894" s="17" t="n">
        <v>3450</v>
      </c>
      <c r="H1894" s="17" t="n">
        <v>21.8</v>
      </c>
      <c r="I1894" s="17" t="n">
        <v>24281.1</v>
      </c>
      <c r="J1894" s="15" t="s">
        <v>98</v>
      </c>
      <c r="K1894" s="15" t="s">
        <v>128</v>
      </c>
    </row>
    <row r="1895" customFormat="false" ht="14.25" hidden="false" customHeight="false" outlineLevel="0" collapsed="false">
      <c r="A1895" s="15" t="s">
        <v>2403</v>
      </c>
      <c r="B1895" s="16" t="n">
        <v>45410</v>
      </c>
      <c r="C1895" s="15" t="s">
        <v>512</v>
      </c>
      <c r="D1895" s="15" t="s">
        <v>463</v>
      </c>
      <c r="E1895" s="15" t="s">
        <v>97</v>
      </c>
      <c r="F1895" s="17" t="n">
        <v>10</v>
      </c>
      <c r="G1895" s="17" t="n">
        <v>3450</v>
      </c>
      <c r="H1895" s="17" t="n">
        <v>15.7</v>
      </c>
      <c r="I1895" s="17" t="n">
        <v>29083.5</v>
      </c>
      <c r="J1895" s="15" t="s">
        <v>151</v>
      </c>
      <c r="K1895" s="15" t="s">
        <v>144</v>
      </c>
    </row>
    <row r="1896" customFormat="false" ht="14.25" hidden="false" customHeight="false" outlineLevel="0" collapsed="false">
      <c r="A1896" s="15" t="s">
        <v>2404</v>
      </c>
      <c r="B1896" s="16" t="n">
        <v>45412</v>
      </c>
      <c r="C1896" s="15" t="s">
        <v>112</v>
      </c>
      <c r="D1896" s="15" t="s">
        <v>275</v>
      </c>
      <c r="E1896" s="15" t="s">
        <v>118</v>
      </c>
      <c r="F1896" s="17" t="n">
        <v>2</v>
      </c>
      <c r="G1896" s="17" t="n">
        <v>4070</v>
      </c>
      <c r="H1896" s="17" t="n">
        <v>10.8</v>
      </c>
      <c r="I1896" s="17" t="n">
        <v>7260.88</v>
      </c>
      <c r="J1896" s="15" t="s">
        <v>98</v>
      </c>
      <c r="K1896" s="15" t="s">
        <v>110</v>
      </c>
    </row>
    <row r="1897" customFormat="false" ht="14.25" hidden="false" customHeight="false" outlineLevel="0" collapsed="false">
      <c r="A1897" s="15" t="s">
        <v>2405</v>
      </c>
      <c r="B1897" s="16" t="n">
        <v>45372</v>
      </c>
      <c r="C1897" s="15" t="s">
        <v>380</v>
      </c>
      <c r="D1897" s="15" t="s">
        <v>472</v>
      </c>
      <c r="E1897" s="15" t="s">
        <v>165</v>
      </c>
      <c r="F1897" s="17" t="n">
        <v>4</v>
      </c>
      <c r="G1897" s="17" t="n">
        <v>3780</v>
      </c>
      <c r="H1897" s="17" t="n">
        <v>17.1</v>
      </c>
      <c r="I1897" s="17" t="n">
        <v>12534.48</v>
      </c>
      <c r="J1897" s="15" t="s">
        <v>98</v>
      </c>
      <c r="K1897" s="15" t="s">
        <v>105</v>
      </c>
    </row>
    <row r="1898" customFormat="false" ht="14.25" hidden="false" customHeight="false" outlineLevel="0" collapsed="false">
      <c r="A1898" s="15" t="s">
        <v>2406</v>
      </c>
      <c r="B1898" s="16" t="n">
        <v>45622</v>
      </c>
      <c r="C1898" s="15" t="s">
        <v>684</v>
      </c>
      <c r="D1898" s="15" t="s">
        <v>211</v>
      </c>
      <c r="E1898" s="15" t="s">
        <v>150</v>
      </c>
      <c r="F1898" s="17" t="n">
        <v>1</v>
      </c>
      <c r="G1898" s="17" t="n">
        <v>2760</v>
      </c>
      <c r="H1898" s="17" t="n">
        <v>2.5</v>
      </c>
      <c r="I1898" s="17" t="n">
        <v>2691</v>
      </c>
      <c r="J1898" s="15" t="s">
        <v>151</v>
      </c>
      <c r="K1898" s="15" t="s">
        <v>123</v>
      </c>
    </row>
    <row r="1899" customFormat="false" ht="14.25" hidden="false" customHeight="false" outlineLevel="0" collapsed="false">
      <c r="A1899" s="15" t="s">
        <v>2407</v>
      </c>
      <c r="B1899" s="16" t="n">
        <v>45493</v>
      </c>
      <c r="C1899" s="15" t="s">
        <v>167</v>
      </c>
      <c r="D1899" s="15" t="s">
        <v>195</v>
      </c>
      <c r="E1899" s="15" t="s">
        <v>181</v>
      </c>
      <c r="F1899" s="17" t="n">
        <v>2</v>
      </c>
      <c r="G1899" s="17" t="n">
        <v>4880</v>
      </c>
      <c r="H1899" s="17" t="n">
        <v>11</v>
      </c>
      <c r="I1899" s="17" t="n">
        <v>8686.4</v>
      </c>
      <c r="J1899" s="15" t="s">
        <v>98</v>
      </c>
      <c r="K1899" s="15" t="s">
        <v>144</v>
      </c>
    </row>
    <row r="1900" customFormat="false" ht="14.25" hidden="false" customHeight="false" outlineLevel="0" collapsed="false">
      <c r="A1900" s="15" t="s">
        <v>2408</v>
      </c>
      <c r="B1900" s="16" t="n">
        <v>45580</v>
      </c>
      <c r="C1900" s="15" t="s">
        <v>617</v>
      </c>
      <c r="D1900" s="15" t="s">
        <v>378</v>
      </c>
      <c r="E1900" s="15" t="s">
        <v>296</v>
      </c>
      <c r="F1900" s="17" t="n">
        <v>10</v>
      </c>
      <c r="G1900" s="17" t="n">
        <v>2380</v>
      </c>
      <c r="H1900" s="17" t="n">
        <v>28.3</v>
      </c>
      <c r="I1900" s="17" t="n">
        <v>17064.6</v>
      </c>
      <c r="J1900" s="15" t="s">
        <v>98</v>
      </c>
      <c r="K1900" s="15" t="s">
        <v>123</v>
      </c>
    </row>
    <row r="1901" customFormat="false" ht="14.25" hidden="false" customHeight="false" outlineLevel="0" collapsed="false">
      <c r="A1901" s="15" t="s">
        <v>2409</v>
      </c>
      <c r="B1901" s="16" t="n">
        <v>45449</v>
      </c>
      <c r="C1901" s="15" t="s">
        <v>1115</v>
      </c>
      <c r="D1901" s="15" t="s">
        <v>397</v>
      </c>
      <c r="E1901" s="15" t="s">
        <v>159</v>
      </c>
      <c r="F1901" s="17" t="n">
        <v>3</v>
      </c>
      <c r="G1901" s="17" t="n">
        <v>2290</v>
      </c>
      <c r="H1901" s="17" t="n">
        <v>11.1</v>
      </c>
      <c r="I1901" s="17" t="n">
        <v>6107.43</v>
      </c>
      <c r="J1901" s="15" t="s">
        <v>151</v>
      </c>
      <c r="K1901" s="15" t="s">
        <v>128</v>
      </c>
    </row>
    <row r="1902" customFormat="false" ht="14.25" hidden="false" customHeight="false" outlineLevel="0" collapsed="false">
      <c r="A1902" s="15" t="s">
        <v>2410</v>
      </c>
      <c r="B1902" s="16" t="n">
        <v>45417</v>
      </c>
      <c r="C1902" s="15" t="s">
        <v>167</v>
      </c>
      <c r="D1902" s="15" t="s">
        <v>211</v>
      </c>
      <c r="E1902" s="15" t="s">
        <v>150</v>
      </c>
      <c r="F1902" s="17" t="n">
        <v>6</v>
      </c>
      <c r="G1902" s="17" t="n">
        <v>2760</v>
      </c>
      <c r="H1902" s="17" t="n">
        <v>16.5</v>
      </c>
      <c r="I1902" s="17" t="n">
        <v>13827.6</v>
      </c>
      <c r="J1902" s="15" t="s">
        <v>98</v>
      </c>
      <c r="K1902" s="15" t="s">
        <v>144</v>
      </c>
    </row>
    <row r="1903" customFormat="false" ht="14.25" hidden="false" customHeight="false" outlineLevel="0" collapsed="false">
      <c r="A1903" s="15" t="s">
        <v>2411</v>
      </c>
      <c r="B1903" s="16" t="n">
        <v>45523</v>
      </c>
      <c r="C1903" s="15" t="s">
        <v>529</v>
      </c>
      <c r="D1903" s="15" t="s">
        <v>362</v>
      </c>
      <c r="E1903" s="15" t="s">
        <v>354</v>
      </c>
      <c r="F1903" s="17" t="n">
        <v>5</v>
      </c>
      <c r="G1903" s="17" t="n">
        <v>4060</v>
      </c>
      <c r="H1903" s="17" t="n">
        <v>22.5</v>
      </c>
      <c r="I1903" s="17" t="n">
        <v>15732.5</v>
      </c>
      <c r="J1903" s="15" t="s">
        <v>98</v>
      </c>
      <c r="K1903" s="15" t="s">
        <v>99</v>
      </c>
    </row>
    <row r="1904" customFormat="false" ht="14.25" hidden="false" customHeight="false" outlineLevel="0" collapsed="false">
      <c r="A1904" s="15" t="s">
        <v>2412</v>
      </c>
      <c r="B1904" s="16" t="n">
        <v>45367</v>
      </c>
      <c r="C1904" s="15" t="s">
        <v>339</v>
      </c>
      <c r="D1904" s="15" t="s">
        <v>146</v>
      </c>
      <c r="E1904" s="15" t="s">
        <v>114</v>
      </c>
      <c r="F1904" s="17" t="n">
        <v>8</v>
      </c>
      <c r="G1904" s="17" t="n">
        <v>2640</v>
      </c>
      <c r="H1904" s="17" t="n">
        <v>11.8</v>
      </c>
      <c r="I1904" s="17" t="n">
        <v>18627.84</v>
      </c>
      <c r="J1904" s="15" t="s">
        <v>98</v>
      </c>
      <c r="K1904" s="15" t="s">
        <v>105</v>
      </c>
    </row>
    <row r="1905" customFormat="false" ht="14.25" hidden="false" customHeight="false" outlineLevel="0" collapsed="false">
      <c r="A1905" s="15" t="s">
        <v>2413</v>
      </c>
      <c r="B1905" s="16" t="n">
        <v>45309</v>
      </c>
      <c r="C1905" s="15" t="s">
        <v>827</v>
      </c>
      <c r="D1905" s="15" t="s">
        <v>281</v>
      </c>
      <c r="E1905" s="15" t="s">
        <v>103</v>
      </c>
      <c r="F1905" s="17" t="n">
        <v>2</v>
      </c>
      <c r="G1905" s="17" t="n">
        <v>4610</v>
      </c>
      <c r="H1905" s="17" t="n">
        <v>10.4</v>
      </c>
      <c r="I1905" s="17" t="n">
        <v>8261.12</v>
      </c>
      <c r="J1905" s="15" t="s">
        <v>104</v>
      </c>
      <c r="K1905" s="15" t="s">
        <v>99</v>
      </c>
    </row>
    <row r="1906" customFormat="false" ht="14.25" hidden="false" customHeight="false" outlineLevel="0" collapsed="false">
      <c r="A1906" s="15" t="s">
        <v>2414</v>
      </c>
      <c r="B1906" s="16" t="n">
        <v>45383</v>
      </c>
      <c r="C1906" s="15" t="s">
        <v>289</v>
      </c>
      <c r="D1906" s="15" t="s">
        <v>349</v>
      </c>
      <c r="E1906" s="15" t="s">
        <v>139</v>
      </c>
      <c r="F1906" s="17" t="n">
        <v>6</v>
      </c>
      <c r="G1906" s="17" t="n">
        <v>2210</v>
      </c>
      <c r="H1906" s="17" t="n">
        <v>22.5</v>
      </c>
      <c r="I1906" s="17" t="n">
        <v>10276.5</v>
      </c>
      <c r="J1906" s="15" t="s">
        <v>151</v>
      </c>
      <c r="K1906" s="15" t="s">
        <v>144</v>
      </c>
    </row>
    <row r="1907" customFormat="false" ht="14.25" hidden="false" customHeight="false" outlineLevel="0" collapsed="false">
      <c r="A1907" s="15" t="s">
        <v>2415</v>
      </c>
      <c r="B1907" s="16" t="n">
        <v>45420</v>
      </c>
      <c r="C1907" s="15" t="s">
        <v>557</v>
      </c>
      <c r="D1907" s="15" t="s">
        <v>349</v>
      </c>
      <c r="E1907" s="15" t="s">
        <v>284</v>
      </c>
      <c r="F1907" s="17" t="n">
        <v>4</v>
      </c>
      <c r="G1907" s="17" t="n">
        <v>2210</v>
      </c>
      <c r="H1907" s="17" t="n">
        <v>21.5</v>
      </c>
      <c r="I1907" s="17" t="n">
        <v>6939.4</v>
      </c>
      <c r="J1907" s="15" t="s">
        <v>104</v>
      </c>
      <c r="K1907" s="15" t="s">
        <v>110</v>
      </c>
    </row>
    <row r="1908" customFormat="false" ht="14.25" hidden="false" customHeight="false" outlineLevel="0" collapsed="false">
      <c r="A1908" s="15" t="s">
        <v>2416</v>
      </c>
      <c r="B1908" s="16" t="n">
        <v>45400</v>
      </c>
      <c r="C1908" s="15" t="s">
        <v>95</v>
      </c>
      <c r="D1908" s="15" t="s">
        <v>513</v>
      </c>
      <c r="E1908" s="15" t="s">
        <v>263</v>
      </c>
      <c r="F1908" s="17" t="n">
        <v>6</v>
      </c>
      <c r="G1908" s="17" t="n">
        <v>1090</v>
      </c>
      <c r="H1908" s="17" t="n">
        <v>28.3</v>
      </c>
      <c r="I1908" s="17" t="n">
        <v>4689.18</v>
      </c>
      <c r="J1908" s="15" t="s">
        <v>98</v>
      </c>
      <c r="K1908" s="15" t="s">
        <v>99</v>
      </c>
    </row>
    <row r="1909" customFormat="false" ht="14.25" hidden="false" customHeight="false" outlineLevel="0" collapsed="false">
      <c r="A1909" s="15" t="s">
        <v>2417</v>
      </c>
      <c r="B1909" s="16" t="n">
        <v>45625</v>
      </c>
      <c r="C1909" s="15" t="s">
        <v>431</v>
      </c>
      <c r="D1909" s="15" t="s">
        <v>121</v>
      </c>
      <c r="E1909" s="15" t="s">
        <v>159</v>
      </c>
      <c r="F1909" s="17" t="n">
        <v>9</v>
      </c>
      <c r="G1909" s="17" t="n">
        <v>370</v>
      </c>
      <c r="H1909" s="17" t="n">
        <v>13.8</v>
      </c>
      <c r="I1909" s="17" t="n">
        <v>2870.46</v>
      </c>
      <c r="J1909" s="15" t="s">
        <v>98</v>
      </c>
      <c r="K1909" s="15" t="s">
        <v>110</v>
      </c>
    </row>
    <row r="1910" customFormat="false" ht="14.25" hidden="false" customHeight="false" outlineLevel="0" collapsed="false">
      <c r="A1910" s="15" t="s">
        <v>2418</v>
      </c>
      <c r="B1910" s="16" t="n">
        <v>45555</v>
      </c>
      <c r="C1910" s="15" t="s">
        <v>504</v>
      </c>
      <c r="D1910" s="15" t="s">
        <v>198</v>
      </c>
      <c r="E1910" s="15" t="s">
        <v>122</v>
      </c>
      <c r="F1910" s="17" t="n">
        <v>10</v>
      </c>
      <c r="G1910" s="17" t="n">
        <v>3570</v>
      </c>
      <c r="H1910" s="17" t="n">
        <v>3</v>
      </c>
      <c r="I1910" s="17" t="n">
        <v>34629</v>
      </c>
      <c r="J1910" s="15" t="s">
        <v>151</v>
      </c>
      <c r="K1910" s="15" t="s">
        <v>99</v>
      </c>
    </row>
    <row r="1911" customFormat="false" ht="14.25" hidden="false" customHeight="false" outlineLevel="0" collapsed="false">
      <c r="A1911" s="15" t="s">
        <v>2419</v>
      </c>
      <c r="B1911" s="16" t="n">
        <v>45509</v>
      </c>
      <c r="C1911" s="15" t="s">
        <v>382</v>
      </c>
      <c r="D1911" s="15" t="s">
        <v>154</v>
      </c>
      <c r="E1911" s="15" t="s">
        <v>357</v>
      </c>
      <c r="F1911" s="17" t="n">
        <v>10</v>
      </c>
      <c r="G1911" s="17" t="n">
        <v>3250</v>
      </c>
      <c r="H1911" s="17" t="n">
        <v>20.3</v>
      </c>
      <c r="I1911" s="17" t="n">
        <v>25902.5</v>
      </c>
      <c r="J1911" s="15" t="s">
        <v>98</v>
      </c>
      <c r="K1911" s="15" t="s">
        <v>123</v>
      </c>
    </row>
    <row r="1912" customFormat="false" ht="14.25" hidden="false" customHeight="false" outlineLevel="0" collapsed="false">
      <c r="A1912" s="15" t="s">
        <v>2420</v>
      </c>
      <c r="B1912" s="16" t="n">
        <v>45436</v>
      </c>
      <c r="C1912" s="15" t="s">
        <v>883</v>
      </c>
      <c r="D1912" s="15" t="s">
        <v>154</v>
      </c>
      <c r="E1912" s="15" t="s">
        <v>139</v>
      </c>
      <c r="F1912" s="17" t="n">
        <v>6</v>
      </c>
      <c r="G1912" s="17" t="n">
        <v>3250</v>
      </c>
      <c r="H1912" s="17" t="n">
        <v>25.8</v>
      </c>
      <c r="I1912" s="17" t="n">
        <v>14469</v>
      </c>
      <c r="J1912" s="15" t="s">
        <v>104</v>
      </c>
      <c r="K1912" s="15" t="s">
        <v>123</v>
      </c>
    </row>
    <row r="1913" customFormat="false" ht="14.25" hidden="false" customHeight="false" outlineLevel="0" collapsed="false">
      <c r="A1913" s="15" t="s">
        <v>2421</v>
      </c>
      <c r="B1913" s="16" t="n">
        <v>45610</v>
      </c>
      <c r="C1913" s="15" t="s">
        <v>347</v>
      </c>
      <c r="D1913" s="15" t="s">
        <v>126</v>
      </c>
      <c r="E1913" s="15" t="s">
        <v>127</v>
      </c>
      <c r="F1913" s="17" t="n">
        <v>9</v>
      </c>
      <c r="G1913" s="17" t="n">
        <v>960</v>
      </c>
      <c r="H1913" s="17" t="n">
        <v>29</v>
      </c>
      <c r="I1913" s="17" t="n">
        <v>6134.4</v>
      </c>
      <c r="J1913" s="15" t="s">
        <v>98</v>
      </c>
      <c r="K1913" s="15" t="s">
        <v>123</v>
      </c>
    </row>
    <row r="1914" customFormat="false" ht="14.25" hidden="false" customHeight="false" outlineLevel="0" collapsed="false">
      <c r="A1914" s="15" t="s">
        <v>2422</v>
      </c>
      <c r="B1914" s="16" t="n">
        <v>45535</v>
      </c>
      <c r="C1914" s="15" t="s">
        <v>368</v>
      </c>
      <c r="D1914" s="15" t="s">
        <v>252</v>
      </c>
      <c r="E1914" s="15" t="s">
        <v>199</v>
      </c>
      <c r="F1914" s="17" t="n">
        <v>9</v>
      </c>
      <c r="G1914" s="17" t="n">
        <v>6080</v>
      </c>
      <c r="H1914" s="17" t="n">
        <v>21</v>
      </c>
      <c r="I1914" s="17" t="n">
        <v>43228.8</v>
      </c>
      <c r="J1914" s="15" t="s">
        <v>98</v>
      </c>
      <c r="K1914" s="15" t="s">
        <v>110</v>
      </c>
    </row>
    <row r="1915" customFormat="false" ht="14.25" hidden="false" customHeight="false" outlineLevel="0" collapsed="false">
      <c r="A1915" s="15" t="s">
        <v>2423</v>
      </c>
      <c r="B1915" s="16" t="n">
        <v>45366</v>
      </c>
      <c r="C1915" s="15" t="s">
        <v>180</v>
      </c>
      <c r="D1915" s="15" t="s">
        <v>281</v>
      </c>
      <c r="E1915" s="15" t="s">
        <v>203</v>
      </c>
      <c r="F1915" s="17" t="n">
        <v>6</v>
      </c>
      <c r="G1915" s="17" t="n">
        <v>4610</v>
      </c>
      <c r="H1915" s="17" t="n">
        <v>13.5</v>
      </c>
      <c r="I1915" s="17" t="n">
        <v>23925.9</v>
      </c>
      <c r="J1915" s="15" t="s">
        <v>98</v>
      </c>
      <c r="K1915" s="15" t="s">
        <v>123</v>
      </c>
    </row>
    <row r="1916" customFormat="false" ht="14.25" hidden="false" customHeight="false" outlineLevel="0" collapsed="false">
      <c r="A1916" s="15" t="s">
        <v>2424</v>
      </c>
      <c r="B1916" s="16" t="n">
        <v>45446</v>
      </c>
      <c r="C1916" s="15" t="s">
        <v>552</v>
      </c>
      <c r="D1916" s="15" t="s">
        <v>454</v>
      </c>
      <c r="E1916" s="15" t="s">
        <v>169</v>
      </c>
      <c r="F1916" s="17" t="n">
        <v>7</v>
      </c>
      <c r="G1916" s="17" t="n">
        <v>5080</v>
      </c>
      <c r="H1916" s="17" t="n">
        <v>25.4</v>
      </c>
      <c r="I1916" s="17" t="n">
        <v>26527.76</v>
      </c>
      <c r="J1916" s="15" t="s">
        <v>98</v>
      </c>
      <c r="K1916" s="15" t="s">
        <v>105</v>
      </c>
    </row>
    <row r="1917" customFormat="false" ht="14.25" hidden="false" customHeight="false" outlineLevel="0" collapsed="false">
      <c r="A1917" s="15" t="s">
        <v>2425</v>
      </c>
      <c r="B1917" s="16" t="n">
        <v>45550</v>
      </c>
      <c r="C1917" s="15" t="s">
        <v>564</v>
      </c>
      <c r="D1917" s="15" t="s">
        <v>190</v>
      </c>
      <c r="E1917" s="15" t="s">
        <v>249</v>
      </c>
      <c r="F1917" s="17" t="n">
        <v>5</v>
      </c>
      <c r="G1917" s="17" t="n">
        <v>3350</v>
      </c>
      <c r="H1917" s="17" t="n">
        <v>2.2</v>
      </c>
      <c r="I1917" s="17" t="n">
        <v>16381.5</v>
      </c>
      <c r="J1917" s="15" t="s">
        <v>98</v>
      </c>
      <c r="K1917" s="15" t="s">
        <v>123</v>
      </c>
    </row>
    <row r="1918" customFormat="false" ht="14.25" hidden="false" customHeight="false" outlineLevel="0" collapsed="false">
      <c r="A1918" s="15" t="s">
        <v>2426</v>
      </c>
      <c r="B1918" s="16" t="n">
        <v>45600</v>
      </c>
      <c r="C1918" s="15" t="s">
        <v>921</v>
      </c>
      <c r="D1918" s="15" t="s">
        <v>245</v>
      </c>
      <c r="E1918" s="15" t="s">
        <v>109</v>
      </c>
      <c r="F1918" s="17" t="n">
        <v>1</v>
      </c>
      <c r="G1918" s="17" t="n">
        <v>3780</v>
      </c>
      <c r="H1918" s="17" t="n">
        <v>13.7</v>
      </c>
      <c r="I1918" s="17" t="n">
        <v>3262.14</v>
      </c>
      <c r="J1918" s="15" t="s">
        <v>98</v>
      </c>
      <c r="K1918" s="15" t="s">
        <v>110</v>
      </c>
    </row>
    <row r="1919" customFormat="false" ht="14.25" hidden="false" customHeight="false" outlineLevel="0" collapsed="false">
      <c r="A1919" s="15" t="s">
        <v>2427</v>
      </c>
      <c r="B1919" s="16" t="n">
        <v>45352</v>
      </c>
      <c r="C1919" s="15" t="s">
        <v>189</v>
      </c>
      <c r="D1919" s="15" t="s">
        <v>195</v>
      </c>
      <c r="E1919" s="15" t="s">
        <v>203</v>
      </c>
      <c r="F1919" s="17" t="n">
        <v>4</v>
      </c>
      <c r="G1919" s="17" t="n">
        <v>4880</v>
      </c>
      <c r="H1919" s="17" t="n">
        <v>11.6</v>
      </c>
      <c r="I1919" s="17" t="n">
        <v>17255.68</v>
      </c>
      <c r="J1919" s="15" t="s">
        <v>98</v>
      </c>
      <c r="K1919" s="15" t="s">
        <v>105</v>
      </c>
    </row>
    <row r="1920" customFormat="false" ht="14.25" hidden="false" customHeight="false" outlineLevel="0" collapsed="false">
      <c r="A1920" s="15" t="s">
        <v>2428</v>
      </c>
      <c r="B1920" s="16" t="n">
        <v>45385</v>
      </c>
      <c r="C1920" s="15" t="s">
        <v>673</v>
      </c>
      <c r="D1920" s="15" t="s">
        <v>202</v>
      </c>
      <c r="E1920" s="15" t="s">
        <v>240</v>
      </c>
      <c r="F1920" s="17" t="n">
        <v>3</v>
      </c>
      <c r="G1920" s="17" t="n">
        <v>5100</v>
      </c>
      <c r="H1920" s="17" t="n">
        <v>24.2</v>
      </c>
      <c r="I1920" s="17" t="n">
        <v>11597.4</v>
      </c>
      <c r="J1920" s="15" t="s">
        <v>98</v>
      </c>
      <c r="K1920" s="15" t="s">
        <v>2429</v>
      </c>
    </row>
    <row r="1921" customFormat="false" ht="14.25" hidden="false" customHeight="false" outlineLevel="0" collapsed="false">
      <c r="A1921" s="15" t="s">
        <v>2430</v>
      </c>
      <c r="B1921" s="16" t="n">
        <v>45634</v>
      </c>
      <c r="C1921" s="15" t="s">
        <v>790</v>
      </c>
      <c r="D1921" s="15" t="s">
        <v>290</v>
      </c>
      <c r="E1921" s="15" t="s">
        <v>165</v>
      </c>
      <c r="F1921" s="17" t="n">
        <v>5</v>
      </c>
      <c r="G1921" s="17" t="n">
        <v>2660</v>
      </c>
      <c r="H1921" s="17" t="n">
        <v>4.7</v>
      </c>
      <c r="I1921" s="17" t="n">
        <v>12674.9</v>
      </c>
      <c r="J1921" s="15" t="s">
        <v>98</v>
      </c>
      <c r="K1921" s="15" t="s">
        <v>128</v>
      </c>
    </row>
    <row r="1922" customFormat="false" ht="14.25" hidden="false" customHeight="false" outlineLevel="0" collapsed="false">
      <c r="A1922" s="15" t="s">
        <v>2431</v>
      </c>
      <c r="B1922" s="16" t="n">
        <v>45444</v>
      </c>
      <c r="C1922" s="15" t="s">
        <v>370</v>
      </c>
      <c r="D1922" s="15" t="s">
        <v>378</v>
      </c>
      <c r="E1922" s="15" t="s">
        <v>249</v>
      </c>
      <c r="F1922" s="17" t="n">
        <v>10</v>
      </c>
      <c r="G1922" s="17" t="n">
        <v>2380</v>
      </c>
      <c r="H1922" s="17" t="n">
        <v>1</v>
      </c>
      <c r="I1922" s="17" t="n">
        <v>23562</v>
      </c>
      <c r="J1922" s="15" t="s">
        <v>98</v>
      </c>
      <c r="K1922" s="15" t="s">
        <v>110</v>
      </c>
    </row>
    <row r="1923" customFormat="false" ht="14.25" hidden="false" customHeight="false" outlineLevel="0" collapsed="false">
      <c r="A1923" s="15" t="s">
        <v>2432</v>
      </c>
      <c r="B1923" s="16" t="n">
        <v>45553</v>
      </c>
      <c r="C1923" s="15" t="s">
        <v>827</v>
      </c>
      <c r="D1923" s="15" t="s">
        <v>195</v>
      </c>
      <c r="E1923" s="15" t="s">
        <v>308</v>
      </c>
      <c r="F1923" s="17" t="n">
        <v>9</v>
      </c>
      <c r="G1923" s="17" t="n">
        <v>4880</v>
      </c>
      <c r="H1923" s="17" t="n">
        <v>7.2</v>
      </c>
      <c r="I1923" s="17" t="n">
        <v>40757.76</v>
      </c>
      <c r="J1923" s="15" t="s">
        <v>98</v>
      </c>
      <c r="K1923" s="15" t="s">
        <v>99</v>
      </c>
    </row>
    <row r="1924" customFormat="false" ht="14.25" hidden="false" customHeight="false" outlineLevel="0" collapsed="false">
      <c r="A1924" s="15" t="s">
        <v>2433</v>
      </c>
      <c r="B1924" s="16" t="n">
        <v>45411</v>
      </c>
      <c r="C1924" s="15" t="s">
        <v>1204</v>
      </c>
      <c r="D1924" s="15" t="s">
        <v>237</v>
      </c>
      <c r="E1924" s="15" t="s">
        <v>109</v>
      </c>
      <c r="F1924" s="17" t="n">
        <v>1</v>
      </c>
      <c r="G1924" s="17" t="n">
        <v>3730</v>
      </c>
      <c r="H1924" s="17" t="n">
        <v>15.3</v>
      </c>
      <c r="I1924" s="17" t="n">
        <v>3159.31</v>
      </c>
      <c r="J1924" s="15" t="s">
        <v>98</v>
      </c>
      <c r="K1924" s="15" t="s">
        <v>144</v>
      </c>
    </row>
    <row r="1925" customFormat="false" ht="14.25" hidden="false" customHeight="false" outlineLevel="0" collapsed="false">
      <c r="A1925" s="15" t="s">
        <v>2434</v>
      </c>
      <c r="B1925" s="16" t="n">
        <v>45442</v>
      </c>
      <c r="C1925" s="15" t="s">
        <v>125</v>
      </c>
      <c r="D1925" s="15" t="s">
        <v>472</v>
      </c>
      <c r="E1925" s="15" t="s">
        <v>159</v>
      </c>
      <c r="F1925" s="17" t="n">
        <v>10</v>
      </c>
      <c r="G1925" s="17" t="n">
        <v>3780</v>
      </c>
      <c r="H1925" s="17" t="n">
        <v>2.7</v>
      </c>
      <c r="I1925" s="17" t="n">
        <v>36779.4</v>
      </c>
      <c r="J1925" s="15" t="s">
        <v>98</v>
      </c>
      <c r="K1925" s="15" t="s">
        <v>128</v>
      </c>
    </row>
    <row r="1926" customFormat="false" ht="14.25" hidden="false" customHeight="false" outlineLevel="0" collapsed="false">
      <c r="A1926" s="15" t="s">
        <v>2435</v>
      </c>
      <c r="B1926" s="16" t="n">
        <v>45381</v>
      </c>
      <c r="C1926" s="15" t="s">
        <v>1319</v>
      </c>
      <c r="D1926" s="15" t="s">
        <v>96</v>
      </c>
      <c r="E1926" s="15" t="s">
        <v>165</v>
      </c>
      <c r="F1926" s="17" t="n">
        <v>2</v>
      </c>
      <c r="G1926" s="17" t="n">
        <v>3620</v>
      </c>
      <c r="H1926" s="17" t="n">
        <v>23</v>
      </c>
      <c r="I1926" s="17" t="n">
        <v>5574.8</v>
      </c>
      <c r="J1926" s="15" t="s">
        <v>98</v>
      </c>
      <c r="K1926" s="15" t="s">
        <v>105</v>
      </c>
    </row>
    <row r="1927" customFormat="false" ht="14.25" hidden="false" customHeight="false" outlineLevel="0" collapsed="false">
      <c r="A1927" s="15" t="s">
        <v>2436</v>
      </c>
      <c r="B1927" s="16" t="n">
        <v>45536</v>
      </c>
      <c r="C1927" s="15" t="s">
        <v>718</v>
      </c>
      <c r="D1927" s="15" t="s">
        <v>454</v>
      </c>
      <c r="E1927" s="15" t="s">
        <v>169</v>
      </c>
      <c r="F1927" s="17" t="n">
        <v>9</v>
      </c>
      <c r="G1927" s="17" t="n">
        <v>5080</v>
      </c>
      <c r="H1927" s="17" t="n">
        <v>19.9</v>
      </c>
      <c r="I1927" s="17" t="n">
        <v>36621.72</v>
      </c>
      <c r="J1927" s="15" t="s">
        <v>98</v>
      </c>
      <c r="K1927" s="15" t="s">
        <v>123</v>
      </c>
    </row>
    <row r="1928" customFormat="false" ht="14.25" hidden="false" customHeight="false" outlineLevel="0" collapsed="false">
      <c r="A1928" s="15" t="s">
        <v>2437</v>
      </c>
      <c r="B1928" s="16" t="n">
        <v>45561</v>
      </c>
      <c r="C1928" s="15" t="s">
        <v>405</v>
      </c>
      <c r="D1928" s="15" t="s">
        <v>670</v>
      </c>
      <c r="E1928" s="15" t="s">
        <v>127</v>
      </c>
      <c r="F1928" s="17" t="n">
        <v>2</v>
      </c>
      <c r="G1928" s="17" t="n">
        <v>3560</v>
      </c>
      <c r="H1928" s="17" t="n">
        <v>5.5</v>
      </c>
      <c r="I1928" s="17" t="n">
        <v>6728.4</v>
      </c>
      <c r="J1928" s="15" t="s">
        <v>98</v>
      </c>
      <c r="K1928" s="15" t="s">
        <v>128</v>
      </c>
    </row>
    <row r="1929" customFormat="false" ht="14.25" hidden="false" customHeight="false" outlineLevel="0" collapsed="false">
      <c r="A1929" s="15" t="s">
        <v>2438</v>
      </c>
      <c r="B1929" s="16" t="n">
        <v>45349</v>
      </c>
      <c r="C1929" s="15" t="s">
        <v>566</v>
      </c>
      <c r="D1929" s="15" t="s">
        <v>138</v>
      </c>
      <c r="E1929" s="15" t="s">
        <v>226</v>
      </c>
      <c r="F1929" s="17" t="n">
        <v>6</v>
      </c>
      <c r="G1929" s="17" t="n">
        <v>970</v>
      </c>
      <c r="H1929" s="17" t="n">
        <v>22.5</v>
      </c>
      <c r="I1929" s="17" t="n">
        <v>4510.5</v>
      </c>
      <c r="J1929" s="15" t="s">
        <v>155</v>
      </c>
      <c r="K1929" s="15" t="s">
        <v>123</v>
      </c>
    </row>
    <row r="1930" customFormat="false" ht="14.25" hidden="false" customHeight="false" outlineLevel="0" collapsed="false">
      <c r="A1930" s="15" t="s">
        <v>2439</v>
      </c>
      <c r="B1930" s="16" t="n">
        <v>45650</v>
      </c>
      <c r="C1930" s="15" t="s">
        <v>967</v>
      </c>
      <c r="D1930" s="15" t="s">
        <v>190</v>
      </c>
      <c r="E1930" s="15" t="s">
        <v>109</v>
      </c>
      <c r="F1930" s="17" t="n">
        <v>9</v>
      </c>
      <c r="G1930" s="17" t="n">
        <v>3350</v>
      </c>
      <c r="H1930" s="17" t="n">
        <v>5.1</v>
      </c>
      <c r="I1930" s="17" t="n">
        <v>28612.35</v>
      </c>
      <c r="J1930" s="15" t="s">
        <v>98</v>
      </c>
      <c r="K1930" s="15" t="s">
        <v>123</v>
      </c>
    </row>
    <row r="1931" customFormat="false" ht="14.25" hidden="false" customHeight="false" outlineLevel="0" collapsed="false">
      <c r="A1931" s="15" t="s">
        <v>2440</v>
      </c>
      <c r="B1931" s="16" t="n">
        <v>45525</v>
      </c>
      <c r="C1931" s="15" t="s">
        <v>2441</v>
      </c>
      <c r="D1931" s="15" t="s">
        <v>121</v>
      </c>
      <c r="E1931" s="15" t="s">
        <v>284</v>
      </c>
      <c r="F1931" s="17" t="n">
        <v>6</v>
      </c>
      <c r="G1931" s="17" t="n">
        <v>370</v>
      </c>
      <c r="H1931" s="17" t="n">
        <v>17.8</v>
      </c>
      <c r="I1931" s="17" t="n">
        <v>1824.84</v>
      </c>
      <c r="J1931" s="15" t="s">
        <v>98</v>
      </c>
      <c r="K1931" s="15" t="s">
        <v>123</v>
      </c>
    </row>
    <row r="1932" customFormat="false" ht="14.25" hidden="false" customHeight="false" outlineLevel="0" collapsed="false">
      <c r="A1932" s="15" t="s">
        <v>2442</v>
      </c>
      <c r="B1932" s="16" t="n">
        <v>45365</v>
      </c>
      <c r="C1932" s="15" t="s">
        <v>277</v>
      </c>
      <c r="D1932" s="15" t="s">
        <v>142</v>
      </c>
      <c r="E1932" s="15" t="s">
        <v>284</v>
      </c>
      <c r="F1932" s="17" t="n">
        <v>3</v>
      </c>
      <c r="G1932" s="17" t="n">
        <v>2270</v>
      </c>
      <c r="H1932" s="17" t="n">
        <v>8.4</v>
      </c>
      <c r="I1932" s="17" t="n">
        <v>6237.96</v>
      </c>
      <c r="J1932" s="15" t="s">
        <v>104</v>
      </c>
      <c r="K1932" s="15" t="s">
        <v>110</v>
      </c>
    </row>
    <row r="1933" customFormat="false" ht="14.25" hidden="false" customHeight="false" outlineLevel="0" collapsed="false">
      <c r="A1933" s="15" t="s">
        <v>2443</v>
      </c>
      <c r="B1933" s="16" t="n">
        <v>45464</v>
      </c>
      <c r="C1933" s="15" t="s">
        <v>578</v>
      </c>
      <c r="D1933" s="15" t="s">
        <v>172</v>
      </c>
      <c r="E1933" s="15" t="s">
        <v>169</v>
      </c>
      <c r="F1933" s="17" t="n">
        <v>3</v>
      </c>
      <c r="G1933" s="17" t="n">
        <v>3450</v>
      </c>
      <c r="H1933" s="17" t="n">
        <v>7.2</v>
      </c>
      <c r="I1933" s="17" t="n">
        <v>9604.8</v>
      </c>
      <c r="J1933" s="15" t="s">
        <v>98</v>
      </c>
      <c r="K1933" s="15" t="s">
        <v>128</v>
      </c>
    </row>
    <row r="1934" customFormat="false" ht="14.25" hidden="false" customHeight="false" outlineLevel="0" collapsed="false">
      <c r="A1934" s="15" t="s">
        <v>2444</v>
      </c>
      <c r="B1934" s="16" t="n">
        <v>45633</v>
      </c>
      <c r="C1934" s="15" t="s">
        <v>310</v>
      </c>
      <c r="D1934" s="15" t="s">
        <v>193</v>
      </c>
      <c r="E1934" s="15" t="s">
        <v>118</v>
      </c>
      <c r="F1934" s="17" t="n">
        <v>9</v>
      </c>
      <c r="G1934" s="17" t="n">
        <v>1010</v>
      </c>
      <c r="H1934" s="17" t="n">
        <v>17.8</v>
      </c>
      <c r="I1934" s="17" t="n">
        <v>7471.98</v>
      </c>
      <c r="J1934" s="15" t="s">
        <v>98</v>
      </c>
      <c r="K1934" s="15" t="s">
        <v>144</v>
      </c>
    </row>
    <row r="1935" customFormat="false" ht="14.25" hidden="false" customHeight="false" outlineLevel="0" collapsed="false">
      <c r="A1935" s="15" t="s">
        <v>2445</v>
      </c>
      <c r="B1935" s="16" t="n">
        <v>45373</v>
      </c>
      <c r="C1935" s="15" t="s">
        <v>1047</v>
      </c>
      <c r="D1935" s="15" t="s">
        <v>281</v>
      </c>
      <c r="E1935" s="15" t="s">
        <v>159</v>
      </c>
      <c r="F1935" s="17" t="n">
        <v>5</v>
      </c>
      <c r="G1935" s="17" t="n">
        <v>4610</v>
      </c>
      <c r="H1935" s="17" t="n">
        <v>29.8</v>
      </c>
      <c r="I1935" s="17" t="n">
        <v>16181.1</v>
      </c>
      <c r="J1935" s="15" t="s">
        <v>151</v>
      </c>
      <c r="K1935" s="15" t="s">
        <v>123</v>
      </c>
    </row>
    <row r="1936" customFormat="false" ht="14.25" hidden="false" customHeight="false" outlineLevel="0" collapsed="false">
      <c r="A1936" s="15" t="s">
        <v>2446</v>
      </c>
      <c r="B1936" s="16" t="n">
        <v>45497</v>
      </c>
      <c r="C1936" s="15" t="s">
        <v>501</v>
      </c>
      <c r="D1936" s="15" t="s">
        <v>121</v>
      </c>
      <c r="E1936" s="15" t="s">
        <v>159</v>
      </c>
      <c r="F1936" s="17" t="n">
        <v>6</v>
      </c>
      <c r="G1936" s="17" t="n">
        <v>370</v>
      </c>
      <c r="H1936" s="17" t="n">
        <v>17.9</v>
      </c>
      <c r="I1936" s="17" t="n">
        <v>1822.62</v>
      </c>
      <c r="J1936" s="15" t="s">
        <v>98</v>
      </c>
      <c r="K1936" s="15" t="s">
        <v>110</v>
      </c>
    </row>
    <row r="1937" customFormat="false" ht="14.25" hidden="false" customHeight="false" outlineLevel="0" collapsed="false">
      <c r="A1937" s="15" t="s">
        <v>2447</v>
      </c>
      <c r="B1937" s="16" t="n">
        <v>45352</v>
      </c>
      <c r="C1937" s="15" t="s">
        <v>416</v>
      </c>
      <c r="D1937" s="15" t="s">
        <v>378</v>
      </c>
      <c r="E1937" s="15" t="s">
        <v>212</v>
      </c>
      <c r="F1937" s="17" t="n">
        <v>6</v>
      </c>
      <c r="G1937" s="17" t="n">
        <v>2380</v>
      </c>
      <c r="H1937" s="17" t="n">
        <v>13.6</v>
      </c>
      <c r="I1937" s="17" t="n">
        <v>12337.92</v>
      </c>
      <c r="J1937" s="15" t="s">
        <v>151</v>
      </c>
      <c r="K1937" s="15" t="s">
        <v>105</v>
      </c>
    </row>
    <row r="1938" customFormat="false" ht="14.25" hidden="false" customHeight="false" outlineLevel="0" collapsed="false">
      <c r="A1938" s="15" t="s">
        <v>2448</v>
      </c>
      <c r="B1938" s="16" t="n">
        <v>45379</v>
      </c>
      <c r="C1938" s="15" t="s">
        <v>186</v>
      </c>
      <c r="D1938" s="15" t="s">
        <v>391</v>
      </c>
      <c r="E1938" s="15" t="s">
        <v>165</v>
      </c>
      <c r="F1938" s="17" t="n">
        <v>6</v>
      </c>
      <c r="G1938" s="17" t="n">
        <v>960</v>
      </c>
      <c r="H1938" s="17" t="n">
        <v>15</v>
      </c>
      <c r="I1938" s="17" t="n">
        <v>4896</v>
      </c>
      <c r="J1938" s="15" t="s">
        <v>104</v>
      </c>
      <c r="K1938" s="15" t="s">
        <v>144</v>
      </c>
    </row>
    <row r="1939" customFormat="false" ht="14.25" hidden="false" customHeight="false" outlineLevel="0" collapsed="false">
      <c r="A1939" s="15" t="s">
        <v>2449</v>
      </c>
      <c r="B1939" s="16" t="n">
        <v>45422</v>
      </c>
      <c r="C1939" s="15" t="s">
        <v>731</v>
      </c>
      <c r="D1939" s="15" t="s">
        <v>126</v>
      </c>
      <c r="E1939" s="15" t="s">
        <v>308</v>
      </c>
      <c r="F1939" s="17" t="n">
        <v>3</v>
      </c>
      <c r="G1939" s="17" t="n">
        <v>960</v>
      </c>
      <c r="H1939" s="17" t="n">
        <v>12.3</v>
      </c>
      <c r="I1939" s="17" t="n">
        <v>2525.76</v>
      </c>
      <c r="J1939" s="15" t="s">
        <v>98</v>
      </c>
      <c r="K1939" s="15" t="s">
        <v>99</v>
      </c>
    </row>
    <row r="1940" customFormat="false" ht="14.25" hidden="false" customHeight="false" outlineLevel="0" collapsed="false">
      <c r="A1940" s="15" t="s">
        <v>2450</v>
      </c>
      <c r="B1940" s="16" t="n">
        <v>45413</v>
      </c>
      <c r="C1940" s="15" t="s">
        <v>568</v>
      </c>
      <c r="D1940" s="15" t="s">
        <v>303</v>
      </c>
      <c r="E1940" s="15" t="s">
        <v>240</v>
      </c>
      <c r="F1940" s="17" t="n">
        <v>7</v>
      </c>
      <c r="G1940" s="17" t="n">
        <v>620</v>
      </c>
      <c r="H1940" s="17" t="n">
        <v>5.8</v>
      </c>
      <c r="I1940" s="17" t="n">
        <v>4088.28</v>
      </c>
      <c r="J1940" s="15" t="s">
        <v>98</v>
      </c>
      <c r="K1940" s="15" t="s">
        <v>123</v>
      </c>
    </row>
    <row r="1941" customFormat="false" ht="14.25" hidden="false" customHeight="false" outlineLevel="0" collapsed="false">
      <c r="A1941" s="15" t="s">
        <v>2451</v>
      </c>
      <c r="B1941" s="16" t="n">
        <v>45467</v>
      </c>
      <c r="C1941" s="15" t="s">
        <v>746</v>
      </c>
      <c r="D1941" s="15" t="s">
        <v>126</v>
      </c>
      <c r="E1941" s="15" t="s">
        <v>203</v>
      </c>
      <c r="F1941" s="17" t="n">
        <v>1</v>
      </c>
      <c r="G1941" s="17" t="n">
        <v>960</v>
      </c>
      <c r="H1941" s="17" t="n">
        <v>4.6</v>
      </c>
      <c r="I1941" s="17" t="n">
        <v>915.84</v>
      </c>
      <c r="J1941" s="15" t="s">
        <v>98</v>
      </c>
      <c r="K1941" s="15" t="s">
        <v>99</v>
      </c>
    </row>
    <row r="1942" customFormat="false" ht="14.25" hidden="false" customHeight="false" outlineLevel="0" collapsed="false">
      <c r="A1942" s="15" t="s">
        <v>2452</v>
      </c>
      <c r="B1942" s="16" t="n">
        <v>45520</v>
      </c>
      <c r="C1942" s="15" t="s">
        <v>504</v>
      </c>
      <c r="D1942" s="15" t="s">
        <v>168</v>
      </c>
      <c r="E1942" s="15" t="s">
        <v>139</v>
      </c>
      <c r="F1942" s="17" t="n">
        <v>4</v>
      </c>
      <c r="G1942" s="17" t="n">
        <v>3450</v>
      </c>
      <c r="H1942" s="17" t="n">
        <v>13.3</v>
      </c>
      <c r="I1942" s="17" t="n">
        <v>11964.6</v>
      </c>
      <c r="J1942" s="15" t="s">
        <v>98</v>
      </c>
      <c r="K1942" s="15" t="s">
        <v>99</v>
      </c>
    </row>
    <row r="1943" customFormat="false" ht="14.25" hidden="false" customHeight="false" outlineLevel="0" collapsed="false">
      <c r="A1943" s="15" t="s">
        <v>2453</v>
      </c>
      <c r="B1943" s="16" t="n">
        <v>45626</v>
      </c>
      <c r="C1943" s="15" t="s">
        <v>572</v>
      </c>
      <c r="D1943" s="15" t="s">
        <v>184</v>
      </c>
      <c r="E1943" s="15" t="s">
        <v>132</v>
      </c>
      <c r="F1943" s="17" t="n">
        <v>10</v>
      </c>
      <c r="G1943" s="17" t="n">
        <v>2720</v>
      </c>
      <c r="H1943" s="17" t="n">
        <v>3.4</v>
      </c>
      <c r="I1943" s="17" t="n">
        <v>26275.2</v>
      </c>
      <c r="J1943" s="15" t="s">
        <v>98</v>
      </c>
      <c r="K1943" s="15" t="s">
        <v>144</v>
      </c>
    </row>
    <row r="1944" customFormat="false" ht="14.25" hidden="false" customHeight="false" outlineLevel="0" collapsed="false">
      <c r="A1944" s="15" t="s">
        <v>2454</v>
      </c>
      <c r="B1944" s="16" t="n">
        <v>45452</v>
      </c>
      <c r="C1944" s="15" t="s">
        <v>628</v>
      </c>
      <c r="D1944" s="15" t="s">
        <v>168</v>
      </c>
      <c r="E1944" s="15" t="s">
        <v>132</v>
      </c>
      <c r="F1944" s="17" t="n">
        <v>1</v>
      </c>
      <c r="G1944" s="17" t="n">
        <v>3450</v>
      </c>
      <c r="H1944" s="17" t="n">
        <v>29.4</v>
      </c>
      <c r="I1944" s="17" t="n">
        <v>2435.7</v>
      </c>
      <c r="J1944" s="15" t="s">
        <v>98</v>
      </c>
      <c r="K1944" s="15" t="s">
        <v>123</v>
      </c>
    </row>
    <row r="1945" customFormat="false" ht="14.25" hidden="false" customHeight="false" outlineLevel="0" collapsed="false">
      <c r="A1945" s="15" t="s">
        <v>2455</v>
      </c>
      <c r="B1945" s="16" t="n">
        <v>45529</v>
      </c>
      <c r="C1945" s="15" t="s">
        <v>568</v>
      </c>
      <c r="D1945" s="15" t="s">
        <v>187</v>
      </c>
      <c r="E1945" s="15" t="s">
        <v>127</v>
      </c>
      <c r="F1945" s="17" t="n">
        <v>5</v>
      </c>
      <c r="G1945" s="17" t="n">
        <v>1650</v>
      </c>
      <c r="H1945" s="17" t="n">
        <v>29.4</v>
      </c>
      <c r="I1945" s="17" t="n">
        <v>5824.5</v>
      </c>
      <c r="J1945" s="15" t="s">
        <v>98</v>
      </c>
      <c r="K1945" s="15" t="s">
        <v>123</v>
      </c>
    </row>
    <row r="1946" customFormat="false" ht="14.25" hidden="false" customHeight="false" outlineLevel="0" collapsed="false">
      <c r="A1946" s="15" t="s">
        <v>2456</v>
      </c>
      <c r="B1946" s="16" t="n">
        <v>45639</v>
      </c>
      <c r="C1946" s="15" t="s">
        <v>792</v>
      </c>
      <c r="D1946" s="15" t="s">
        <v>96</v>
      </c>
      <c r="E1946" s="15" t="s">
        <v>215</v>
      </c>
      <c r="F1946" s="17" t="n">
        <v>2</v>
      </c>
      <c r="G1946" s="17" t="n">
        <v>3620</v>
      </c>
      <c r="H1946" s="17" t="n">
        <v>15.6</v>
      </c>
      <c r="I1946" s="17" t="n">
        <v>6110.56</v>
      </c>
      <c r="J1946" s="15" t="s">
        <v>98</v>
      </c>
      <c r="K1946" s="15" t="s">
        <v>110</v>
      </c>
    </row>
    <row r="1947" customFormat="false" ht="14.25" hidden="false" customHeight="false" outlineLevel="0" collapsed="false">
      <c r="A1947" s="15" t="s">
        <v>2457</v>
      </c>
      <c r="B1947" s="16" t="n">
        <v>45592</v>
      </c>
      <c r="C1947" s="15" t="s">
        <v>107</v>
      </c>
      <c r="D1947" s="15" t="s">
        <v>293</v>
      </c>
      <c r="E1947" s="15" t="s">
        <v>336</v>
      </c>
      <c r="F1947" s="17" t="n">
        <v>3</v>
      </c>
      <c r="G1947" s="17" t="n">
        <v>300</v>
      </c>
      <c r="H1947" s="17" t="n">
        <v>24.8</v>
      </c>
      <c r="I1947" s="17" t="n">
        <v>676.8</v>
      </c>
      <c r="J1947" s="15" t="s">
        <v>98</v>
      </c>
      <c r="K1947" s="15" t="s">
        <v>110</v>
      </c>
    </row>
    <row r="1948" customFormat="false" ht="14.25" hidden="false" customHeight="false" outlineLevel="0" collapsed="false">
      <c r="A1948" s="15" t="s">
        <v>2458</v>
      </c>
      <c r="B1948" s="16" t="n">
        <v>45338</v>
      </c>
      <c r="C1948" s="15" t="s">
        <v>283</v>
      </c>
      <c r="D1948" s="15" t="s">
        <v>270</v>
      </c>
      <c r="E1948" s="15" t="s">
        <v>226</v>
      </c>
      <c r="F1948" s="17" t="n">
        <v>3</v>
      </c>
      <c r="G1948" s="17" t="n">
        <v>1540</v>
      </c>
      <c r="H1948" s="17" t="n">
        <v>29.5</v>
      </c>
      <c r="I1948" s="17" t="n">
        <v>3257.1</v>
      </c>
      <c r="J1948" s="15" t="s">
        <v>98</v>
      </c>
      <c r="K1948" s="15" t="s">
        <v>105</v>
      </c>
    </row>
    <row r="1949" customFormat="false" ht="14.25" hidden="false" customHeight="false" outlineLevel="0" collapsed="false">
      <c r="A1949" s="15" t="s">
        <v>2459</v>
      </c>
      <c r="B1949" s="16" t="n">
        <v>45551</v>
      </c>
      <c r="C1949" s="15" t="s">
        <v>790</v>
      </c>
      <c r="D1949" s="15" t="s">
        <v>142</v>
      </c>
      <c r="E1949" s="15" t="s">
        <v>132</v>
      </c>
      <c r="F1949" s="17" t="n">
        <v>10</v>
      </c>
      <c r="G1949" s="17" t="n">
        <v>2270</v>
      </c>
      <c r="H1949" s="17" t="n">
        <v>5.5</v>
      </c>
      <c r="I1949" s="17" t="n">
        <v>21451.5</v>
      </c>
      <c r="J1949" s="15" t="s">
        <v>151</v>
      </c>
      <c r="K1949" s="15" t="s">
        <v>128</v>
      </c>
    </row>
    <row r="1950" customFormat="false" ht="14.25" hidden="false" customHeight="false" outlineLevel="0" collapsed="false">
      <c r="A1950" s="15" t="s">
        <v>2460</v>
      </c>
      <c r="B1950" s="16" t="n">
        <v>45350</v>
      </c>
      <c r="C1950" s="15" t="s">
        <v>867</v>
      </c>
      <c r="D1950" s="15" t="s">
        <v>146</v>
      </c>
      <c r="E1950" s="15" t="s">
        <v>118</v>
      </c>
      <c r="F1950" s="17" t="n">
        <v>3</v>
      </c>
      <c r="G1950" s="17" t="n">
        <v>2640</v>
      </c>
      <c r="H1950" s="17" t="n">
        <v>28.2</v>
      </c>
      <c r="I1950" s="17" t="n">
        <v>5686.56</v>
      </c>
      <c r="J1950" s="15" t="s">
        <v>155</v>
      </c>
      <c r="K1950" s="15" t="s">
        <v>99</v>
      </c>
    </row>
    <row r="1951" customFormat="false" ht="14.25" hidden="false" customHeight="false" outlineLevel="0" collapsed="false">
      <c r="A1951" s="15" t="s">
        <v>2461</v>
      </c>
      <c r="B1951" s="16" t="n">
        <v>45507</v>
      </c>
      <c r="C1951" s="15" t="s">
        <v>1261</v>
      </c>
      <c r="D1951" s="15" t="s">
        <v>146</v>
      </c>
      <c r="E1951" s="15" t="s">
        <v>199</v>
      </c>
      <c r="F1951" s="17" t="n">
        <v>10</v>
      </c>
      <c r="G1951" s="17" t="n">
        <v>2640</v>
      </c>
      <c r="H1951" s="17" t="n">
        <v>25.9</v>
      </c>
      <c r="I1951" s="17" t="n">
        <v>19562.4</v>
      </c>
      <c r="J1951" s="15" t="s">
        <v>98</v>
      </c>
      <c r="K1951" s="15" t="s">
        <v>99</v>
      </c>
    </row>
    <row r="1952" customFormat="false" ht="14.25" hidden="false" customHeight="false" outlineLevel="0" collapsed="false">
      <c r="A1952" s="15" t="s">
        <v>2462</v>
      </c>
      <c r="B1952" s="16" t="n">
        <v>45538</v>
      </c>
      <c r="C1952" s="15" t="s">
        <v>716</v>
      </c>
      <c r="D1952" s="15" t="s">
        <v>131</v>
      </c>
      <c r="E1952" s="15" t="s">
        <v>181</v>
      </c>
      <c r="F1952" s="17" t="n">
        <v>2</v>
      </c>
      <c r="G1952" s="17" t="n">
        <v>1430</v>
      </c>
      <c r="H1952" s="17" t="n">
        <v>5</v>
      </c>
      <c r="I1952" s="17" t="n">
        <v>2717</v>
      </c>
      <c r="J1952" s="15" t="s">
        <v>151</v>
      </c>
      <c r="K1952" s="15" t="s">
        <v>110</v>
      </c>
    </row>
    <row r="1953" customFormat="false" ht="14.25" hidden="false" customHeight="false" outlineLevel="0" collapsed="false">
      <c r="A1953" s="15" t="s">
        <v>2463</v>
      </c>
      <c r="B1953" s="16" t="n">
        <v>45618</v>
      </c>
      <c r="C1953" s="15" t="s">
        <v>451</v>
      </c>
      <c r="D1953" s="15" t="s">
        <v>198</v>
      </c>
      <c r="E1953" s="15" t="s">
        <v>203</v>
      </c>
      <c r="F1953" s="17" t="n">
        <v>6</v>
      </c>
      <c r="G1953" s="17" t="n">
        <v>3570</v>
      </c>
      <c r="H1953" s="17" t="n">
        <v>28.5</v>
      </c>
      <c r="I1953" s="17" t="n">
        <v>15315.3</v>
      </c>
      <c r="J1953" s="15" t="s">
        <v>151</v>
      </c>
      <c r="K1953" s="15" t="s">
        <v>99</v>
      </c>
    </row>
    <row r="1954" customFormat="false" ht="14.25" hidden="false" customHeight="false" outlineLevel="0" collapsed="false">
      <c r="A1954" s="15" t="s">
        <v>2464</v>
      </c>
      <c r="B1954" s="16" t="n">
        <v>45444</v>
      </c>
      <c r="C1954" s="15" t="s">
        <v>408</v>
      </c>
      <c r="D1954" s="15" t="s">
        <v>198</v>
      </c>
      <c r="E1954" s="15" t="s">
        <v>127</v>
      </c>
      <c r="F1954" s="17" t="n">
        <v>1</v>
      </c>
      <c r="G1954" s="17" t="n">
        <v>3570</v>
      </c>
      <c r="H1954" s="17" t="n">
        <v>7.7</v>
      </c>
      <c r="I1954" s="17" t="n">
        <v>3295.11</v>
      </c>
      <c r="J1954" s="15" t="s">
        <v>98</v>
      </c>
      <c r="K1954" s="15" t="s">
        <v>110</v>
      </c>
    </row>
    <row r="1955" customFormat="false" ht="14.25" hidden="false" customHeight="false" outlineLevel="0" collapsed="false">
      <c r="A1955" s="15" t="s">
        <v>2465</v>
      </c>
      <c r="B1955" s="16" t="n">
        <v>45377</v>
      </c>
      <c r="C1955" s="15" t="s">
        <v>1305</v>
      </c>
      <c r="D1955" s="15" t="s">
        <v>259</v>
      </c>
      <c r="E1955" s="15" t="s">
        <v>181</v>
      </c>
      <c r="F1955" s="17" t="n">
        <v>9</v>
      </c>
      <c r="G1955" s="17" t="n">
        <v>3870</v>
      </c>
      <c r="H1955" s="17" t="n">
        <v>11.9</v>
      </c>
      <c r="I1955" s="17" t="n">
        <v>30685.23</v>
      </c>
      <c r="J1955" s="15" t="s">
        <v>151</v>
      </c>
      <c r="K1955" s="15" t="s">
        <v>105</v>
      </c>
    </row>
    <row r="1956" customFormat="false" ht="14.25" hidden="false" customHeight="false" outlineLevel="0" collapsed="false">
      <c r="A1956" s="15" t="s">
        <v>2466</v>
      </c>
      <c r="B1956" s="16" t="n">
        <v>45515</v>
      </c>
      <c r="C1956" s="15" t="s">
        <v>861</v>
      </c>
      <c r="D1956" s="15" t="s">
        <v>526</v>
      </c>
      <c r="E1956" s="15" t="s">
        <v>109</v>
      </c>
      <c r="F1956" s="17" t="n">
        <v>5</v>
      </c>
      <c r="G1956" s="17" t="n">
        <v>6940</v>
      </c>
      <c r="H1956" s="17" t="n">
        <v>17.4</v>
      </c>
      <c r="I1956" s="17" t="n">
        <v>28662.2</v>
      </c>
      <c r="J1956" s="15" t="s">
        <v>98</v>
      </c>
      <c r="K1956" s="15" t="s">
        <v>105</v>
      </c>
    </row>
    <row r="1957" customFormat="false" ht="14.25" hidden="false" customHeight="false" outlineLevel="0" collapsed="false">
      <c r="A1957" s="15" t="s">
        <v>2467</v>
      </c>
      <c r="B1957" s="16" t="n">
        <v>45312</v>
      </c>
      <c r="C1957" s="15" t="s">
        <v>274</v>
      </c>
      <c r="D1957" s="15" t="s">
        <v>121</v>
      </c>
      <c r="E1957" s="15" t="s">
        <v>212</v>
      </c>
      <c r="F1957" s="17" t="n">
        <v>6</v>
      </c>
      <c r="G1957" s="17" t="n">
        <v>370</v>
      </c>
      <c r="H1957" s="17" t="n">
        <v>8.1</v>
      </c>
      <c r="I1957" s="17" t="n">
        <v>2040.18</v>
      </c>
      <c r="J1957" s="15" t="s">
        <v>151</v>
      </c>
      <c r="K1957" s="15" t="s">
        <v>144</v>
      </c>
    </row>
    <row r="1958" customFormat="false" ht="14.25" hidden="false" customHeight="false" outlineLevel="0" collapsed="false">
      <c r="A1958" s="15" t="s">
        <v>2468</v>
      </c>
      <c r="B1958" s="16" t="n">
        <v>45549</v>
      </c>
      <c r="C1958" s="15" t="s">
        <v>277</v>
      </c>
      <c r="D1958" s="15" t="s">
        <v>670</v>
      </c>
      <c r="E1958" s="15" t="s">
        <v>354</v>
      </c>
      <c r="F1958" s="17" t="n">
        <v>8</v>
      </c>
      <c r="G1958" s="17" t="n">
        <v>3560</v>
      </c>
      <c r="H1958" s="17" t="n">
        <v>23.3</v>
      </c>
      <c r="I1958" s="17" t="n">
        <v>21844.16</v>
      </c>
      <c r="J1958" s="15" t="s">
        <v>98</v>
      </c>
      <c r="K1958" s="15" t="s">
        <v>110</v>
      </c>
    </row>
    <row r="1959" customFormat="false" ht="14.25" hidden="false" customHeight="false" outlineLevel="0" collapsed="false">
      <c r="A1959" s="15" t="s">
        <v>2469</v>
      </c>
      <c r="B1959" s="16" t="n">
        <v>45633</v>
      </c>
      <c r="C1959" s="15" t="s">
        <v>624</v>
      </c>
      <c r="D1959" s="15" t="s">
        <v>278</v>
      </c>
      <c r="E1959" s="15" t="s">
        <v>139</v>
      </c>
      <c r="F1959" s="17" t="n">
        <v>4</v>
      </c>
      <c r="G1959" s="17" t="n">
        <v>1220</v>
      </c>
      <c r="H1959" s="17" t="n">
        <v>2.7</v>
      </c>
      <c r="I1959" s="17" t="n">
        <v>4748.24</v>
      </c>
      <c r="J1959" s="15" t="s">
        <v>98</v>
      </c>
      <c r="K1959" s="15" t="s">
        <v>123</v>
      </c>
    </row>
    <row r="1960" customFormat="false" ht="14.25" hidden="false" customHeight="false" outlineLevel="0" collapsed="false">
      <c r="A1960" s="15" t="s">
        <v>2470</v>
      </c>
      <c r="B1960" s="16" t="n">
        <v>45598</v>
      </c>
      <c r="C1960" s="15" t="s">
        <v>728</v>
      </c>
      <c r="D1960" s="15" t="s">
        <v>275</v>
      </c>
      <c r="E1960" s="15" t="s">
        <v>203</v>
      </c>
      <c r="F1960" s="17" t="n">
        <v>10</v>
      </c>
      <c r="G1960" s="17" t="n">
        <v>4070</v>
      </c>
      <c r="H1960" s="17" t="n">
        <v>11.6</v>
      </c>
      <c r="I1960" s="17" t="n">
        <v>35978.8</v>
      </c>
      <c r="J1960" s="15" t="s">
        <v>98</v>
      </c>
      <c r="K1960" s="15" t="s">
        <v>105</v>
      </c>
    </row>
    <row r="1961" customFormat="false" ht="14.25" hidden="false" customHeight="false" outlineLevel="0" collapsed="false">
      <c r="A1961" s="15" t="s">
        <v>2471</v>
      </c>
      <c r="B1961" s="16" t="n">
        <v>45336</v>
      </c>
      <c r="C1961" s="15" t="s">
        <v>808</v>
      </c>
      <c r="D1961" s="15" t="s">
        <v>113</v>
      </c>
      <c r="E1961" s="15" t="s">
        <v>132</v>
      </c>
      <c r="F1961" s="17" t="n">
        <v>10</v>
      </c>
      <c r="G1961" s="17" t="n">
        <v>3660</v>
      </c>
      <c r="H1961" s="17" t="n">
        <v>28.8</v>
      </c>
      <c r="I1961" s="17" t="n">
        <v>26059.2</v>
      </c>
      <c r="J1961" s="15" t="s">
        <v>98</v>
      </c>
      <c r="K1961" s="15" t="s">
        <v>110</v>
      </c>
    </row>
    <row r="1962" customFormat="false" ht="14.25" hidden="false" customHeight="false" outlineLevel="0" collapsed="false">
      <c r="A1962" s="15" t="s">
        <v>2472</v>
      </c>
      <c r="B1962" s="16" t="n">
        <v>45449</v>
      </c>
      <c r="C1962" s="15" t="s">
        <v>626</v>
      </c>
      <c r="D1962" s="15" t="s">
        <v>454</v>
      </c>
      <c r="E1962" s="15" t="s">
        <v>314</v>
      </c>
      <c r="F1962" s="17" t="n">
        <v>5</v>
      </c>
      <c r="G1962" s="17" t="n">
        <v>5080</v>
      </c>
      <c r="H1962" s="17" t="n">
        <v>12.1</v>
      </c>
      <c r="I1962" s="17" t="n">
        <v>22326.6</v>
      </c>
      <c r="J1962" s="15" t="s">
        <v>98</v>
      </c>
      <c r="K1962" s="15" t="s">
        <v>123</v>
      </c>
    </row>
    <row r="1963" customFormat="false" ht="14.25" hidden="false" customHeight="false" outlineLevel="0" collapsed="false">
      <c r="A1963" s="15" t="s">
        <v>2473</v>
      </c>
      <c r="B1963" s="16" t="n">
        <v>45338</v>
      </c>
      <c r="C1963" s="15" t="s">
        <v>808</v>
      </c>
      <c r="D1963" s="15" t="s">
        <v>281</v>
      </c>
      <c r="E1963" s="15" t="s">
        <v>263</v>
      </c>
      <c r="F1963" s="17" t="n">
        <v>10</v>
      </c>
      <c r="G1963" s="17" t="n">
        <v>4610</v>
      </c>
      <c r="H1963" s="17" t="n">
        <v>22.5</v>
      </c>
      <c r="I1963" s="17" t="n">
        <v>35727.5</v>
      </c>
      <c r="J1963" s="15" t="s">
        <v>98</v>
      </c>
      <c r="K1963" s="15" t="s">
        <v>110</v>
      </c>
    </row>
    <row r="1964" customFormat="false" ht="14.25" hidden="false" customHeight="false" outlineLevel="0" collapsed="false">
      <c r="A1964" s="15" t="s">
        <v>2474</v>
      </c>
      <c r="B1964" s="16" t="n">
        <v>45317</v>
      </c>
      <c r="C1964" s="15" t="s">
        <v>790</v>
      </c>
      <c r="D1964" s="15" t="s">
        <v>290</v>
      </c>
      <c r="E1964" s="15" t="s">
        <v>97</v>
      </c>
      <c r="F1964" s="17" t="n">
        <v>3</v>
      </c>
      <c r="G1964" s="17" t="n">
        <v>2660</v>
      </c>
      <c r="H1964" s="17" t="n">
        <v>15</v>
      </c>
      <c r="I1964" s="17" t="n">
        <v>6783</v>
      </c>
      <c r="J1964" s="15" t="s">
        <v>98</v>
      </c>
      <c r="K1964" s="15" t="s">
        <v>128</v>
      </c>
    </row>
    <row r="1965" customFormat="false" ht="14.25" hidden="false" customHeight="false" outlineLevel="0" collapsed="false">
      <c r="A1965" s="15" t="s">
        <v>2475</v>
      </c>
      <c r="B1965" s="16" t="n">
        <v>45384</v>
      </c>
      <c r="C1965" s="15" t="s">
        <v>606</v>
      </c>
      <c r="D1965" s="15" t="s">
        <v>117</v>
      </c>
      <c r="E1965" s="15" t="s">
        <v>114</v>
      </c>
      <c r="F1965" s="17" t="n">
        <v>5</v>
      </c>
      <c r="G1965" s="17" t="n">
        <v>3160</v>
      </c>
      <c r="H1965" s="17" t="n">
        <v>1.3</v>
      </c>
      <c r="I1965" s="17" t="n">
        <v>15594.6</v>
      </c>
      <c r="J1965" s="15" t="s">
        <v>98</v>
      </c>
      <c r="K1965" s="15" t="s">
        <v>110</v>
      </c>
    </row>
    <row r="1966" customFormat="false" ht="14.25" hidden="false" customHeight="false" outlineLevel="0" collapsed="false">
      <c r="A1966" s="15" t="s">
        <v>2476</v>
      </c>
      <c r="B1966" s="16" t="n">
        <v>45325</v>
      </c>
      <c r="C1966" s="15" t="s">
        <v>695</v>
      </c>
      <c r="D1966" s="15" t="s">
        <v>121</v>
      </c>
      <c r="E1966" s="15" t="s">
        <v>150</v>
      </c>
      <c r="F1966" s="17" t="n">
        <v>10</v>
      </c>
      <c r="G1966" s="17" t="n">
        <v>370</v>
      </c>
      <c r="H1966" s="17" t="n">
        <v>29</v>
      </c>
      <c r="I1966" s="17" t="n">
        <v>2627</v>
      </c>
      <c r="J1966" s="15" t="s">
        <v>98</v>
      </c>
      <c r="K1966" s="15" t="s">
        <v>110</v>
      </c>
    </row>
    <row r="1967" customFormat="false" ht="14.25" hidden="false" customHeight="false" outlineLevel="0" collapsed="false">
      <c r="A1967" s="15" t="s">
        <v>2477</v>
      </c>
      <c r="B1967" s="16" t="n">
        <v>45358</v>
      </c>
      <c r="C1967" s="15" t="s">
        <v>1062</v>
      </c>
      <c r="D1967" s="15" t="s">
        <v>193</v>
      </c>
      <c r="E1967" s="15" t="s">
        <v>118</v>
      </c>
      <c r="F1967" s="17" t="n">
        <v>10</v>
      </c>
      <c r="G1967" s="17" t="n">
        <v>1010</v>
      </c>
      <c r="H1967" s="17" t="n">
        <v>14.1</v>
      </c>
      <c r="I1967" s="17" t="n">
        <v>8675.9</v>
      </c>
      <c r="J1967" s="15" t="s">
        <v>155</v>
      </c>
      <c r="K1967" s="15" t="s">
        <v>123</v>
      </c>
    </row>
    <row r="1968" customFormat="false" ht="14.25" hidden="false" customHeight="false" outlineLevel="0" collapsed="false">
      <c r="A1968" s="15" t="s">
        <v>2478</v>
      </c>
      <c r="B1968" s="16" t="n">
        <v>45586</v>
      </c>
      <c r="C1968" s="15" t="s">
        <v>344</v>
      </c>
      <c r="D1968" s="15" t="s">
        <v>670</v>
      </c>
      <c r="E1968" s="15" t="s">
        <v>181</v>
      </c>
      <c r="F1968" s="17" t="n">
        <v>3</v>
      </c>
      <c r="G1968" s="17" t="n">
        <v>3560</v>
      </c>
      <c r="H1968" s="17" t="n">
        <v>23.6</v>
      </c>
      <c r="I1968" s="17" t="n">
        <v>8159.52</v>
      </c>
      <c r="J1968" s="15" t="s">
        <v>98</v>
      </c>
      <c r="K1968" s="15" t="s">
        <v>144</v>
      </c>
    </row>
    <row r="1969" customFormat="false" ht="14.25" hidden="false" customHeight="false" outlineLevel="0" collapsed="false">
      <c r="A1969" s="15" t="s">
        <v>2479</v>
      </c>
      <c r="B1969" s="16" t="n">
        <v>45340</v>
      </c>
      <c r="C1969" s="15" t="s">
        <v>335</v>
      </c>
      <c r="D1969" s="15" t="s">
        <v>278</v>
      </c>
      <c r="E1969" s="15" t="s">
        <v>139</v>
      </c>
      <c r="F1969" s="17" t="n">
        <v>9</v>
      </c>
      <c r="G1969" s="17" t="n">
        <v>1220</v>
      </c>
      <c r="H1969" s="17" t="n">
        <v>16.6</v>
      </c>
      <c r="I1969" s="17" t="n">
        <v>9157.32</v>
      </c>
      <c r="J1969" s="15" t="s">
        <v>98</v>
      </c>
      <c r="K1969" s="15" t="s">
        <v>144</v>
      </c>
    </row>
    <row r="1970" customFormat="false" ht="14.25" hidden="false" customHeight="false" outlineLevel="0" collapsed="false">
      <c r="A1970" s="15" t="s">
        <v>2480</v>
      </c>
      <c r="B1970" s="16" t="n">
        <v>45343</v>
      </c>
      <c r="C1970" s="15" t="s">
        <v>1242</v>
      </c>
      <c r="D1970" s="15" t="s">
        <v>158</v>
      </c>
      <c r="E1970" s="15" t="s">
        <v>118</v>
      </c>
      <c r="F1970" s="17" t="n">
        <v>8</v>
      </c>
      <c r="G1970" s="17" t="n">
        <v>190</v>
      </c>
      <c r="H1970" s="17" t="n">
        <v>22.3</v>
      </c>
      <c r="I1970" s="17" t="n">
        <v>1181.04</v>
      </c>
      <c r="J1970" s="15" t="s">
        <v>98</v>
      </c>
      <c r="K1970" s="15" t="s">
        <v>99</v>
      </c>
    </row>
    <row r="1971" customFormat="false" ht="14.25" hidden="false" customHeight="false" outlineLevel="0" collapsed="false">
      <c r="A1971" s="15" t="s">
        <v>2481</v>
      </c>
      <c r="B1971" s="16" t="n">
        <v>45468</v>
      </c>
      <c r="C1971" s="15" t="s">
        <v>416</v>
      </c>
      <c r="D1971" s="15" t="s">
        <v>193</v>
      </c>
      <c r="E1971" s="15" t="s">
        <v>308</v>
      </c>
      <c r="F1971" s="17" t="n">
        <v>2</v>
      </c>
      <c r="G1971" s="17" t="n">
        <v>1010</v>
      </c>
      <c r="H1971" s="17" t="n">
        <v>3.8</v>
      </c>
      <c r="I1971" s="17" t="n">
        <v>1943.24</v>
      </c>
      <c r="J1971" s="15" t="s">
        <v>98</v>
      </c>
      <c r="K1971" s="15" t="s">
        <v>105</v>
      </c>
    </row>
    <row r="1972" customFormat="false" ht="14.25" hidden="false" customHeight="false" outlineLevel="0" collapsed="false">
      <c r="A1972" s="15" t="s">
        <v>2482</v>
      </c>
      <c r="B1972" s="16" t="n">
        <v>45439</v>
      </c>
      <c r="C1972" s="15" t="s">
        <v>885</v>
      </c>
      <c r="D1972" s="15" t="s">
        <v>149</v>
      </c>
      <c r="E1972" s="15" t="s">
        <v>215</v>
      </c>
      <c r="F1972" s="17" t="n">
        <v>4</v>
      </c>
      <c r="G1972" s="17" t="n">
        <v>2600</v>
      </c>
      <c r="H1972" s="17" t="n">
        <v>29.1</v>
      </c>
      <c r="I1972" s="17" t="n">
        <v>7373.6</v>
      </c>
      <c r="J1972" s="15" t="s">
        <v>98</v>
      </c>
      <c r="K1972" s="15" t="s">
        <v>123</v>
      </c>
    </row>
    <row r="1973" customFormat="false" ht="14.25" hidden="false" customHeight="false" outlineLevel="0" collapsed="false">
      <c r="A1973" s="15" t="s">
        <v>2483</v>
      </c>
      <c r="B1973" s="16" t="n">
        <v>45517</v>
      </c>
      <c r="C1973" s="15" t="s">
        <v>695</v>
      </c>
      <c r="D1973" s="15" t="s">
        <v>463</v>
      </c>
      <c r="E1973" s="15" t="s">
        <v>240</v>
      </c>
      <c r="F1973" s="17" t="n">
        <v>7</v>
      </c>
      <c r="G1973" s="17" t="n">
        <v>3450</v>
      </c>
      <c r="H1973" s="17" t="n">
        <v>4</v>
      </c>
      <c r="I1973" s="17" t="n">
        <v>23184</v>
      </c>
      <c r="J1973" s="15" t="s">
        <v>98</v>
      </c>
      <c r="K1973" s="15" t="s">
        <v>110</v>
      </c>
    </row>
    <row r="1974" customFormat="false" ht="14.25" hidden="false" customHeight="false" outlineLevel="0" collapsed="false">
      <c r="A1974" s="15" t="s">
        <v>2484</v>
      </c>
      <c r="B1974" s="16" t="n">
        <v>45311</v>
      </c>
      <c r="C1974" s="15" t="s">
        <v>255</v>
      </c>
      <c r="D1974" s="15" t="s">
        <v>366</v>
      </c>
      <c r="E1974" s="15" t="s">
        <v>132</v>
      </c>
      <c r="F1974" s="17" t="n">
        <v>6</v>
      </c>
      <c r="G1974" s="17" t="n">
        <v>2510</v>
      </c>
      <c r="H1974" s="17" t="n">
        <v>12.7</v>
      </c>
      <c r="I1974" s="17" t="n">
        <v>13147.38</v>
      </c>
      <c r="J1974" s="15" t="s">
        <v>98</v>
      </c>
      <c r="K1974" s="15" t="s">
        <v>105</v>
      </c>
    </row>
    <row r="1975" customFormat="false" ht="14.25" hidden="false" customHeight="false" outlineLevel="0" collapsed="false">
      <c r="A1975" s="15" t="s">
        <v>2485</v>
      </c>
      <c r="B1975" s="16" t="n">
        <v>45560</v>
      </c>
      <c r="C1975" s="15" t="s">
        <v>120</v>
      </c>
      <c r="D1975" s="15" t="s">
        <v>158</v>
      </c>
      <c r="E1975" s="15" t="s">
        <v>354</v>
      </c>
      <c r="F1975" s="17" t="n">
        <v>6</v>
      </c>
      <c r="G1975" s="17" t="n">
        <v>190</v>
      </c>
      <c r="H1975" s="17" t="n">
        <v>20</v>
      </c>
      <c r="I1975" s="17" t="n">
        <v>912</v>
      </c>
      <c r="J1975" s="15" t="s">
        <v>151</v>
      </c>
      <c r="K1975" s="15" t="s">
        <v>123</v>
      </c>
    </row>
    <row r="1976" customFormat="false" ht="14.25" hidden="false" customHeight="false" outlineLevel="0" collapsed="false">
      <c r="A1976" s="15" t="s">
        <v>2486</v>
      </c>
      <c r="B1976" s="16" t="n">
        <v>45529</v>
      </c>
      <c r="C1976" s="15" t="s">
        <v>1242</v>
      </c>
      <c r="D1976" s="15" t="s">
        <v>187</v>
      </c>
      <c r="E1976" s="15" t="s">
        <v>240</v>
      </c>
      <c r="F1976" s="17" t="n">
        <v>10</v>
      </c>
      <c r="G1976" s="17" t="n">
        <v>1650</v>
      </c>
      <c r="H1976" s="17" t="n">
        <v>21.5</v>
      </c>
      <c r="I1976" s="17" t="n">
        <v>12952.5</v>
      </c>
      <c r="J1976" s="15" t="s">
        <v>98</v>
      </c>
      <c r="K1976" s="15" t="s">
        <v>99</v>
      </c>
    </row>
    <row r="1977" customFormat="false" ht="14.25" hidden="false" customHeight="false" outlineLevel="0" collapsed="false">
      <c r="A1977" s="15" t="s">
        <v>2487</v>
      </c>
      <c r="B1977" s="16" t="n">
        <v>45344</v>
      </c>
      <c r="C1977" s="15" t="s">
        <v>130</v>
      </c>
      <c r="D1977" s="15" t="s">
        <v>206</v>
      </c>
      <c r="E1977" s="15" t="s">
        <v>215</v>
      </c>
      <c r="F1977" s="17" t="n">
        <v>4</v>
      </c>
      <c r="G1977" s="17" t="n">
        <v>2860</v>
      </c>
      <c r="H1977" s="17" t="n">
        <v>15.2</v>
      </c>
      <c r="I1977" s="17" t="n">
        <v>9701.12</v>
      </c>
      <c r="J1977" s="15" t="s">
        <v>98</v>
      </c>
      <c r="K1977" s="15" t="s">
        <v>128</v>
      </c>
    </row>
    <row r="1978" customFormat="false" ht="14.25" hidden="false" customHeight="false" outlineLevel="0" collapsed="false">
      <c r="A1978" s="15" t="s">
        <v>2488</v>
      </c>
      <c r="B1978" s="16" t="n">
        <v>45589</v>
      </c>
      <c r="C1978" s="15" t="s">
        <v>956</v>
      </c>
      <c r="D1978" s="15" t="s">
        <v>108</v>
      </c>
      <c r="E1978" s="15" t="s">
        <v>139</v>
      </c>
      <c r="F1978" s="17" t="n">
        <v>3</v>
      </c>
      <c r="G1978" s="17" t="n">
        <v>470</v>
      </c>
      <c r="H1978" s="17" t="n">
        <v>14.2</v>
      </c>
      <c r="I1978" s="17" t="n">
        <v>1209.78</v>
      </c>
      <c r="J1978" s="15" t="s">
        <v>98</v>
      </c>
      <c r="K1978" s="15" t="s">
        <v>99</v>
      </c>
    </row>
    <row r="1979" customFormat="false" ht="14.25" hidden="false" customHeight="false" outlineLevel="0" collapsed="false">
      <c r="A1979" s="15" t="s">
        <v>2489</v>
      </c>
      <c r="B1979" s="16" t="n">
        <v>45469</v>
      </c>
      <c r="C1979" s="15" t="s">
        <v>954</v>
      </c>
      <c r="D1979" s="15" t="s">
        <v>206</v>
      </c>
      <c r="E1979" s="15" t="s">
        <v>181</v>
      </c>
      <c r="F1979" s="17" t="n">
        <v>2</v>
      </c>
      <c r="G1979" s="17" t="n">
        <v>2860</v>
      </c>
      <c r="H1979" s="17" t="n">
        <v>17.9</v>
      </c>
      <c r="I1979" s="17" t="n">
        <v>4696.12</v>
      </c>
      <c r="J1979" s="15" t="s">
        <v>98</v>
      </c>
      <c r="K1979" s="15" t="s">
        <v>144</v>
      </c>
    </row>
    <row r="1980" customFormat="false" ht="14.25" hidden="false" customHeight="false" outlineLevel="0" collapsed="false">
      <c r="A1980" s="15" t="s">
        <v>2490</v>
      </c>
      <c r="B1980" s="16" t="n">
        <v>45407</v>
      </c>
      <c r="C1980" s="15" t="s">
        <v>1361</v>
      </c>
      <c r="D1980" s="15" t="s">
        <v>178</v>
      </c>
      <c r="E1980" s="15" t="s">
        <v>314</v>
      </c>
      <c r="F1980" s="17" t="n">
        <v>2</v>
      </c>
      <c r="G1980" s="17" t="n">
        <v>2480</v>
      </c>
      <c r="H1980" s="17" t="n">
        <v>11.5</v>
      </c>
      <c r="I1980" s="17" t="n">
        <v>4389.6</v>
      </c>
      <c r="J1980" s="15" t="s">
        <v>151</v>
      </c>
      <c r="K1980" s="15" t="s">
        <v>123</v>
      </c>
    </row>
    <row r="1981" customFormat="false" ht="14.25" hidden="false" customHeight="false" outlineLevel="0" collapsed="false">
      <c r="A1981" s="15" t="s">
        <v>2491</v>
      </c>
      <c r="B1981" s="16" t="n">
        <v>45635</v>
      </c>
      <c r="C1981" s="15" t="s">
        <v>1017</v>
      </c>
      <c r="D1981" s="15" t="s">
        <v>306</v>
      </c>
      <c r="E1981" s="15" t="s">
        <v>114</v>
      </c>
      <c r="F1981" s="17" t="n">
        <v>10</v>
      </c>
      <c r="G1981" s="17" t="n">
        <v>2030</v>
      </c>
      <c r="H1981" s="17" t="n">
        <v>29.2</v>
      </c>
      <c r="I1981" s="17" t="n">
        <v>14372.4</v>
      </c>
      <c r="J1981" s="15" t="s">
        <v>98</v>
      </c>
      <c r="K1981" s="15" t="s">
        <v>128</v>
      </c>
    </row>
    <row r="1982" customFormat="false" ht="14.25" hidden="false" customHeight="false" outlineLevel="0" collapsed="false">
      <c r="A1982" s="15" t="s">
        <v>2492</v>
      </c>
      <c r="B1982" s="16" t="n">
        <v>45489</v>
      </c>
      <c r="C1982" s="15" t="s">
        <v>205</v>
      </c>
      <c r="D1982" s="15" t="s">
        <v>168</v>
      </c>
      <c r="E1982" s="15" t="s">
        <v>336</v>
      </c>
      <c r="F1982" s="17" t="n">
        <v>6</v>
      </c>
      <c r="G1982" s="17" t="n">
        <v>3450</v>
      </c>
      <c r="H1982" s="17" t="n">
        <v>3.5</v>
      </c>
      <c r="I1982" s="17" t="n">
        <v>19975.5</v>
      </c>
      <c r="J1982" s="15" t="s">
        <v>155</v>
      </c>
      <c r="K1982" s="15" t="s">
        <v>99</v>
      </c>
    </row>
    <row r="1983" customFormat="false" ht="14.25" hidden="false" customHeight="false" outlineLevel="0" collapsed="false">
      <c r="A1983" s="15" t="s">
        <v>2493</v>
      </c>
      <c r="B1983" s="16" t="n">
        <v>45356</v>
      </c>
      <c r="C1983" s="15" t="s">
        <v>613</v>
      </c>
      <c r="D1983" s="15" t="s">
        <v>131</v>
      </c>
      <c r="E1983" s="15" t="s">
        <v>284</v>
      </c>
      <c r="F1983" s="17" t="n">
        <v>10</v>
      </c>
      <c r="G1983" s="17" t="n">
        <v>1430</v>
      </c>
      <c r="H1983" s="17" t="n">
        <v>3.5</v>
      </c>
      <c r="I1983" s="17" t="n">
        <v>13799.5</v>
      </c>
      <c r="J1983" s="15" t="s">
        <v>98</v>
      </c>
      <c r="K1983" s="15" t="s">
        <v>105</v>
      </c>
    </row>
    <row r="1984" customFormat="false" ht="14.25" hidden="false" customHeight="false" outlineLevel="0" collapsed="false">
      <c r="A1984" s="15" t="s">
        <v>2494</v>
      </c>
      <c r="B1984" s="16" t="n">
        <v>45422</v>
      </c>
      <c r="C1984" s="15" t="s">
        <v>596</v>
      </c>
      <c r="D1984" s="15" t="s">
        <v>102</v>
      </c>
      <c r="E1984" s="15" t="s">
        <v>249</v>
      </c>
      <c r="F1984" s="17" t="n">
        <v>1</v>
      </c>
      <c r="G1984" s="17" t="n">
        <v>820</v>
      </c>
      <c r="H1984" s="17" t="n">
        <v>14.5</v>
      </c>
      <c r="I1984" s="17" t="n">
        <v>701.1</v>
      </c>
      <c r="J1984" s="15" t="s">
        <v>151</v>
      </c>
      <c r="K1984" s="15" t="s">
        <v>105</v>
      </c>
    </row>
    <row r="1985" customFormat="false" ht="14.25" hidden="false" customHeight="false" outlineLevel="0" collapsed="false">
      <c r="A1985" s="15" t="s">
        <v>2495</v>
      </c>
      <c r="B1985" s="16" t="n">
        <v>45333</v>
      </c>
      <c r="C1985" s="15" t="s">
        <v>1049</v>
      </c>
      <c r="D1985" s="15" t="s">
        <v>195</v>
      </c>
      <c r="E1985" s="15" t="s">
        <v>165</v>
      </c>
      <c r="F1985" s="17" t="n">
        <v>5</v>
      </c>
      <c r="G1985" s="17" t="n">
        <v>4880</v>
      </c>
      <c r="H1985" s="17" t="n">
        <v>1.8</v>
      </c>
      <c r="I1985" s="17" t="n">
        <v>23960.8</v>
      </c>
      <c r="J1985" s="15" t="s">
        <v>98</v>
      </c>
      <c r="K1985" s="15" t="s">
        <v>128</v>
      </c>
    </row>
    <row r="1986" customFormat="false" ht="14.25" hidden="false" customHeight="false" outlineLevel="0" collapsed="false">
      <c r="A1986" s="15" t="s">
        <v>2496</v>
      </c>
      <c r="B1986" s="16" t="n">
        <v>45385</v>
      </c>
      <c r="C1986" s="15" t="s">
        <v>120</v>
      </c>
      <c r="D1986" s="15" t="s">
        <v>190</v>
      </c>
      <c r="E1986" s="15" t="s">
        <v>357</v>
      </c>
      <c r="F1986" s="17" t="n">
        <v>8</v>
      </c>
      <c r="G1986" s="17" t="n">
        <v>3350</v>
      </c>
      <c r="H1986" s="17" t="n">
        <v>26.3</v>
      </c>
      <c r="I1986" s="17" t="n">
        <v>19751.6</v>
      </c>
      <c r="J1986" s="15" t="s">
        <v>151</v>
      </c>
      <c r="K1986" s="15" t="s">
        <v>123</v>
      </c>
    </row>
    <row r="1987" customFormat="false" ht="14.25" hidden="false" customHeight="false" outlineLevel="0" collapsed="false">
      <c r="A1987" s="15" t="s">
        <v>2497</v>
      </c>
      <c r="B1987" s="16" t="n">
        <v>45298</v>
      </c>
      <c r="C1987" s="15" t="s">
        <v>177</v>
      </c>
      <c r="D1987" s="15" t="s">
        <v>178</v>
      </c>
      <c r="E1987" s="15" t="s">
        <v>296</v>
      </c>
      <c r="F1987" s="17" t="n">
        <v>9</v>
      </c>
      <c r="G1987" s="17" t="n">
        <v>2480</v>
      </c>
      <c r="H1987" s="17" t="n">
        <v>24.3</v>
      </c>
      <c r="I1987" s="17" t="n">
        <v>16896.24</v>
      </c>
      <c r="J1987" s="15" t="s">
        <v>98</v>
      </c>
      <c r="K1987" s="15" t="s">
        <v>144</v>
      </c>
    </row>
    <row r="1988" customFormat="false" ht="14.25" hidden="false" customHeight="false" outlineLevel="0" collapsed="false">
      <c r="A1988" s="15" t="s">
        <v>2498</v>
      </c>
      <c r="B1988" s="16" t="n">
        <v>45500</v>
      </c>
      <c r="C1988" s="15" t="s">
        <v>242</v>
      </c>
      <c r="D1988" s="15" t="s">
        <v>281</v>
      </c>
      <c r="E1988" s="15" t="s">
        <v>127</v>
      </c>
      <c r="F1988" s="17" t="n">
        <v>9</v>
      </c>
      <c r="G1988" s="17" t="n">
        <v>4610</v>
      </c>
      <c r="H1988" s="17" t="n">
        <v>10</v>
      </c>
      <c r="I1988" s="17" t="n">
        <v>37341</v>
      </c>
      <c r="J1988" s="15" t="s">
        <v>98</v>
      </c>
      <c r="K1988" s="15" t="s">
        <v>128</v>
      </c>
    </row>
    <row r="1989" customFormat="false" ht="14.25" hidden="false" customHeight="false" outlineLevel="0" collapsed="false">
      <c r="A1989" s="15" t="s">
        <v>2499</v>
      </c>
      <c r="B1989" s="16" t="n">
        <v>45409</v>
      </c>
      <c r="C1989" s="15" t="s">
        <v>1062</v>
      </c>
      <c r="D1989" s="15" t="s">
        <v>245</v>
      </c>
      <c r="E1989" s="15" t="s">
        <v>150</v>
      </c>
      <c r="F1989" s="17" t="n">
        <v>1</v>
      </c>
      <c r="G1989" s="17" t="n">
        <v>3780</v>
      </c>
      <c r="H1989" s="17" t="n">
        <v>2.2</v>
      </c>
      <c r="I1989" s="17" t="n">
        <v>3696.84</v>
      </c>
      <c r="J1989" s="15" t="s">
        <v>98</v>
      </c>
      <c r="K1989" s="15" t="s">
        <v>123</v>
      </c>
    </row>
    <row r="1990" customFormat="false" ht="14.25" hidden="false" customHeight="false" outlineLevel="0" collapsed="false">
      <c r="A1990" s="15" t="s">
        <v>2500</v>
      </c>
      <c r="B1990" s="16" t="n">
        <v>45401</v>
      </c>
      <c r="C1990" s="15" t="s">
        <v>716</v>
      </c>
      <c r="D1990" s="15" t="s">
        <v>287</v>
      </c>
      <c r="E1990" s="15" t="s">
        <v>212</v>
      </c>
      <c r="F1990" s="17" t="n">
        <v>3</v>
      </c>
      <c r="G1990" s="17" t="n">
        <v>3020</v>
      </c>
      <c r="H1990" s="17" t="n">
        <v>21.4</v>
      </c>
      <c r="I1990" s="17" t="n">
        <v>7121.16</v>
      </c>
      <c r="J1990" s="15" t="s">
        <v>151</v>
      </c>
      <c r="K1990" s="15" t="s">
        <v>110</v>
      </c>
    </row>
    <row r="1991" customFormat="false" ht="14.25" hidden="false" customHeight="false" outlineLevel="0" collapsed="false">
      <c r="A1991" s="15" t="s">
        <v>2501</v>
      </c>
      <c r="B1991" s="16" t="n">
        <v>45645</v>
      </c>
      <c r="C1991" s="15" t="s">
        <v>177</v>
      </c>
      <c r="D1991" s="15" t="s">
        <v>513</v>
      </c>
      <c r="E1991" s="15" t="s">
        <v>114</v>
      </c>
      <c r="F1991" s="17" t="n">
        <v>10</v>
      </c>
      <c r="G1991" s="17" t="n">
        <v>1090</v>
      </c>
      <c r="H1991" s="17" t="n">
        <v>29.2</v>
      </c>
      <c r="I1991" s="17" t="n">
        <v>7717.2</v>
      </c>
      <c r="J1991" s="15" t="s">
        <v>151</v>
      </c>
      <c r="K1991" s="15" t="s">
        <v>144</v>
      </c>
    </row>
    <row r="1992" customFormat="false" ht="14.25" hidden="false" customHeight="false" outlineLevel="0" collapsed="false">
      <c r="A1992" s="15" t="s">
        <v>2502</v>
      </c>
      <c r="B1992" s="16" t="n">
        <v>45616</v>
      </c>
      <c r="C1992" s="15" t="s">
        <v>1115</v>
      </c>
      <c r="D1992" s="15" t="s">
        <v>202</v>
      </c>
      <c r="E1992" s="15" t="s">
        <v>263</v>
      </c>
      <c r="F1992" s="17" t="n">
        <v>5</v>
      </c>
      <c r="G1992" s="17" t="n">
        <v>5100</v>
      </c>
      <c r="H1992" s="17" t="n">
        <v>28.4</v>
      </c>
      <c r="I1992" s="17" t="n">
        <v>18258</v>
      </c>
      <c r="J1992" s="15" t="s">
        <v>98</v>
      </c>
      <c r="K1992" s="15" t="s">
        <v>128</v>
      </c>
    </row>
    <row r="1993" customFormat="false" ht="14.25" hidden="false" customHeight="false" outlineLevel="0" collapsed="false">
      <c r="A1993" s="15" t="s">
        <v>2503</v>
      </c>
      <c r="B1993" s="16" t="n">
        <v>45352</v>
      </c>
      <c r="C1993" s="15" t="s">
        <v>593</v>
      </c>
      <c r="D1993" s="15" t="s">
        <v>195</v>
      </c>
      <c r="E1993" s="15" t="s">
        <v>118</v>
      </c>
      <c r="F1993" s="17" t="n">
        <v>6</v>
      </c>
      <c r="G1993" s="17" t="n">
        <v>4880</v>
      </c>
      <c r="H1993" s="17" t="n">
        <v>16.8</v>
      </c>
      <c r="I1993" s="17" t="n">
        <v>24360.96</v>
      </c>
      <c r="J1993" s="15" t="s">
        <v>98</v>
      </c>
      <c r="K1993" s="15" t="s">
        <v>105</v>
      </c>
    </row>
    <row r="1994" customFormat="false" ht="14.25" hidden="false" customHeight="false" outlineLevel="0" collapsed="false">
      <c r="A1994" s="15" t="s">
        <v>2504</v>
      </c>
      <c r="B1994" s="16" t="n">
        <v>45451</v>
      </c>
      <c r="C1994" s="15" t="s">
        <v>708</v>
      </c>
      <c r="D1994" s="15" t="s">
        <v>375</v>
      </c>
      <c r="E1994" s="15" t="s">
        <v>354</v>
      </c>
      <c r="F1994" s="17" t="n">
        <v>1</v>
      </c>
      <c r="G1994" s="17" t="n">
        <v>5330</v>
      </c>
      <c r="H1994" s="17" t="n">
        <v>27.5</v>
      </c>
      <c r="I1994" s="17" t="n">
        <v>3864.25</v>
      </c>
      <c r="J1994" s="15" t="s">
        <v>98</v>
      </c>
      <c r="K1994" s="15" t="s">
        <v>144</v>
      </c>
    </row>
    <row r="1995" customFormat="false" ht="14.25" hidden="false" customHeight="false" outlineLevel="0" collapsed="false">
      <c r="A1995" s="15" t="s">
        <v>2505</v>
      </c>
      <c r="B1995" s="16" t="n">
        <v>45477</v>
      </c>
      <c r="C1995" s="15" t="s">
        <v>153</v>
      </c>
      <c r="D1995" s="15" t="s">
        <v>306</v>
      </c>
      <c r="E1995" s="15" t="s">
        <v>240</v>
      </c>
      <c r="F1995" s="17" t="n">
        <v>7</v>
      </c>
      <c r="G1995" s="17" t="n">
        <v>2030</v>
      </c>
      <c r="H1995" s="17" t="n">
        <v>5.3</v>
      </c>
      <c r="I1995" s="17" t="n">
        <v>13456.87</v>
      </c>
      <c r="J1995" s="15" t="s">
        <v>151</v>
      </c>
      <c r="K1995" s="15" t="s">
        <v>99</v>
      </c>
    </row>
    <row r="1996" customFormat="false" ht="14.25" hidden="false" customHeight="false" outlineLevel="0" collapsed="false">
      <c r="A1996" s="15" t="s">
        <v>2506</v>
      </c>
      <c r="B1996" s="16" t="n">
        <v>45360</v>
      </c>
      <c r="C1996" s="15" t="s">
        <v>134</v>
      </c>
      <c r="D1996" s="15" t="s">
        <v>190</v>
      </c>
      <c r="E1996" s="15" t="s">
        <v>127</v>
      </c>
      <c r="F1996" s="17" t="n">
        <v>7</v>
      </c>
      <c r="G1996" s="17" t="n">
        <v>3350</v>
      </c>
      <c r="H1996" s="17" t="n">
        <v>0.4</v>
      </c>
      <c r="I1996" s="17" t="n">
        <v>23356.2</v>
      </c>
      <c r="J1996" s="15" t="s">
        <v>98</v>
      </c>
      <c r="K1996" s="15" t="s">
        <v>128</v>
      </c>
    </row>
    <row r="1997" customFormat="false" ht="14.25" hidden="false" customHeight="false" outlineLevel="0" collapsed="false">
      <c r="A1997" s="15" t="s">
        <v>2507</v>
      </c>
      <c r="B1997" s="16" t="n">
        <v>45292</v>
      </c>
      <c r="C1997" s="15" t="s">
        <v>174</v>
      </c>
      <c r="D1997" s="15" t="s">
        <v>237</v>
      </c>
      <c r="E1997" s="15" t="s">
        <v>199</v>
      </c>
      <c r="F1997" s="17" t="n">
        <v>6</v>
      </c>
      <c r="G1997" s="17" t="n">
        <v>3730</v>
      </c>
      <c r="H1997" s="17" t="n">
        <v>13.8</v>
      </c>
      <c r="I1997" s="17" t="n">
        <v>19291.56</v>
      </c>
      <c r="J1997" s="15" t="s">
        <v>98</v>
      </c>
      <c r="K1997" s="15" t="s">
        <v>105</v>
      </c>
    </row>
    <row r="1998" customFormat="false" ht="14.25" hidden="false" customHeight="false" outlineLevel="0" collapsed="false">
      <c r="A1998" s="15" t="s">
        <v>2508</v>
      </c>
      <c r="B1998" s="16" t="n">
        <v>45585</v>
      </c>
      <c r="C1998" s="15" t="s">
        <v>574</v>
      </c>
      <c r="D1998" s="15" t="s">
        <v>419</v>
      </c>
      <c r="E1998" s="15" t="s">
        <v>249</v>
      </c>
      <c r="F1998" s="17" t="n">
        <v>6</v>
      </c>
      <c r="G1998" s="17" t="n">
        <v>3970</v>
      </c>
      <c r="H1998" s="17" t="n">
        <v>5.8</v>
      </c>
      <c r="I1998" s="17" t="n">
        <v>22438.44</v>
      </c>
      <c r="J1998" s="15" t="s">
        <v>104</v>
      </c>
      <c r="K1998" s="15" t="s">
        <v>99</v>
      </c>
    </row>
    <row r="1999" customFormat="false" ht="14.25" hidden="false" customHeight="false" outlineLevel="0" collapsed="false">
      <c r="A1999" s="15" t="s">
        <v>2509</v>
      </c>
      <c r="B1999" s="16" t="n">
        <v>45592</v>
      </c>
      <c r="C1999" s="15" t="s">
        <v>768</v>
      </c>
      <c r="D1999" s="15" t="s">
        <v>349</v>
      </c>
      <c r="E1999" s="15" t="s">
        <v>284</v>
      </c>
      <c r="F1999" s="17" t="n">
        <v>4</v>
      </c>
      <c r="G1999" s="17" t="n">
        <v>2210</v>
      </c>
      <c r="H1999" s="17" t="n">
        <v>18.2</v>
      </c>
      <c r="I1999" s="17" t="n">
        <v>7231.12</v>
      </c>
      <c r="J1999" s="15" t="s">
        <v>104</v>
      </c>
      <c r="K1999" s="15" t="s">
        <v>128</v>
      </c>
    </row>
    <row r="2000" customFormat="false" ht="14.25" hidden="false" customHeight="false" outlineLevel="0" collapsed="false">
      <c r="A2000" s="15" t="s">
        <v>2510</v>
      </c>
      <c r="B2000" s="16" t="n">
        <v>45370</v>
      </c>
      <c r="C2000" s="15" t="s">
        <v>649</v>
      </c>
      <c r="D2000" s="15" t="s">
        <v>371</v>
      </c>
      <c r="E2000" s="15" t="s">
        <v>118</v>
      </c>
      <c r="F2000" s="17" t="n">
        <v>6</v>
      </c>
      <c r="G2000" s="17" t="n">
        <v>5410</v>
      </c>
      <c r="H2000" s="17" t="n">
        <v>15.5</v>
      </c>
      <c r="I2000" s="17" t="n">
        <v>27428.7</v>
      </c>
      <c r="J2000" s="15" t="s">
        <v>98</v>
      </c>
      <c r="K2000" s="15" t="s">
        <v>110</v>
      </c>
    </row>
    <row r="2001" customFormat="false" ht="14.25" hidden="false" customHeight="false" outlineLevel="0" collapsed="false">
      <c r="A2001" s="15" t="s">
        <v>2511</v>
      </c>
      <c r="B2001" s="16" t="n">
        <v>45325</v>
      </c>
      <c r="C2001" s="15" t="s">
        <v>646</v>
      </c>
      <c r="D2001" s="15" t="s">
        <v>454</v>
      </c>
      <c r="E2001" s="15" t="s">
        <v>165</v>
      </c>
      <c r="F2001" s="17" t="n">
        <v>6</v>
      </c>
      <c r="G2001" s="17" t="n">
        <v>5080</v>
      </c>
      <c r="H2001" s="17" t="n">
        <v>28.1</v>
      </c>
      <c r="I2001" s="17" t="n">
        <v>21915.12</v>
      </c>
      <c r="J2001" s="15" t="s">
        <v>98</v>
      </c>
      <c r="K2001" s="15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5"/>
    <col collapsed="false" customWidth="true" hidden="false" outlineLevel="0" max="5" min="4" style="0" width="11"/>
    <col collapsed="false" customWidth="true" hidden="false" outlineLevel="0" max="6" min="6" style="0" width="13"/>
  </cols>
  <sheetData>
    <row r="1" customFormat="false" ht="14.25" hidden="false" customHeight="false" outlineLevel="0" collapsed="false">
      <c r="A1" s="7" t="s">
        <v>85</v>
      </c>
      <c r="B1" s="7" t="s">
        <v>2512</v>
      </c>
      <c r="C1" s="7" t="s">
        <v>2513</v>
      </c>
      <c r="D1" s="7" t="s">
        <v>2514</v>
      </c>
      <c r="E1" s="7" t="s">
        <v>2515</v>
      </c>
      <c r="F1" s="7" t="s">
        <v>2516</v>
      </c>
    </row>
    <row r="2" customFormat="false" ht="14.25" hidden="false" customHeight="false" outlineLevel="0" collapsed="false">
      <c r="A2" s="15" t="s">
        <v>749</v>
      </c>
      <c r="B2" s="15" t="s">
        <v>2517</v>
      </c>
      <c r="C2" s="17" t="n">
        <v>36</v>
      </c>
      <c r="D2" s="15" t="s">
        <v>99</v>
      </c>
      <c r="E2" s="15" t="s">
        <v>2518</v>
      </c>
      <c r="F2" s="16" t="n">
        <v>44819</v>
      </c>
    </row>
    <row r="3" customFormat="false" ht="14.25" hidden="false" customHeight="false" outlineLevel="0" collapsed="false">
      <c r="A3" s="15" t="s">
        <v>779</v>
      </c>
      <c r="B3" s="15" t="s">
        <v>2519</v>
      </c>
      <c r="C3" s="17" t="n">
        <v>42</v>
      </c>
      <c r="D3" s="15" t="s">
        <v>99</v>
      </c>
      <c r="E3" s="15" t="s">
        <v>2520</v>
      </c>
      <c r="F3" s="16" t="n">
        <v>44984</v>
      </c>
    </row>
    <row r="4" customFormat="false" ht="14.25" hidden="false" customHeight="false" outlineLevel="0" collapsed="false">
      <c r="A4" s="15" t="s">
        <v>718</v>
      </c>
      <c r="B4" s="15" t="s">
        <v>2521</v>
      </c>
      <c r="C4" s="17" t="n">
        <v>33</v>
      </c>
      <c r="D4" s="15" t="s">
        <v>123</v>
      </c>
      <c r="E4" s="15" t="s">
        <v>2518</v>
      </c>
      <c r="F4" s="16" t="n">
        <v>44059</v>
      </c>
    </row>
    <row r="5" customFormat="false" ht="14.25" hidden="false" customHeight="false" outlineLevel="0" collapsed="false">
      <c r="A5" s="15" t="s">
        <v>716</v>
      </c>
      <c r="B5" s="15" t="s">
        <v>2522</v>
      </c>
      <c r="C5" s="17" t="n">
        <v>53</v>
      </c>
      <c r="D5" s="15" t="s">
        <v>2523</v>
      </c>
      <c r="E5" s="15" t="s">
        <v>2518</v>
      </c>
      <c r="F5" s="16" t="n">
        <v>44054</v>
      </c>
    </row>
    <row r="6" customFormat="false" ht="14.25" hidden="false" customHeight="false" outlineLevel="0" collapsed="false">
      <c r="A6" s="15" t="s">
        <v>997</v>
      </c>
      <c r="B6" s="15" t="s">
        <v>2524</v>
      </c>
      <c r="C6" s="17" t="n">
        <v>52</v>
      </c>
      <c r="D6" s="15" t="s">
        <v>105</v>
      </c>
      <c r="E6" s="15" t="s">
        <v>2520</v>
      </c>
      <c r="F6" s="16" t="n">
        <v>45037</v>
      </c>
    </row>
    <row r="7" customFormat="false" ht="14.25" hidden="false" customHeight="false" outlineLevel="0" collapsed="false">
      <c r="A7" s="15" t="s">
        <v>205</v>
      </c>
      <c r="B7" s="15" t="s">
        <v>2525</v>
      </c>
      <c r="C7" s="17" t="n">
        <v>44</v>
      </c>
      <c r="D7" s="15" t="s">
        <v>99</v>
      </c>
      <c r="E7" s="15" t="s">
        <v>2526</v>
      </c>
      <c r="F7" s="16" t="n">
        <v>44302</v>
      </c>
    </row>
    <row r="8" customFormat="false" ht="14.25" hidden="false" customHeight="false" outlineLevel="0" collapsed="false">
      <c r="A8" s="15" t="s">
        <v>881</v>
      </c>
      <c r="B8" s="15" t="s">
        <v>2527</v>
      </c>
      <c r="C8" s="17" t="n">
        <v>47</v>
      </c>
      <c r="D8" s="15" t="s">
        <v>128</v>
      </c>
      <c r="E8" s="15" t="s">
        <v>2518</v>
      </c>
      <c r="F8" s="16" t="n">
        <v>44498</v>
      </c>
    </row>
    <row r="9" customFormat="false" ht="14.25" hidden="false" customHeight="false" outlineLevel="0" collapsed="false">
      <c r="A9" s="15" t="s">
        <v>153</v>
      </c>
      <c r="B9" s="15" t="s">
        <v>2528</v>
      </c>
      <c r="C9" s="17" t="n">
        <v>39</v>
      </c>
      <c r="D9" s="15" t="s">
        <v>99</v>
      </c>
      <c r="E9" s="15" t="s">
        <v>2526</v>
      </c>
      <c r="F9" s="16" t="n">
        <v>45162</v>
      </c>
    </row>
    <row r="10" customFormat="false" ht="14.25" hidden="false" customHeight="false" outlineLevel="0" collapsed="false">
      <c r="A10" s="15" t="s">
        <v>476</v>
      </c>
      <c r="B10" s="15" t="s">
        <v>2529</v>
      </c>
      <c r="C10" s="17" t="n">
        <v>61</v>
      </c>
      <c r="D10" s="15" t="s">
        <v>123</v>
      </c>
      <c r="E10" s="15" t="s">
        <v>2518</v>
      </c>
      <c r="F10" s="16" t="n">
        <v>44343</v>
      </c>
    </row>
    <row r="11" customFormat="false" ht="14.25" hidden="false" customHeight="false" outlineLevel="0" collapsed="false">
      <c r="A11" s="15" t="s">
        <v>576</v>
      </c>
      <c r="B11" s="15" t="s">
        <v>2530</v>
      </c>
      <c r="C11" s="17" t="n">
        <v>61</v>
      </c>
      <c r="D11" s="15" t="s">
        <v>123</v>
      </c>
      <c r="E11" s="15" t="s">
        <v>2526</v>
      </c>
      <c r="F11" s="16" t="n">
        <v>44975</v>
      </c>
    </row>
    <row r="12" customFormat="false" ht="14.25" hidden="false" customHeight="false" outlineLevel="0" collapsed="false">
      <c r="A12" s="15" t="s">
        <v>673</v>
      </c>
      <c r="B12" s="15" t="s">
        <v>2531</v>
      </c>
      <c r="C12" s="17" t="n">
        <v>41</v>
      </c>
      <c r="D12" s="15" t="s">
        <v>105</v>
      </c>
      <c r="E12" s="15" t="s">
        <v>2520</v>
      </c>
      <c r="F12" s="16" t="n">
        <v>44821</v>
      </c>
    </row>
    <row r="13" customFormat="false" ht="14.25" hidden="false" customHeight="false" outlineLevel="0" collapsed="false">
      <c r="A13" s="15" t="s">
        <v>384</v>
      </c>
      <c r="B13" s="15" t="s">
        <v>2532</v>
      </c>
      <c r="C13" s="17" t="n">
        <v>43</v>
      </c>
      <c r="D13" s="15" t="s">
        <v>99</v>
      </c>
      <c r="E13" s="15" t="s">
        <v>2518</v>
      </c>
      <c r="F13" s="16" t="n">
        <v>44718</v>
      </c>
    </row>
    <row r="14" customFormat="false" ht="14.25" hidden="false" customHeight="false" outlineLevel="0" collapsed="false">
      <c r="A14" s="15" t="s">
        <v>221</v>
      </c>
      <c r="B14" s="15" t="s">
        <v>2533</v>
      </c>
      <c r="C14" s="17" t="n">
        <v>41</v>
      </c>
      <c r="D14" s="15" t="s">
        <v>110</v>
      </c>
      <c r="E14" s="15" t="s">
        <v>2518</v>
      </c>
      <c r="F14" s="16" t="n">
        <v>45018</v>
      </c>
    </row>
    <row r="15" customFormat="false" ht="14.25" hidden="false" customHeight="false" outlineLevel="0" collapsed="false">
      <c r="A15" s="15" t="s">
        <v>1675</v>
      </c>
      <c r="B15" s="15" t="s">
        <v>2534</v>
      </c>
      <c r="C15" s="17" t="n">
        <v>48</v>
      </c>
      <c r="D15" s="15" t="s">
        <v>128</v>
      </c>
      <c r="E15" s="15" t="s">
        <v>2518</v>
      </c>
      <c r="F15" s="16" t="n">
        <v>45225</v>
      </c>
    </row>
    <row r="16" customFormat="false" ht="14.25" hidden="false" customHeight="false" outlineLevel="0" collapsed="false">
      <c r="A16" s="15" t="s">
        <v>1540</v>
      </c>
      <c r="B16" s="15" t="s">
        <v>2535</v>
      </c>
      <c r="C16" s="17" t="n">
        <v>31</v>
      </c>
      <c r="D16" s="15" t="s">
        <v>105</v>
      </c>
      <c r="E16" s="15" t="s">
        <v>2518</v>
      </c>
      <c r="F16" s="16" t="n">
        <v>44654</v>
      </c>
    </row>
    <row r="17" customFormat="false" ht="14.25" hidden="false" customHeight="false" outlineLevel="0" collapsed="false">
      <c r="A17" s="15" t="s">
        <v>736</v>
      </c>
      <c r="B17" s="15" t="s">
        <v>2536</v>
      </c>
      <c r="C17" s="17" t="n">
        <v>26</v>
      </c>
      <c r="D17" s="15" t="s">
        <v>110</v>
      </c>
      <c r="E17" s="15" t="s">
        <v>2526</v>
      </c>
      <c r="F17" s="16" t="n">
        <v>45196</v>
      </c>
    </row>
    <row r="18" customFormat="false" ht="14.25" hidden="false" customHeight="false" outlineLevel="0" collapsed="false">
      <c r="A18" s="15" t="s">
        <v>879</v>
      </c>
      <c r="B18" s="15" t="s">
        <v>2537</v>
      </c>
      <c r="C18" s="17" t="n">
        <v>38</v>
      </c>
      <c r="D18" s="15" t="s">
        <v>110</v>
      </c>
      <c r="E18" s="15" t="s">
        <v>2526</v>
      </c>
      <c r="F18" s="16" t="n">
        <v>44752</v>
      </c>
    </row>
    <row r="19" customFormat="false" ht="14.25" hidden="false" customHeight="false" outlineLevel="0" collapsed="false">
      <c r="A19" s="15" t="s">
        <v>401</v>
      </c>
      <c r="B19" s="15" t="s">
        <v>2538</v>
      </c>
      <c r="C19" s="17" t="n">
        <v>54</v>
      </c>
      <c r="D19" s="15" t="s">
        <v>99</v>
      </c>
      <c r="E19" s="15" t="s">
        <v>2526</v>
      </c>
      <c r="F19" s="16" t="n">
        <v>43968</v>
      </c>
    </row>
    <row r="20" customFormat="false" ht="14.25" hidden="false" customHeight="false" outlineLevel="0" collapsed="false">
      <c r="A20" s="15" t="s">
        <v>806</v>
      </c>
      <c r="B20" s="15" t="s">
        <v>2539</v>
      </c>
      <c r="C20" s="17" t="n">
        <v>22</v>
      </c>
      <c r="D20" s="15" t="s">
        <v>105</v>
      </c>
      <c r="E20" s="15" t="s">
        <v>2518</v>
      </c>
      <c r="F20" s="16" t="n">
        <v>44375</v>
      </c>
    </row>
    <row r="21" customFormat="false" ht="14.25" hidden="false" customHeight="false" outlineLevel="0" collapsed="false">
      <c r="A21" s="15" t="s">
        <v>323</v>
      </c>
      <c r="B21" s="15" t="s">
        <v>2540</v>
      </c>
      <c r="C21" s="17" t="n">
        <v>46</v>
      </c>
      <c r="D21" s="15" t="s">
        <v>144</v>
      </c>
      <c r="E21" s="15" t="s">
        <v>2518</v>
      </c>
      <c r="F21" s="16" t="n">
        <v>43835</v>
      </c>
    </row>
    <row r="22" customFormat="false" ht="14.25" hidden="false" customHeight="false" outlineLevel="0" collapsed="false">
      <c r="A22" s="15" t="s">
        <v>1261</v>
      </c>
      <c r="B22" s="15" t="s">
        <v>2524</v>
      </c>
      <c r="C22" s="17" t="n">
        <v>44</v>
      </c>
      <c r="D22" s="15" t="s">
        <v>99</v>
      </c>
      <c r="E22" s="15" t="s">
        <v>2518</v>
      </c>
      <c r="F22" s="16" t="n">
        <v>44130</v>
      </c>
    </row>
    <row r="23" customFormat="false" ht="14.25" hidden="false" customHeight="false" outlineLevel="0" collapsed="false">
      <c r="A23" s="15" t="s">
        <v>1049</v>
      </c>
      <c r="B23" s="15" t="s">
        <v>2541</v>
      </c>
      <c r="C23" s="17" t="n">
        <v>55</v>
      </c>
      <c r="D23" s="15" t="s">
        <v>128</v>
      </c>
      <c r="E23" s="15" t="s">
        <v>2520</v>
      </c>
      <c r="F23" s="16" t="n">
        <v>44787</v>
      </c>
    </row>
    <row r="24" customFormat="false" ht="14.25" hidden="false" customHeight="false" outlineLevel="0" collapsed="false">
      <c r="A24" s="15" t="s">
        <v>1305</v>
      </c>
      <c r="B24" s="15" t="s">
        <v>2542</v>
      </c>
      <c r="C24" s="17" t="n">
        <v>43</v>
      </c>
      <c r="D24" s="15" t="s">
        <v>105</v>
      </c>
      <c r="E24" s="15" t="s">
        <v>2526</v>
      </c>
      <c r="F24" s="16" t="n">
        <v>44403</v>
      </c>
    </row>
    <row r="25" customFormat="false" ht="14.25" hidden="false" customHeight="false" outlineLevel="0" collapsed="false">
      <c r="A25" s="15" t="s">
        <v>436</v>
      </c>
      <c r="B25" s="15" t="s">
        <v>2543</v>
      </c>
      <c r="C25" s="17" t="n">
        <v>64</v>
      </c>
      <c r="D25" s="15" t="s">
        <v>2103</v>
      </c>
      <c r="E25" s="15" t="s">
        <v>2526</v>
      </c>
      <c r="F25" s="16" t="n">
        <v>44495</v>
      </c>
    </row>
    <row r="26" customFormat="false" ht="14.25" hidden="false" customHeight="false" outlineLevel="0" collapsed="false">
      <c r="A26" s="15" t="s">
        <v>396</v>
      </c>
      <c r="B26" s="15" t="s">
        <v>2544</v>
      </c>
      <c r="C26" s="17" t="n">
        <v>23</v>
      </c>
      <c r="D26" s="15" t="s">
        <v>128</v>
      </c>
      <c r="E26" s="15" t="s">
        <v>2518</v>
      </c>
      <c r="F26" s="16" t="n">
        <v>44536</v>
      </c>
    </row>
    <row r="27" customFormat="false" ht="14.25" hidden="false" customHeight="false" outlineLevel="0" collapsed="false">
      <c r="A27" s="15" t="s">
        <v>570</v>
      </c>
      <c r="B27" s="15" t="s">
        <v>2545</v>
      </c>
      <c r="C27" s="17" t="n">
        <v>62</v>
      </c>
      <c r="D27" s="15" t="s">
        <v>99</v>
      </c>
      <c r="E27" s="15" t="s">
        <v>2518</v>
      </c>
      <c r="F27" s="16" t="n">
        <v>43898</v>
      </c>
    </row>
    <row r="28" customFormat="false" ht="14.25" hidden="false" customHeight="false" outlineLevel="0" collapsed="false">
      <c r="A28" s="15" t="s">
        <v>493</v>
      </c>
      <c r="B28" s="15" t="s">
        <v>2546</v>
      </c>
      <c r="C28" s="17" t="n">
        <v>52</v>
      </c>
      <c r="D28" s="15" t="s">
        <v>144</v>
      </c>
      <c r="E28" s="15" t="s">
        <v>2520</v>
      </c>
      <c r="F28" s="16" t="n">
        <v>45201</v>
      </c>
    </row>
    <row r="29" customFormat="false" ht="14.25" hidden="false" customHeight="false" outlineLevel="0" collapsed="false">
      <c r="A29" s="15" t="s">
        <v>414</v>
      </c>
      <c r="B29" s="15" t="s">
        <v>2547</v>
      </c>
      <c r="C29" s="17" t="n">
        <v>59</v>
      </c>
      <c r="D29" s="15" t="s">
        <v>128</v>
      </c>
      <c r="E29" s="15" t="s">
        <v>2518</v>
      </c>
      <c r="F29" s="16" t="n">
        <v>44686</v>
      </c>
    </row>
    <row r="30" customFormat="false" ht="14.25" hidden="false" customHeight="false" outlineLevel="0" collapsed="false">
      <c r="A30" s="15" t="s">
        <v>1886</v>
      </c>
      <c r="B30" s="15" t="s">
        <v>2548</v>
      </c>
      <c r="C30" s="17" t="n">
        <v>54</v>
      </c>
      <c r="D30" s="15" t="s">
        <v>105</v>
      </c>
      <c r="E30" s="15" t="s">
        <v>2520</v>
      </c>
      <c r="F30" s="16" t="n">
        <v>44930</v>
      </c>
    </row>
    <row r="31" customFormat="false" ht="14.25" hidden="false" customHeight="false" outlineLevel="0" collapsed="false">
      <c r="A31" s="15" t="s">
        <v>768</v>
      </c>
      <c r="B31" s="15" t="s">
        <v>2549</v>
      </c>
      <c r="C31" s="17" t="n">
        <v>43</v>
      </c>
      <c r="D31" s="15" t="s">
        <v>128</v>
      </c>
      <c r="E31" s="15" t="s">
        <v>2520</v>
      </c>
      <c r="F31" s="16" t="n">
        <v>44151</v>
      </c>
    </row>
    <row r="32" customFormat="false" ht="14.25" hidden="false" customHeight="false" outlineLevel="0" collapsed="false">
      <c r="A32" s="15" t="s">
        <v>274</v>
      </c>
      <c r="B32" s="15" t="s">
        <v>2550</v>
      </c>
      <c r="C32" s="17" t="n">
        <v>53</v>
      </c>
      <c r="D32" s="15" t="s">
        <v>144</v>
      </c>
      <c r="E32" s="15" t="s">
        <v>2518</v>
      </c>
      <c r="F32" s="16" t="n">
        <v>44599</v>
      </c>
    </row>
    <row r="33" customFormat="false" ht="14.25" hidden="false" customHeight="false" outlineLevel="0" collapsed="false">
      <c r="A33" s="15" t="s">
        <v>335</v>
      </c>
      <c r="B33" s="15" t="s">
        <v>2551</v>
      </c>
      <c r="C33" s="17" t="n">
        <v>28</v>
      </c>
      <c r="D33" s="15" t="s">
        <v>144</v>
      </c>
      <c r="E33" s="15" t="s">
        <v>2518</v>
      </c>
      <c r="F33" s="16" t="n">
        <v>43908</v>
      </c>
    </row>
    <row r="34" customFormat="false" ht="14.25" hidden="false" customHeight="false" outlineLevel="0" collapsed="false">
      <c r="A34" s="15" t="s">
        <v>302</v>
      </c>
      <c r="B34" s="15" t="s">
        <v>2552</v>
      </c>
      <c r="C34" s="17" t="n">
        <v>35</v>
      </c>
      <c r="D34" s="15" t="s">
        <v>110</v>
      </c>
      <c r="E34" s="15" t="s">
        <v>2518</v>
      </c>
      <c r="F34" s="16" t="n">
        <v>44830</v>
      </c>
    </row>
    <row r="35" customFormat="false" ht="14.25" hidden="false" customHeight="false" outlineLevel="0" collapsed="false">
      <c r="A35" s="15" t="s">
        <v>979</v>
      </c>
      <c r="B35" s="15" t="s">
        <v>2553</v>
      </c>
      <c r="C35" s="17" t="n">
        <v>47</v>
      </c>
      <c r="D35" s="15" t="s">
        <v>110</v>
      </c>
      <c r="E35" s="15" t="s">
        <v>2518</v>
      </c>
      <c r="F35" s="16" t="n">
        <v>44182</v>
      </c>
    </row>
    <row r="36" customFormat="false" ht="14.25" hidden="false" customHeight="false" outlineLevel="0" collapsed="false">
      <c r="A36" s="15" t="s">
        <v>210</v>
      </c>
      <c r="B36" s="15" t="s">
        <v>2554</v>
      </c>
      <c r="C36" s="17" t="n">
        <v>53</v>
      </c>
      <c r="D36" s="15" t="s">
        <v>144</v>
      </c>
      <c r="E36" s="15" t="s">
        <v>2518</v>
      </c>
      <c r="F36" s="16" t="n">
        <v>44532</v>
      </c>
    </row>
    <row r="37" customFormat="false" ht="14.25" hidden="false" customHeight="false" outlineLevel="0" collapsed="false">
      <c r="A37" s="15" t="s">
        <v>684</v>
      </c>
      <c r="B37" s="15" t="s">
        <v>2555</v>
      </c>
      <c r="C37" s="17" t="n">
        <v>35</v>
      </c>
      <c r="D37" s="15" t="s">
        <v>123</v>
      </c>
      <c r="E37" s="15" t="s">
        <v>2518</v>
      </c>
      <c r="F37" s="16" t="n">
        <v>44617</v>
      </c>
    </row>
    <row r="38" customFormat="false" ht="14.25" hidden="false" customHeight="false" outlineLevel="0" collapsed="false">
      <c r="A38" s="15" t="s">
        <v>846</v>
      </c>
      <c r="B38" s="15" t="s">
        <v>2556</v>
      </c>
      <c r="C38" s="17" t="n">
        <v>52</v>
      </c>
      <c r="D38" s="15" t="s">
        <v>128</v>
      </c>
      <c r="E38" s="15" t="s">
        <v>2518</v>
      </c>
      <c r="F38" s="16" t="n">
        <v>44468</v>
      </c>
    </row>
    <row r="39" customFormat="false" ht="14.25" hidden="false" customHeight="false" outlineLevel="0" collapsed="false">
      <c r="A39" s="15" t="s">
        <v>885</v>
      </c>
      <c r="B39" s="15" t="s">
        <v>2557</v>
      </c>
      <c r="C39" s="17" t="n">
        <v>57</v>
      </c>
      <c r="D39" s="15" t="s">
        <v>123</v>
      </c>
      <c r="E39" s="15" t="s">
        <v>2518</v>
      </c>
      <c r="F39" s="16" t="n">
        <v>43843</v>
      </c>
    </row>
    <row r="40" customFormat="false" ht="14.25" hidden="false" customHeight="false" outlineLevel="0" collapsed="false">
      <c r="A40" s="15" t="s">
        <v>848</v>
      </c>
      <c r="B40" s="15" t="s">
        <v>2558</v>
      </c>
      <c r="C40" s="17" t="n">
        <v>37</v>
      </c>
      <c r="D40" s="15" t="s">
        <v>128</v>
      </c>
      <c r="E40" s="15" t="s">
        <v>2518</v>
      </c>
      <c r="F40" s="16" t="n">
        <v>43989</v>
      </c>
    </row>
    <row r="41" customFormat="false" ht="14.25" hidden="false" customHeight="false" outlineLevel="0" collapsed="false">
      <c r="A41" s="15" t="s">
        <v>295</v>
      </c>
      <c r="B41" s="15" t="s">
        <v>2559</v>
      </c>
      <c r="C41" s="17" t="n">
        <v>28</v>
      </c>
      <c r="D41" s="15" t="s">
        <v>105</v>
      </c>
      <c r="E41" s="15" t="s">
        <v>2518</v>
      </c>
      <c r="F41" s="16" t="n">
        <v>44625</v>
      </c>
    </row>
    <row r="42" customFormat="false" ht="14.25" hidden="false" customHeight="false" outlineLevel="0" collapsed="false">
      <c r="A42" s="15" t="s">
        <v>521</v>
      </c>
      <c r="B42" s="15" t="s">
        <v>2560</v>
      </c>
      <c r="C42" s="17" t="n">
        <v>26</v>
      </c>
      <c r="D42" s="15" t="s">
        <v>128</v>
      </c>
      <c r="E42" s="15" t="s">
        <v>2526</v>
      </c>
      <c r="F42" s="16" t="n">
        <v>43895</v>
      </c>
    </row>
    <row r="43" customFormat="false" ht="14.25" hidden="false" customHeight="false" outlineLevel="0" collapsed="false">
      <c r="A43" s="15" t="s">
        <v>351</v>
      </c>
      <c r="B43" s="15" t="s">
        <v>2561</v>
      </c>
      <c r="C43" s="17" t="n">
        <v>25</v>
      </c>
      <c r="D43" s="15" t="s">
        <v>99</v>
      </c>
      <c r="E43" s="15" t="s">
        <v>2518</v>
      </c>
      <c r="F43" s="16" t="n">
        <v>43843</v>
      </c>
    </row>
    <row r="44" customFormat="false" ht="14.25" hidden="false" customHeight="false" outlineLevel="0" collapsed="false">
      <c r="A44" s="15" t="s">
        <v>523</v>
      </c>
      <c r="B44" s="15" t="s">
        <v>2562</v>
      </c>
      <c r="C44" s="17" t="n">
        <v>61</v>
      </c>
      <c r="D44" s="15" t="s">
        <v>144</v>
      </c>
      <c r="E44" s="15" t="s">
        <v>2518</v>
      </c>
      <c r="F44" s="16" t="n">
        <v>44553</v>
      </c>
    </row>
    <row r="45" customFormat="false" ht="14.25" hidden="false" customHeight="false" outlineLevel="0" collapsed="false">
      <c r="A45" s="15" t="s">
        <v>752</v>
      </c>
      <c r="B45" s="15" t="s">
        <v>2563</v>
      </c>
      <c r="C45" s="17" t="n">
        <v>29</v>
      </c>
      <c r="D45" s="15" t="s">
        <v>144</v>
      </c>
      <c r="E45" s="15" t="s">
        <v>2526</v>
      </c>
      <c r="F45" s="16" t="n">
        <v>45084</v>
      </c>
    </row>
    <row r="46" customFormat="false" ht="14.25" hidden="false" customHeight="false" outlineLevel="0" collapsed="false">
      <c r="A46" s="15" t="s">
        <v>813</v>
      </c>
      <c r="B46" s="15" t="s">
        <v>2564</v>
      </c>
      <c r="C46" s="17" t="n">
        <v>39</v>
      </c>
      <c r="D46" s="15" t="s">
        <v>105</v>
      </c>
      <c r="E46" s="15" t="s">
        <v>2526</v>
      </c>
      <c r="F46" s="16" t="n">
        <v>45156</v>
      </c>
    </row>
    <row r="47" customFormat="false" ht="14.25" hidden="false" customHeight="false" outlineLevel="0" collapsed="false">
      <c r="A47" s="15" t="s">
        <v>1014</v>
      </c>
      <c r="B47" s="15" t="s">
        <v>2565</v>
      </c>
      <c r="C47" s="17" t="n">
        <v>45</v>
      </c>
      <c r="D47" s="15" t="s">
        <v>110</v>
      </c>
      <c r="E47" s="15" t="s">
        <v>2526</v>
      </c>
      <c r="F47" s="16" t="n">
        <v>45144</v>
      </c>
    </row>
    <row r="48" customFormat="false" ht="14.25" hidden="false" customHeight="false" outlineLevel="0" collapsed="false">
      <c r="A48" s="15" t="s">
        <v>529</v>
      </c>
      <c r="B48" s="15" t="s">
        <v>2566</v>
      </c>
      <c r="C48" s="17" t="n">
        <v>49</v>
      </c>
      <c r="D48" s="15" t="s">
        <v>99</v>
      </c>
      <c r="E48" s="15" t="s">
        <v>2518</v>
      </c>
      <c r="F48" s="16" t="n">
        <v>44066</v>
      </c>
    </row>
    <row r="49" customFormat="false" ht="14.25" hidden="false" customHeight="false" outlineLevel="0" collapsed="false">
      <c r="A49" s="15" t="s">
        <v>501</v>
      </c>
      <c r="B49" s="15" t="s">
        <v>2567</v>
      </c>
      <c r="C49" s="17" t="n">
        <v>59</v>
      </c>
      <c r="D49" s="15" t="s">
        <v>110</v>
      </c>
      <c r="E49" s="15" t="s">
        <v>2518</v>
      </c>
      <c r="F49" s="16" t="n">
        <v>44479</v>
      </c>
    </row>
    <row r="50" customFormat="false" ht="14.25" hidden="false" customHeight="false" outlineLevel="0" collapsed="false">
      <c r="A50" s="15" t="s">
        <v>1369</v>
      </c>
      <c r="B50" s="15" t="s">
        <v>2568</v>
      </c>
      <c r="C50" s="17" t="n">
        <v>42</v>
      </c>
      <c r="D50" s="15" t="s">
        <v>123</v>
      </c>
      <c r="E50" s="15" t="s">
        <v>2520</v>
      </c>
      <c r="F50" s="16" t="n">
        <v>45116</v>
      </c>
    </row>
    <row r="51" customFormat="false" ht="14.25" hidden="false" customHeight="false" outlineLevel="0" collapsed="false">
      <c r="A51" s="15" t="s">
        <v>566</v>
      </c>
      <c r="B51" s="15" t="s">
        <v>2569</v>
      </c>
      <c r="C51" s="17" t="n">
        <v>37</v>
      </c>
      <c r="D51" s="15" t="s">
        <v>123</v>
      </c>
      <c r="E51" s="15" t="s">
        <v>2518</v>
      </c>
      <c r="F51" s="16" t="n">
        <v>43967</v>
      </c>
    </row>
    <row r="52" customFormat="false" ht="14.25" hidden="false" customHeight="false" outlineLevel="0" collapsed="false">
      <c r="A52" s="15" t="s">
        <v>319</v>
      </c>
      <c r="B52" s="15" t="s">
        <v>2570</v>
      </c>
      <c r="C52" s="17" t="n">
        <v>54</v>
      </c>
      <c r="D52" s="15" t="s">
        <v>99</v>
      </c>
      <c r="E52" s="15" t="s">
        <v>2526</v>
      </c>
      <c r="F52" s="16" t="n">
        <v>44613</v>
      </c>
    </row>
    <row r="53" customFormat="false" ht="14.25" hidden="false" customHeight="false" outlineLevel="0" collapsed="false">
      <c r="A53" s="15" t="s">
        <v>157</v>
      </c>
      <c r="B53" s="15" t="s">
        <v>2571</v>
      </c>
      <c r="C53" s="17" t="n">
        <v>38</v>
      </c>
      <c r="D53" s="15" t="s">
        <v>99</v>
      </c>
      <c r="E53" s="15" t="s">
        <v>2518</v>
      </c>
      <c r="F53" s="16" t="n">
        <v>44209</v>
      </c>
    </row>
    <row r="54" customFormat="false" ht="14.25" hidden="false" customHeight="false" outlineLevel="0" collapsed="false">
      <c r="A54" s="15" t="s">
        <v>234</v>
      </c>
      <c r="B54" s="15" t="s">
        <v>2572</v>
      </c>
      <c r="C54" s="17" t="n">
        <v>53</v>
      </c>
      <c r="D54" s="15" t="s">
        <v>110</v>
      </c>
      <c r="E54" s="15" t="s">
        <v>2518</v>
      </c>
      <c r="F54" s="16" t="n">
        <v>44288</v>
      </c>
    </row>
    <row r="55" customFormat="false" ht="14.25" hidden="false" customHeight="false" outlineLevel="0" collapsed="false">
      <c r="A55" s="15" t="s">
        <v>883</v>
      </c>
      <c r="B55" s="15" t="s">
        <v>2573</v>
      </c>
      <c r="C55" s="17" t="n">
        <v>62</v>
      </c>
      <c r="D55" s="15" t="s">
        <v>123</v>
      </c>
      <c r="E55" s="15" t="s">
        <v>2520</v>
      </c>
      <c r="F55" s="16" t="n">
        <v>44482</v>
      </c>
    </row>
    <row r="56" customFormat="false" ht="14.25" hidden="false" customHeight="false" outlineLevel="0" collapsed="false">
      <c r="A56" s="15" t="s">
        <v>615</v>
      </c>
      <c r="B56" s="15" t="s">
        <v>2574</v>
      </c>
      <c r="C56" s="17" t="n">
        <v>34</v>
      </c>
      <c r="D56" s="15" t="s">
        <v>128</v>
      </c>
      <c r="E56" s="15" t="s">
        <v>2518</v>
      </c>
      <c r="F56" s="16" t="n">
        <v>44753</v>
      </c>
    </row>
    <row r="57" customFormat="false" ht="14.25" hidden="false" customHeight="false" outlineLevel="0" collapsed="false">
      <c r="A57" s="15" t="s">
        <v>164</v>
      </c>
      <c r="B57" s="15" t="s">
        <v>2517</v>
      </c>
      <c r="C57" s="17" t="n">
        <v>46</v>
      </c>
      <c r="D57" s="15" t="s">
        <v>128</v>
      </c>
      <c r="E57" s="15" t="s">
        <v>2526</v>
      </c>
      <c r="F57" s="16" t="n">
        <v>45202</v>
      </c>
    </row>
    <row r="58" customFormat="false" ht="14.25" hidden="false" customHeight="false" outlineLevel="0" collapsed="false">
      <c r="A58" s="15" t="s">
        <v>781</v>
      </c>
      <c r="B58" s="15" t="s">
        <v>2575</v>
      </c>
      <c r="C58" s="17" t="n">
        <v>35</v>
      </c>
      <c r="D58" s="15" t="s">
        <v>99</v>
      </c>
      <c r="E58" s="15" t="s">
        <v>2518</v>
      </c>
      <c r="F58" s="16" t="n">
        <v>43917</v>
      </c>
    </row>
    <row r="59" customFormat="false" ht="14.25" hidden="false" customHeight="false" outlineLevel="0" collapsed="false">
      <c r="A59" s="15" t="s">
        <v>1027</v>
      </c>
      <c r="B59" s="15" t="s">
        <v>2576</v>
      </c>
      <c r="C59" s="17" t="n">
        <v>49</v>
      </c>
      <c r="D59" s="15" t="s">
        <v>128</v>
      </c>
      <c r="E59" s="15" t="s">
        <v>2526</v>
      </c>
      <c r="F59" s="16" t="n">
        <v>44471</v>
      </c>
    </row>
    <row r="60" customFormat="false" ht="14.25" hidden="false" customHeight="false" outlineLevel="0" collapsed="false">
      <c r="A60" s="15" t="s">
        <v>498</v>
      </c>
      <c r="B60" s="15" t="s">
        <v>2577</v>
      </c>
      <c r="C60" s="17" t="n">
        <v>29</v>
      </c>
      <c r="D60" s="15" t="s">
        <v>99</v>
      </c>
      <c r="E60" s="15" t="s">
        <v>2520</v>
      </c>
      <c r="F60" s="16" t="n">
        <v>44796</v>
      </c>
    </row>
    <row r="61" customFormat="false" ht="14.25" hidden="false" customHeight="false" outlineLevel="0" collapsed="false">
      <c r="A61" s="15" t="s">
        <v>1183</v>
      </c>
      <c r="B61" s="15" t="s">
        <v>2578</v>
      </c>
      <c r="C61" s="17" t="n">
        <v>39</v>
      </c>
      <c r="D61" s="15" t="s">
        <v>99</v>
      </c>
      <c r="E61" s="15" t="s">
        <v>2518</v>
      </c>
      <c r="F61" s="16" t="n">
        <v>43897</v>
      </c>
    </row>
    <row r="62" customFormat="false" ht="14.25" hidden="false" customHeight="false" outlineLevel="0" collapsed="false">
      <c r="A62" s="15" t="s">
        <v>755</v>
      </c>
      <c r="B62" s="15" t="s">
        <v>2579</v>
      </c>
      <c r="C62" s="17" t="n">
        <v>64</v>
      </c>
      <c r="D62" s="15" t="s">
        <v>144</v>
      </c>
      <c r="E62" s="15" t="s">
        <v>2518</v>
      </c>
      <c r="F62" s="16" t="n">
        <v>43971</v>
      </c>
    </row>
    <row r="63" customFormat="false" ht="14.25" hidden="false" customHeight="false" outlineLevel="0" collapsed="false">
      <c r="A63" s="15" t="s">
        <v>746</v>
      </c>
      <c r="B63" s="15" t="s">
        <v>2580</v>
      </c>
      <c r="C63" s="17" t="n">
        <v>54</v>
      </c>
      <c r="D63" s="15" t="s">
        <v>99</v>
      </c>
      <c r="E63" s="15" t="s">
        <v>2518</v>
      </c>
      <c r="F63" s="16" t="n">
        <v>45016</v>
      </c>
    </row>
    <row r="64" customFormat="false" ht="14.25" hidden="false" customHeight="false" outlineLevel="0" collapsed="false">
      <c r="A64" s="15" t="s">
        <v>1083</v>
      </c>
      <c r="B64" s="15" t="s">
        <v>2581</v>
      </c>
      <c r="C64" s="17" t="n">
        <v>53</v>
      </c>
      <c r="D64" s="15" t="s">
        <v>123</v>
      </c>
      <c r="E64" s="15" t="s">
        <v>2526</v>
      </c>
      <c r="F64" s="16" t="n">
        <v>44008</v>
      </c>
    </row>
    <row r="65" customFormat="false" ht="14.25" hidden="false" customHeight="false" outlineLevel="0" collapsed="false">
      <c r="A65" s="15" t="s">
        <v>217</v>
      </c>
      <c r="B65" s="15" t="s">
        <v>2582</v>
      </c>
      <c r="C65" s="17" t="n">
        <v>40</v>
      </c>
      <c r="D65" s="15" t="s">
        <v>144</v>
      </c>
      <c r="E65" s="15" t="s">
        <v>2526</v>
      </c>
      <c r="F65" s="16" t="n">
        <v>45070</v>
      </c>
    </row>
    <row r="66" customFormat="false" ht="14.25" hidden="false" customHeight="false" outlineLevel="0" collapsed="false">
      <c r="A66" s="15" t="s">
        <v>1191</v>
      </c>
      <c r="B66" s="15" t="s">
        <v>2583</v>
      </c>
      <c r="C66" s="17" t="n">
        <v>49</v>
      </c>
      <c r="D66" s="15" t="s">
        <v>105</v>
      </c>
      <c r="E66" s="15" t="s">
        <v>2520</v>
      </c>
      <c r="F66" s="16" t="n">
        <v>44543</v>
      </c>
    </row>
    <row r="67" customFormat="false" ht="14.25" hidden="false" customHeight="false" outlineLevel="0" collapsed="false">
      <c r="A67" s="15" t="s">
        <v>725</v>
      </c>
      <c r="B67" s="15" t="s">
        <v>2584</v>
      </c>
      <c r="C67" s="17" t="n">
        <v>24</v>
      </c>
      <c r="D67" s="15" t="s">
        <v>110</v>
      </c>
      <c r="E67" s="15" t="s">
        <v>2518</v>
      </c>
      <c r="F67" s="16" t="n">
        <v>44851</v>
      </c>
    </row>
    <row r="68" customFormat="false" ht="14.25" hidden="false" customHeight="false" outlineLevel="0" collapsed="false">
      <c r="A68" s="15" t="s">
        <v>485</v>
      </c>
      <c r="B68" s="15" t="s">
        <v>2585</v>
      </c>
      <c r="C68" s="17" t="n">
        <v>59</v>
      </c>
      <c r="D68" s="15" t="s">
        <v>110</v>
      </c>
      <c r="E68" s="15" t="s">
        <v>2526</v>
      </c>
      <c r="F68" s="16" t="n">
        <v>44020</v>
      </c>
    </row>
    <row r="69" customFormat="false" ht="14.25" hidden="false" customHeight="false" outlineLevel="0" collapsed="false">
      <c r="A69" s="15" t="s">
        <v>544</v>
      </c>
      <c r="B69" s="15" t="s">
        <v>2586</v>
      </c>
      <c r="C69" s="17" t="n">
        <v>48</v>
      </c>
      <c r="D69" s="15" t="s">
        <v>110</v>
      </c>
      <c r="E69" s="15" t="s">
        <v>2526</v>
      </c>
      <c r="F69" s="16" t="n">
        <v>44553</v>
      </c>
    </row>
    <row r="70" customFormat="false" ht="14.25" hidden="false" customHeight="false" outlineLevel="0" collapsed="false">
      <c r="A70" s="15" t="s">
        <v>228</v>
      </c>
      <c r="B70" s="15" t="s">
        <v>2587</v>
      </c>
      <c r="C70" s="17" t="n">
        <v>51</v>
      </c>
      <c r="D70" s="15" t="s">
        <v>105</v>
      </c>
      <c r="E70" s="15" t="s">
        <v>2518</v>
      </c>
      <c r="F70" s="16" t="n">
        <v>43906</v>
      </c>
    </row>
    <row r="71" customFormat="false" ht="14.25" hidden="false" customHeight="false" outlineLevel="0" collapsed="false">
      <c r="A71" s="15" t="s">
        <v>382</v>
      </c>
      <c r="B71" s="15" t="s">
        <v>2588</v>
      </c>
      <c r="C71" s="17" t="n">
        <v>42</v>
      </c>
      <c r="D71" s="15" t="s">
        <v>123</v>
      </c>
      <c r="E71" s="15" t="s">
        <v>2518</v>
      </c>
      <c r="F71" s="16" t="n">
        <v>44568</v>
      </c>
    </row>
    <row r="72" customFormat="false" ht="14.25" hidden="false" customHeight="false" outlineLevel="0" collapsed="false">
      <c r="A72" s="15" t="s">
        <v>112</v>
      </c>
      <c r="B72" s="15" t="s">
        <v>2589</v>
      </c>
      <c r="C72" s="17" t="n">
        <v>46</v>
      </c>
      <c r="D72" s="15" t="s">
        <v>110</v>
      </c>
      <c r="E72" s="15" t="s">
        <v>2520</v>
      </c>
      <c r="F72" s="16" t="n">
        <v>44574</v>
      </c>
    </row>
    <row r="73" customFormat="false" ht="14.25" hidden="false" customHeight="false" outlineLevel="0" collapsed="false">
      <c r="A73" s="15" t="s">
        <v>889</v>
      </c>
      <c r="B73" s="15" t="s">
        <v>2590</v>
      </c>
      <c r="C73" s="17" t="n">
        <v>62</v>
      </c>
      <c r="D73" s="15" t="s">
        <v>123</v>
      </c>
      <c r="E73" s="15" t="s">
        <v>2520</v>
      </c>
      <c r="F73" s="16" t="n">
        <v>44301</v>
      </c>
    </row>
    <row r="74" customFormat="false" ht="14.25" hidden="false" customHeight="false" outlineLevel="0" collapsed="false">
      <c r="A74" s="15" t="s">
        <v>591</v>
      </c>
      <c r="B74" s="15" t="s">
        <v>2591</v>
      </c>
      <c r="C74" s="17" t="n">
        <v>40</v>
      </c>
      <c r="D74" s="15" t="s">
        <v>99</v>
      </c>
      <c r="E74" s="15" t="s">
        <v>2520</v>
      </c>
      <c r="F74" s="16" t="n">
        <v>45190</v>
      </c>
    </row>
    <row r="75" customFormat="false" ht="14.25" hidden="false" customHeight="false" outlineLevel="0" collapsed="false">
      <c r="A75" s="15" t="s">
        <v>790</v>
      </c>
      <c r="B75" s="15" t="s">
        <v>2592</v>
      </c>
      <c r="C75" s="17" t="n">
        <v>27</v>
      </c>
      <c r="D75" s="15" t="s">
        <v>128</v>
      </c>
      <c r="E75" s="15" t="s">
        <v>2518</v>
      </c>
      <c r="F75" s="16" t="n">
        <v>45100</v>
      </c>
    </row>
    <row r="76" customFormat="false" ht="14.25" hidden="false" customHeight="false" outlineLevel="0" collapsed="false">
      <c r="A76" s="15" t="s">
        <v>535</v>
      </c>
      <c r="B76" s="15" t="s">
        <v>2593</v>
      </c>
      <c r="C76" s="17" t="n">
        <v>55</v>
      </c>
      <c r="D76" s="15" t="s">
        <v>123</v>
      </c>
      <c r="E76" s="15" t="s">
        <v>2520</v>
      </c>
      <c r="F76" s="16" t="n">
        <v>43973</v>
      </c>
    </row>
    <row r="77" customFormat="false" ht="14.25" hidden="false" customHeight="false" outlineLevel="0" collapsed="false">
      <c r="A77" s="15" t="s">
        <v>1361</v>
      </c>
      <c r="B77" s="15" t="s">
        <v>2594</v>
      </c>
      <c r="C77" s="17" t="n">
        <v>38</v>
      </c>
      <c r="D77" s="15" t="s">
        <v>123</v>
      </c>
      <c r="E77" s="15" t="s">
        <v>2518</v>
      </c>
      <c r="F77" s="16" t="n">
        <v>43964</v>
      </c>
    </row>
    <row r="78" customFormat="false" ht="14.25" hidden="false" customHeight="false" outlineLevel="0" collapsed="false">
      <c r="A78" s="15" t="s">
        <v>548</v>
      </c>
      <c r="B78" s="15" t="s">
        <v>2595</v>
      </c>
      <c r="C78" s="17" t="n">
        <v>48</v>
      </c>
      <c r="D78" s="15" t="s">
        <v>144</v>
      </c>
      <c r="E78" s="15" t="s">
        <v>2526</v>
      </c>
      <c r="F78" s="16" t="n">
        <v>44443</v>
      </c>
    </row>
    <row r="79" customFormat="false" ht="14.25" hidden="false" customHeight="false" outlineLevel="0" collapsed="false">
      <c r="A79" s="15" t="s">
        <v>333</v>
      </c>
      <c r="B79" s="15" t="s">
        <v>2596</v>
      </c>
      <c r="C79" s="17" t="n">
        <v>31</v>
      </c>
      <c r="D79" s="15" t="s">
        <v>110</v>
      </c>
      <c r="E79" s="15" t="s">
        <v>2518</v>
      </c>
      <c r="F79" s="16" t="n">
        <v>45133</v>
      </c>
    </row>
    <row r="80" customFormat="false" ht="14.25" hidden="false" customHeight="false" outlineLevel="0" collapsed="false">
      <c r="A80" s="15" t="s">
        <v>562</v>
      </c>
      <c r="B80" s="15" t="s">
        <v>2597</v>
      </c>
      <c r="C80" s="17" t="n">
        <v>60</v>
      </c>
      <c r="D80" s="15" t="s">
        <v>123</v>
      </c>
      <c r="E80" s="15" t="s">
        <v>2520</v>
      </c>
      <c r="F80" s="16" t="n">
        <v>44271</v>
      </c>
    </row>
    <row r="81" customFormat="false" ht="14.25" hidden="false" customHeight="false" outlineLevel="0" collapsed="false">
      <c r="A81" s="15" t="s">
        <v>451</v>
      </c>
      <c r="B81" s="15" t="s">
        <v>2598</v>
      </c>
      <c r="C81" s="17" t="n">
        <v>30</v>
      </c>
      <c r="D81" s="15" t="s">
        <v>99</v>
      </c>
      <c r="E81" s="15" t="s">
        <v>2526</v>
      </c>
      <c r="F81" s="16" t="n">
        <v>43901</v>
      </c>
    </row>
    <row r="82" customFormat="false" ht="14.25" hidden="false" customHeight="false" outlineLevel="0" collapsed="false">
      <c r="A82" s="15" t="s">
        <v>377</v>
      </c>
      <c r="B82" s="15" t="s">
        <v>2599</v>
      </c>
      <c r="C82" s="17" t="n">
        <v>25</v>
      </c>
      <c r="D82" s="15" t="s">
        <v>123</v>
      </c>
      <c r="E82" s="15" t="s">
        <v>2518</v>
      </c>
      <c r="F82" s="16" t="n">
        <v>44331</v>
      </c>
    </row>
    <row r="83" customFormat="false" ht="14.25" hidden="false" customHeight="false" outlineLevel="0" collapsed="false">
      <c r="A83" s="15" t="s">
        <v>331</v>
      </c>
      <c r="B83" s="15" t="s">
        <v>2600</v>
      </c>
      <c r="C83" s="17" t="n">
        <v>36</v>
      </c>
      <c r="D83" s="15" t="s">
        <v>144</v>
      </c>
      <c r="E83" s="15" t="s">
        <v>2526</v>
      </c>
      <c r="F83" s="16" t="n">
        <v>44152</v>
      </c>
    </row>
    <row r="84" customFormat="false" ht="14.25" hidden="false" customHeight="false" outlineLevel="0" collapsed="false">
      <c r="A84" s="15" t="s">
        <v>1115</v>
      </c>
      <c r="B84" s="15" t="s">
        <v>2601</v>
      </c>
      <c r="C84" s="17" t="n">
        <v>31</v>
      </c>
      <c r="D84" s="15" t="s">
        <v>128</v>
      </c>
      <c r="E84" s="15" t="s">
        <v>2520</v>
      </c>
      <c r="F84" s="16" t="n">
        <v>44248</v>
      </c>
    </row>
    <row r="85" customFormat="false" ht="14.25" hidden="false" customHeight="false" outlineLevel="0" collapsed="false">
      <c r="A85" s="15" t="s">
        <v>339</v>
      </c>
      <c r="B85" s="15" t="s">
        <v>2602</v>
      </c>
      <c r="C85" s="17" t="n">
        <v>28</v>
      </c>
      <c r="D85" s="15" t="s">
        <v>105</v>
      </c>
      <c r="E85" s="15" t="s">
        <v>2518</v>
      </c>
      <c r="F85" s="16" t="n">
        <v>44116</v>
      </c>
    </row>
    <row r="86" customFormat="false" ht="14.25" hidden="false" customHeight="false" outlineLevel="0" collapsed="false">
      <c r="A86" s="15" t="s">
        <v>596</v>
      </c>
      <c r="B86" s="15" t="s">
        <v>2603</v>
      </c>
      <c r="C86" s="17" t="n">
        <v>26</v>
      </c>
      <c r="D86" s="15" t="s">
        <v>105</v>
      </c>
      <c r="E86" s="15" t="s">
        <v>2518</v>
      </c>
      <c r="F86" s="16" t="n">
        <v>45149</v>
      </c>
    </row>
    <row r="87" customFormat="false" ht="14.25" hidden="false" customHeight="false" outlineLevel="0" collapsed="false">
      <c r="A87" s="15" t="s">
        <v>201</v>
      </c>
      <c r="B87" s="15" t="s">
        <v>2604</v>
      </c>
      <c r="C87" s="17" t="n">
        <v>56</v>
      </c>
      <c r="D87" s="15" t="s">
        <v>144</v>
      </c>
      <c r="E87" s="15" t="s">
        <v>2520</v>
      </c>
      <c r="F87" s="16" t="n">
        <v>45039</v>
      </c>
    </row>
    <row r="88" customFormat="false" ht="14.25" hidden="false" customHeight="false" outlineLevel="0" collapsed="false">
      <c r="A88" s="15" t="s">
        <v>490</v>
      </c>
      <c r="B88" s="15" t="s">
        <v>2605</v>
      </c>
      <c r="C88" s="17" t="n">
        <v>49</v>
      </c>
      <c r="D88" s="15" t="s">
        <v>99</v>
      </c>
      <c r="E88" s="15" t="s">
        <v>2526</v>
      </c>
      <c r="F88" s="16" t="n">
        <v>44621</v>
      </c>
    </row>
    <row r="89" customFormat="false" ht="14.25" hidden="false" customHeight="false" outlineLevel="0" collapsed="false">
      <c r="A89" s="15" t="s">
        <v>265</v>
      </c>
      <c r="B89" s="15" t="s">
        <v>2606</v>
      </c>
      <c r="C89" s="17" t="n">
        <v>24</v>
      </c>
      <c r="D89" s="15" t="s">
        <v>105</v>
      </c>
      <c r="E89" s="15" t="s">
        <v>2518</v>
      </c>
      <c r="F89" s="16" t="n">
        <v>44693</v>
      </c>
    </row>
    <row r="90" customFormat="false" ht="14.25" hidden="false" customHeight="false" outlineLevel="0" collapsed="false">
      <c r="A90" s="15" t="s">
        <v>916</v>
      </c>
      <c r="B90" s="15" t="s">
        <v>2607</v>
      </c>
      <c r="C90" s="17" t="n">
        <v>43</v>
      </c>
      <c r="D90" s="15" t="s">
        <v>123</v>
      </c>
      <c r="E90" s="15" t="s">
        <v>2526</v>
      </c>
      <c r="F90" s="16" t="n">
        <v>44513</v>
      </c>
    </row>
    <row r="91" customFormat="false" ht="14.25" hidden="false" customHeight="false" outlineLevel="0" collapsed="false">
      <c r="A91" s="15" t="s">
        <v>610</v>
      </c>
      <c r="B91" s="15" t="s">
        <v>2608</v>
      </c>
      <c r="C91" s="17" t="n">
        <v>26</v>
      </c>
      <c r="D91" s="15" t="s">
        <v>128</v>
      </c>
      <c r="E91" s="15" t="s">
        <v>2520</v>
      </c>
      <c r="F91" s="16" t="n">
        <v>44137</v>
      </c>
    </row>
    <row r="92" customFormat="false" ht="14.25" hidden="false" customHeight="false" outlineLevel="0" collapsed="false">
      <c r="A92" s="15" t="s">
        <v>921</v>
      </c>
      <c r="B92" s="15" t="s">
        <v>2609</v>
      </c>
      <c r="C92" s="17" t="n">
        <v>55</v>
      </c>
      <c r="D92" s="15" t="s">
        <v>110</v>
      </c>
      <c r="E92" s="15" t="s">
        <v>2518</v>
      </c>
      <c r="F92" s="16" t="n">
        <v>45178</v>
      </c>
    </row>
    <row r="93" customFormat="false" ht="14.25" hidden="false" customHeight="false" outlineLevel="0" collapsed="false">
      <c r="A93" s="15" t="s">
        <v>405</v>
      </c>
      <c r="B93" s="15" t="s">
        <v>2610</v>
      </c>
      <c r="C93" s="17" t="n">
        <v>28</v>
      </c>
      <c r="D93" s="15" t="s">
        <v>128</v>
      </c>
      <c r="E93" s="15" t="s">
        <v>2526</v>
      </c>
      <c r="F93" s="16" t="n">
        <v>44731</v>
      </c>
    </row>
    <row r="94" customFormat="false" ht="14.25" hidden="false" customHeight="false" outlineLevel="0" collapsed="false">
      <c r="A94" s="15" t="s">
        <v>827</v>
      </c>
      <c r="B94" s="15" t="s">
        <v>2611</v>
      </c>
      <c r="C94" s="17" t="n">
        <v>36</v>
      </c>
      <c r="D94" s="15" t="s">
        <v>99</v>
      </c>
      <c r="E94" s="15" t="s">
        <v>2518</v>
      </c>
      <c r="F94" s="16" t="n">
        <v>44743</v>
      </c>
    </row>
    <row r="95" customFormat="false" ht="14.25" hidden="false" customHeight="false" outlineLevel="0" collapsed="false">
      <c r="A95" s="15" t="s">
        <v>327</v>
      </c>
      <c r="B95" s="15" t="s">
        <v>2612</v>
      </c>
      <c r="C95" s="17" t="n">
        <v>60</v>
      </c>
      <c r="D95" s="15" t="s">
        <v>99</v>
      </c>
      <c r="E95" s="15" t="s">
        <v>2526</v>
      </c>
      <c r="F95" s="16" t="n">
        <v>44915</v>
      </c>
    </row>
    <row r="96" customFormat="false" ht="14.25" hidden="false" customHeight="false" outlineLevel="0" collapsed="false">
      <c r="A96" s="15" t="s">
        <v>239</v>
      </c>
      <c r="B96" s="15" t="s">
        <v>2613</v>
      </c>
      <c r="C96" s="17" t="n">
        <v>54</v>
      </c>
      <c r="D96" s="15" t="s">
        <v>123</v>
      </c>
      <c r="E96" s="15" t="s">
        <v>2526</v>
      </c>
      <c r="F96" s="16" t="n">
        <v>44622</v>
      </c>
    </row>
    <row r="97" customFormat="false" ht="14.25" hidden="false" customHeight="false" outlineLevel="0" collapsed="false">
      <c r="A97" s="15" t="s">
        <v>393</v>
      </c>
      <c r="B97" s="15" t="s">
        <v>2614</v>
      </c>
      <c r="C97" s="17" t="n">
        <v>27</v>
      </c>
      <c r="D97" s="15" t="s">
        <v>110</v>
      </c>
      <c r="E97" s="15" t="s">
        <v>2520</v>
      </c>
      <c r="F97" s="16" t="n">
        <v>44445</v>
      </c>
    </row>
    <row r="98" customFormat="false" ht="14.25" hidden="false" customHeight="false" outlineLevel="0" collapsed="false">
      <c r="A98" s="15" t="s">
        <v>568</v>
      </c>
      <c r="B98" s="15" t="s">
        <v>2615</v>
      </c>
      <c r="C98" s="17" t="n">
        <v>65</v>
      </c>
      <c r="D98" s="15" t="s">
        <v>123</v>
      </c>
      <c r="E98" s="15" t="s">
        <v>2518</v>
      </c>
      <c r="F98" s="16" t="n">
        <v>43899</v>
      </c>
    </row>
    <row r="99" customFormat="false" ht="14.25" hidden="false" customHeight="false" outlineLevel="0" collapsed="false">
      <c r="A99" s="15" t="s">
        <v>107</v>
      </c>
      <c r="B99" s="15" t="s">
        <v>2616</v>
      </c>
      <c r="C99" s="17" t="n">
        <v>52</v>
      </c>
      <c r="D99" s="15" t="s">
        <v>110</v>
      </c>
      <c r="E99" s="15" t="s">
        <v>2518</v>
      </c>
      <c r="F99" s="16" t="n">
        <v>44406</v>
      </c>
    </row>
    <row r="100" customFormat="false" ht="14.25" hidden="false" customHeight="false" outlineLevel="0" collapsed="false">
      <c r="A100" s="15" t="s">
        <v>1735</v>
      </c>
      <c r="B100" s="15" t="s">
        <v>2617</v>
      </c>
      <c r="C100" s="17" t="n">
        <v>54</v>
      </c>
      <c r="D100" s="15" t="s">
        <v>128</v>
      </c>
      <c r="E100" s="15" t="s">
        <v>2526</v>
      </c>
      <c r="F100" s="16" t="n">
        <v>44938</v>
      </c>
    </row>
    <row r="101" customFormat="false" ht="14.25" hidden="false" customHeight="false" outlineLevel="0" collapsed="false">
      <c r="A101" s="15" t="s">
        <v>1586</v>
      </c>
      <c r="B101" s="15" t="s">
        <v>2618</v>
      </c>
      <c r="C101" s="17" t="n">
        <v>60</v>
      </c>
      <c r="D101" s="15" t="s">
        <v>144</v>
      </c>
      <c r="E101" s="15" t="s">
        <v>2520</v>
      </c>
      <c r="F101" s="16" t="n">
        <v>45072</v>
      </c>
    </row>
    <row r="102" customFormat="false" ht="14.25" hidden="false" customHeight="false" outlineLevel="0" collapsed="false">
      <c r="A102" s="15" t="s">
        <v>186</v>
      </c>
      <c r="B102" s="15" t="s">
        <v>2619</v>
      </c>
      <c r="C102" s="17" t="n">
        <v>40</v>
      </c>
      <c r="D102" s="15" t="s">
        <v>144</v>
      </c>
      <c r="E102" s="15" t="s">
        <v>2526</v>
      </c>
      <c r="F102" s="16" t="n">
        <v>44021</v>
      </c>
    </row>
    <row r="103" customFormat="false" ht="14.25" hidden="false" customHeight="false" outlineLevel="0" collapsed="false">
      <c r="A103" s="15" t="s">
        <v>380</v>
      </c>
      <c r="B103" s="15" t="s">
        <v>2620</v>
      </c>
      <c r="C103" s="17" t="n">
        <v>62</v>
      </c>
      <c r="D103" s="15" t="s">
        <v>105</v>
      </c>
      <c r="E103" s="15" t="s">
        <v>2526</v>
      </c>
      <c r="F103" s="16" t="n">
        <v>45092</v>
      </c>
    </row>
    <row r="104" customFormat="false" ht="14.25" hidden="false" customHeight="false" outlineLevel="0" collapsed="false">
      <c r="A104" s="15" t="s">
        <v>954</v>
      </c>
      <c r="B104" s="15" t="s">
        <v>2621</v>
      </c>
      <c r="C104" s="17" t="n">
        <v>54</v>
      </c>
      <c r="D104" s="15" t="s">
        <v>144</v>
      </c>
      <c r="E104" s="15" t="s">
        <v>2520</v>
      </c>
      <c r="F104" s="16" t="n">
        <v>45080</v>
      </c>
    </row>
    <row r="105" customFormat="false" ht="14.25" hidden="false" customHeight="false" outlineLevel="0" collapsed="false">
      <c r="A105" s="15" t="s">
        <v>465</v>
      </c>
      <c r="B105" s="15" t="s">
        <v>2622</v>
      </c>
      <c r="C105" s="17" t="n">
        <v>43</v>
      </c>
      <c r="D105" s="15" t="s">
        <v>144</v>
      </c>
      <c r="E105" s="15" t="s">
        <v>2520</v>
      </c>
      <c r="F105" s="16" t="n">
        <v>44018</v>
      </c>
    </row>
    <row r="106" customFormat="false" ht="14.25" hidden="false" customHeight="false" outlineLevel="0" collapsed="false">
      <c r="A106" s="15" t="s">
        <v>1319</v>
      </c>
      <c r="B106" s="15" t="s">
        <v>2623</v>
      </c>
      <c r="C106" s="17" t="n">
        <v>51</v>
      </c>
      <c r="D106" s="15" t="s">
        <v>105</v>
      </c>
      <c r="E106" s="15" t="s">
        <v>2526</v>
      </c>
      <c r="F106" s="16" t="n">
        <v>44060</v>
      </c>
    </row>
    <row r="107" customFormat="false" ht="14.25" hidden="false" customHeight="false" outlineLevel="0" collapsed="false">
      <c r="A107" s="15" t="s">
        <v>424</v>
      </c>
      <c r="B107" s="15" t="s">
        <v>2624</v>
      </c>
      <c r="C107" s="17" t="n">
        <v>22</v>
      </c>
      <c r="D107" s="15" t="s">
        <v>99</v>
      </c>
      <c r="E107" s="15" t="s">
        <v>2518</v>
      </c>
      <c r="F107" s="16" t="n">
        <v>45192</v>
      </c>
    </row>
    <row r="108" customFormat="false" ht="14.25" hidden="false" customHeight="false" outlineLevel="0" collapsed="false">
      <c r="A108" s="15" t="s">
        <v>183</v>
      </c>
      <c r="B108" s="15" t="s">
        <v>2625</v>
      </c>
      <c r="C108" s="17" t="n">
        <v>50</v>
      </c>
      <c r="D108" s="15" t="s">
        <v>99</v>
      </c>
      <c r="E108" s="15" t="s">
        <v>2518</v>
      </c>
      <c r="F108" s="16" t="n">
        <v>44007</v>
      </c>
    </row>
    <row r="109" customFormat="false" ht="14.25" hidden="false" customHeight="false" outlineLevel="0" collapsed="false">
      <c r="A109" s="15" t="s">
        <v>342</v>
      </c>
      <c r="B109" s="15" t="s">
        <v>2626</v>
      </c>
      <c r="C109" s="17" t="n">
        <v>59</v>
      </c>
      <c r="D109" s="15" t="s">
        <v>128</v>
      </c>
      <c r="E109" s="15" t="s">
        <v>2520</v>
      </c>
      <c r="F109" s="16" t="n">
        <v>44382</v>
      </c>
    </row>
    <row r="110" customFormat="false" ht="14.25" hidden="false" customHeight="false" outlineLevel="0" collapsed="false">
      <c r="A110" s="15" t="s">
        <v>1242</v>
      </c>
      <c r="B110" s="15" t="s">
        <v>2627</v>
      </c>
      <c r="C110" s="17" t="n">
        <v>42</v>
      </c>
      <c r="D110" s="15" t="s">
        <v>99</v>
      </c>
      <c r="E110" s="15" t="s">
        <v>2518</v>
      </c>
      <c r="F110" s="16" t="n">
        <v>44698</v>
      </c>
    </row>
    <row r="111" customFormat="false" ht="14.25" hidden="false" customHeight="false" outlineLevel="0" collapsed="false">
      <c r="A111" s="15" t="s">
        <v>635</v>
      </c>
      <c r="B111" s="15" t="s">
        <v>2548</v>
      </c>
      <c r="C111" s="17" t="n">
        <v>31</v>
      </c>
      <c r="D111" s="15" t="s">
        <v>99</v>
      </c>
      <c r="E111" s="15" t="s">
        <v>2520</v>
      </c>
      <c r="F111" s="16" t="n">
        <v>44346</v>
      </c>
    </row>
    <row r="112" customFormat="false" ht="14.25" hidden="false" customHeight="false" outlineLevel="0" collapsed="false">
      <c r="A112" s="15" t="s">
        <v>433</v>
      </c>
      <c r="B112" s="15" t="s">
        <v>2628</v>
      </c>
      <c r="C112" s="17" t="n">
        <v>64</v>
      </c>
      <c r="D112" s="15" t="s">
        <v>105</v>
      </c>
      <c r="E112" s="15" t="s">
        <v>2526</v>
      </c>
      <c r="F112" s="16" t="n">
        <v>44309</v>
      </c>
    </row>
    <row r="113" customFormat="false" ht="14.25" hidden="false" customHeight="false" outlineLevel="0" collapsed="false">
      <c r="A113" s="15" t="s">
        <v>247</v>
      </c>
      <c r="B113" s="15" t="s">
        <v>2629</v>
      </c>
      <c r="C113" s="17" t="n">
        <v>64</v>
      </c>
      <c r="D113" s="15" t="s">
        <v>144</v>
      </c>
      <c r="E113" s="15" t="s">
        <v>2518</v>
      </c>
      <c r="F113" s="16" t="n">
        <v>44015</v>
      </c>
    </row>
    <row r="114" customFormat="false" ht="14.25" hidden="false" customHeight="false" outlineLevel="0" collapsed="false">
      <c r="A114" s="15" t="s">
        <v>408</v>
      </c>
      <c r="B114" s="15" t="s">
        <v>2630</v>
      </c>
      <c r="C114" s="17" t="n">
        <v>30</v>
      </c>
      <c r="D114" s="15" t="s">
        <v>110</v>
      </c>
      <c r="E114" s="15" t="s">
        <v>2518</v>
      </c>
      <c r="F114" s="16" t="n">
        <v>44490</v>
      </c>
    </row>
    <row r="115" customFormat="false" ht="14.25" hidden="false" customHeight="false" outlineLevel="0" collapsed="false">
      <c r="A115" s="15" t="s">
        <v>427</v>
      </c>
      <c r="B115" s="15" t="s">
        <v>2631</v>
      </c>
      <c r="C115" s="17" t="n">
        <v>42</v>
      </c>
      <c r="D115" s="15" t="s">
        <v>128</v>
      </c>
      <c r="E115" s="15" t="s">
        <v>2520</v>
      </c>
      <c r="F115" s="16" t="n">
        <v>44907</v>
      </c>
    </row>
    <row r="116" customFormat="false" ht="14.25" hidden="false" customHeight="false" outlineLevel="0" collapsed="false">
      <c r="A116" s="15" t="s">
        <v>628</v>
      </c>
      <c r="B116" s="15" t="s">
        <v>2554</v>
      </c>
      <c r="C116" s="17" t="n">
        <v>65</v>
      </c>
      <c r="D116" s="15" t="s">
        <v>123</v>
      </c>
      <c r="E116" s="15" t="s">
        <v>2526</v>
      </c>
      <c r="F116" s="16" t="n">
        <v>44381</v>
      </c>
    </row>
    <row r="117" customFormat="false" ht="14.25" hidden="false" customHeight="false" outlineLevel="0" collapsed="false">
      <c r="A117" s="15" t="s">
        <v>1634</v>
      </c>
      <c r="B117" s="15" t="s">
        <v>2632</v>
      </c>
      <c r="C117" s="17" t="n">
        <v>53</v>
      </c>
      <c r="D117" s="15" t="s">
        <v>2633</v>
      </c>
      <c r="E117" s="15" t="s">
        <v>2518</v>
      </c>
      <c r="F117" s="16" t="n">
        <v>44050</v>
      </c>
    </row>
    <row r="118" customFormat="false" ht="14.25" hidden="false" customHeight="false" outlineLevel="0" collapsed="false">
      <c r="A118" s="15" t="s">
        <v>462</v>
      </c>
      <c r="B118" s="15" t="s">
        <v>2634</v>
      </c>
      <c r="C118" s="17" t="n">
        <v>34</v>
      </c>
      <c r="D118" s="15" t="s">
        <v>110</v>
      </c>
      <c r="E118" s="15" t="s">
        <v>2526</v>
      </c>
      <c r="F118" s="16" t="n">
        <v>44581</v>
      </c>
    </row>
    <row r="119" customFormat="false" ht="14.25" hidden="false" customHeight="false" outlineLevel="0" collapsed="false">
      <c r="A119" s="15" t="s">
        <v>219</v>
      </c>
      <c r="B119" s="15" t="s">
        <v>2635</v>
      </c>
      <c r="C119" s="17" t="n">
        <v>26</v>
      </c>
      <c r="D119" s="15" t="s">
        <v>144</v>
      </c>
      <c r="E119" s="15" t="s">
        <v>2518</v>
      </c>
      <c r="F119" s="16" t="n">
        <v>44916</v>
      </c>
    </row>
    <row r="120" customFormat="false" ht="14.25" hidden="false" customHeight="false" outlineLevel="0" collapsed="false">
      <c r="A120" s="15" t="s">
        <v>480</v>
      </c>
      <c r="B120" s="15" t="s">
        <v>2636</v>
      </c>
      <c r="C120" s="17" t="n">
        <v>43</v>
      </c>
      <c r="D120" s="15" t="s">
        <v>128</v>
      </c>
      <c r="E120" s="15" t="s">
        <v>2526</v>
      </c>
      <c r="F120" s="16" t="n">
        <v>44360</v>
      </c>
    </row>
    <row r="121" customFormat="false" ht="14.25" hidden="false" customHeight="false" outlineLevel="0" collapsed="false">
      <c r="A121" s="15" t="s">
        <v>1245</v>
      </c>
      <c r="B121" s="15" t="s">
        <v>2637</v>
      </c>
      <c r="C121" s="17" t="n">
        <v>29</v>
      </c>
      <c r="D121" s="15" t="s">
        <v>123</v>
      </c>
      <c r="E121" s="15" t="s">
        <v>2518</v>
      </c>
      <c r="F121" s="16" t="n">
        <v>44871</v>
      </c>
    </row>
    <row r="122" customFormat="false" ht="14.25" hidden="false" customHeight="false" outlineLevel="0" collapsed="false">
      <c r="A122" s="15" t="s">
        <v>533</v>
      </c>
      <c r="B122" s="15" t="s">
        <v>2638</v>
      </c>
      <c r="C122" s="17" t="n">
        <v>55</v>
      </c>
      <c r="D122" s="15" t="s">
        <v>110</v>
      </c>
      <c r="E122" s="15" t="s">
        <v>2526</v>
      </c>
      <c r="F122" s="16" t="n">
        <v>45119</v>
      </c>
    </row>
    <row r="123" customFormat="false" ht="14.25" hidden="false" customHeight="false" outlineLevel="0" collapsed="false">
      <c r="A123" s="15" t="s">
        <v>1228</v>
      </c>
      <c r="B123" s="15" t="s">
        <v>2639</v>
      </c>
      <c r="C123" s="17" t="n">
        <v>44</v>
      </c>
      <c r="D123" s="15" t="s">
        <v>123</v>
      </c>
      <c r="E123" s="15" t="s">
        <v>2518</v>
      </c>
      <c r="F123" s="16" t="n">
        <v>44686</v>
      </c>
    </row>
    <row r="124" customFormat="false" ht="14.25" hidden="false" customHeight="false" outlineLevel="0" collapsed="false">
      <c r="A124" s="15" t="s">
        <v>897</v>
      </c>
      <c r="B124" s="15" t="s">
        <v>2640</v>
      </c>
      <c r="C124" s="17" t="n">
        <v>44</v>
      </c>
      <c r="D124" s="15" t="s">
        <v>105</v>
      </c>
      <c r="E124" s="15" t="s">
        <v>2520</v>
      </c>
      <c r="F124" s="16" t="n">
        <v>44589</v>
      </c>
    </row>
    <row r="125" customFormat="false" ht="14.25" hidden="false" customHeight="false" outlineLevel="0" collapsed="false">
      <c r="A125" s="15" t="s">
        <v>504</v>
      </c>
      <c r="B125" s="15" t="s">
        <v>2641</v>
      </c>
      <c r="C125" s="17" t="n">
        <v>57</v>
      </c>
      <c r="D125" s="15" t="s">
        <v>99</v>
      </c>
      <c r="E125" s="15" t="s">
        <v>2518</v>
      </c>
      <c r="F125" s="16" t="n">
        <v>44818</v>
      </c>
    </row>
    <row r="126" customFormat="false" ht="14.25" hidden="false" customHeight="false" outlineLevel="0" collapsed="false">
      <c r="A126" s="15" t="s">
        <v>541</v>
      </c>
      <c r="B126" s="15" t="s">
        <v>2642</v>
      </c>
      <c r="C126" s="17" t="n">
        <v>45</v>
      </c>
      <c r="D126" s="15" t="s">
        <v>110</v>
      </c>
      <c r="E126" s="15" t="s">
        <v>2518</v>
      </c>
      <c r="F126" s="16" t="n">
        <v>44263</v>
      </c>
    </row>
    <row r="127" customFormat="false" ht="14.25" hidden="false" customHeight="false" outlineLevel="0" collapsed="false">
      <c r="A127" s="15" t="s">
        <v>913</v>
      </c>
      <c r="B127" s="15" t="s">
        <v>2643</v>
      </c>
      <c r="C127" s="17" t="n">
        <v>37</v>
      </c>
      <c r="D127" s="15" t="s">
        <v>123</v>
      </c>
      <c r="E127" s="15" t="s">
        <v>2518</v>
      </c>
      <c r="F127" s="16" t="n">
        <v>44561</v>
      </c>
    </row>
    <row r="128" customFormat="false" ht="14.25" hidden="false" customHeight="false" outlineLevel="0" collapsed="false">
      <c r="A128" s="15" t="s">
        <v>994</v>
      </c>
      <c r="B128" s="15" t="s">
        <v>2549</v>
      </c>
      <c r="C128" s="17" t="n">
        <v>36</v>
      </c>
      <c r="D128" s="15" t="s">
        <v>128</v>
      </c>
      <c r="E128" s="15" t="s">
        <v>2526</v>
      </c>
      <c r="F128" s="16" t="n">
        <v>45036</v>
      </c>
    </row>
    <row r="129" customFormat="false" ht="14.25" hidden="false" customHeight="false" outlineLevel="0" collapsed="false">
      <c r="A129" s="15" t="s">
        <v>963</v>
      </c>
      <c r="B129" s="15" t="s">
        <v>2644</v>
      </c>
      <c r="C129" s="17" t="n">
        <v>35</v>
      </c>
      <c r="D129" s="15" t="s">
        <v>144</v>
      </c>
      <c r="E129" s="15" t="s">
        <v>2518</v>
      </c>
      <c r="F129" s="16" t="n">
        <v>44602</v>
      </c>
    </row>
    <row r="130" customFormat="false" ht="14.25" hidden="false" customHeight="false" outlineLevel="0" collapsed="false">
      <c r="A130" s="15" t="s">
        <v>310</v>
      </c>
      <c r="B130" s="15" t="s">
        <v>2645</v>
      </c>
      <c r="C130" s="17" t="n">
        <v>29</v>
      </c>
      <c r="D130" s="15" t="s">
        <v>2646</v>
      </c>
      <c r="E130" s="15" t="s">
        <v>2518</v>
      </c>
      <c r="F130" s="16" t="n">
        <v>44930</v>
      </c>
    </row>
    <row r="131" customFormat="false" ht="14.25" hidden="false" customHeight="false" outlineLevel="0" collapsed="false">
      <c r="A131" s="15" t="s">
        <v>852</v>
      </c>
      <c r="B131" s="15" t="s">
        <v>2647</v>
      </c>
      <c r="C131" s="17" t="n">
        <v>41</v>
      </c>
      <c r="D131" s="15" t="s">
        <v>128</v>
      </c>
      <c r="E131" s="15" t="s">
        <v>2520</v>
      </c>
      <c r="F131" s="16" t="n">
        <v>44897</v>
      </c>
    </row>
    <row r="132" customFormat="false" ht="14.25" hidden="false" customHeight="false" outlineLevel="0" collapsed="false">
      <c r="A132" s="15" t="s">
        <v>370</v>
      </c>
      <c r="B132" s="15" t="s">
        <v>2648</v>
      </c>
      <c r="C132" s="17" t="n">
        <v>28</v>
      </c>
      <c r="D132" s="15" t="s">
        <v>2523</v>
      </c>
      <c r="E132" s="15" t="s">
        <v>2526</v>
      </c>
      <c r="F132" s="16" t="n">
        <v>44158</v>
      </c>
    </row>
    <row r="133" customFormat="false" ht="14.25" hidden="false" customHeight="false" outlineLevel="0" collapsed="false">
      <c r="A133" s="15" t="s">
        <v>695</v>
      </c>
      <c r="B133" s="15" t="s">
        <v>2649</v>
      </c>
      <c r="C133" s="17" t="n">
        <v>41</v>
      </c>
      <c r="D133" s="15" t="s">
        <v>110</v>
      </c>
      <c r="E133" s="15" t="s">
        <v>2518</v>
      </c>
      <c r="F133" s="16" t="n">
        <v>44754</v>
      </c>
    </row>
    <row r="134" customFormat="false" ht="14.25" hidden="false" customHeight="false" outlineLevel="0" collapsed="false">
      <c r="A134" s="15" t="s">
        <v>353</v>
      </c>
      <c r="B134" s="15" t="s">
        <v>2650</v>
      </c>
      <c r="C134" s="17" t="n">
        <v>26</v>
      </c>
      <c r="D134" s="15" t="s">
        <v>105</v>
      </c>
      <c r="E134" s="15" t="s">
        <v>2518</v>
      </c>
      <c r="F134" s="16" t="n">
        <v>43837</v>
      </c>
    </row>
    <row r="135" customFormat="false" ht="14.25" hidden="false" customHeight="false" outlineLevel="0" collapsed="false">
      <c r="A135" s="15" t="s">
        <v>637</v>
      </c>
      <c r="B135" s="15" t="s">
        <v>2651</v>
      </c>
      <c r="C135" s="17" t="n">
        <v>40</v>
      </c>
      <c r="D135" s="15" t="s">
        <v>110</v>
      </c>
      <c r="E135" s="15" t="s">
        <v>2518</v>
      </c>
      <c r="F135" s="16" t="n">
        <v>45111</v>
      </c>
    </row>
    <row r="136" customFormat="false" ht="14.25" hidden="false" customHeight="false" outlineLevel="0" collapsed="false">
      <c r="A136" s="15" t="s">
        <v>574</v>
      </c>
      <c r="B136" s="15" t="s">
        <v>2652</v>
      </c>
      <c r="C136" s="17" t="n">
        <v>24</v>
      </c>
      <c r="D136" s="15" t="s">
        <v>99</v>
      </c>
      <c r="E136" s="15" t="s">
        <v>2526</v>
      </c>
      <c r="F136" s="16" t="n">
        <v>44673</v>
      </c>
    </row>
    <row r="137" customFormat="false" ht="14.25" hidden="false" customHeight="false" outlineLevel="0" collapsed="false">
      <c r="A137" s="15" t="s">
        <v>861</v>
      </c>
      <c r="B137" s="15" t="s">
        <v>2653</v>
      </c>
      <c r="C137" s="17" t="n">
        <v>26</v>
      </c>
      <c r="D137" s="15" t="s">
        <v>105</v>
      </c>
      <c r="E137" s="15" t="s">
        <v>2526</v>
      </c>
      <c r="F137" s="16" t="n">
        <v>44122</v>
      </c>
    </row>
    <row r="138" customFormat="false" ht="14.25" hidden="false" customHeight="false" outlineLevel="0" collapsed="false">
      <c r="A138" s="15" t="s">
        <v>458</v>
      </c>
      <c r="B138" s="15" t="s">
        <v>2612</v>
      </c>
      <c r="C138" s="17" t="n">
        <v>41</v>
      </c>
      <c r="D138" s="15" t="s">
        <v>123</v>
      </c>
      <c r="E138" s="15" t="s">
        <v>2518</v>
      </c>
      <c r="F138" s="16" t="n">
        <v>44946</v>
      </c>
    </row>
    <row r="139" customFormat="false" ht="14.25" hidden="false" customHeight="false" outlineLevel="0" collapsed="false">
      <c r="A139" s="15" t="s">
        <v>728</v>
      </c>
      <c r="B139" s="15" t="s">
        <v>2654</v>
      </c>
      <c r="C139" s="17" t="n">
        <v>24</v>
      </c>
      <c r="D139" s="15" t="s">
        <v>105</v>
      </c>
      <c r="E139" s="15" t="s">
        <v>2518</v>
      </c>
      <c r="F139" s="16" t="n">
        <v>43955</v>
      </c>
    </row>
    <row r="140" customFormat="false" ht="14.25" hidden="false" customHeight="false" outlineLevel="0" collapsed="false">
      <c r="A140" s="15" t="s">
        <v>344</v>
      </c>
      <c r="B140" s="15" t="s">
        <v>2655</v>
      </c>
      <c r="C140" s="17" t="n">
        <v>65</v>
      </c>
      <c r="D140" s="15" t="s">
        <v>144</v>
      </c>
      <c r="E140" s="15" t="s">
        <v>2526</v>
      </c>
      <c r="F140" s="16" t="n">
        <v>43997</v>
      </c>
    </row>
    <row r="141" customFormat="false" ht="14.25" hidden="false" customHeight="false" outlineLevel="0" collapsed="false">
      <c r="A141" s="15" t="s">
        <v>2064</v>
      </c>
      <c r="B141" s="15" t="s">
        <v>2656</v>
      </c>
      <c r="C141" s="17" t="n">
        <v>39</v>
      </c>
      <c r="D141" s="15" t="s">
        <v>144</v>
      </c>
      <c r="E141" s="15" t="s">
        <v>2526</v>
      </c>
      <c r="F141" s="16" t="n">
        <v>43854</v>
      </c>
    </row>
    <row r="142" customFormat="false" ht="14.25" hidden="false" customHeight="false" outlineLevel="0" collapsed="false">
      <c r="A142" s="15" t="s">
        <v>639</v>
      </c>
      <c r="B142" s="15" t="s">
        <v>2657</v>
      </c>
      <c r="C142" s="17" t="n">
        <v>22</v>
      </c>
      <c r="D142" s="15" t="s">
        <v>144</v>
      </c>
      <c r="E142" s="15" t="s">
        <v>2520</v>
      </c>
      <c r="F142" s="16" t="n">
        <v>45069</v>
      </c>
    </row>
    <row r="143" customFormat="false" ht="14.25" hidden="false" customHeight="false" outlineLevel="0" collapsed="false">
      <c r="A143" s="15" t="s">
        <v>189</v>
      </c>
      <c r="B143" s="15" t="s">
        <v>2600</v>
      </c>
      <c r="C143" s="17" t="n">
        <v>55</v>
      </c>
      <c r="D143" s="15" t="s">
        <v>2658</v>
      </c>
      <c r="E143" s="15" t="s">
        <v>2520</v>
      </c>
      <c r="F143" s="16" t="n">
        <v>44597</v>
      </c>
    </row>
    <row r="144" customFormat="false" ht="14.25" hidden="false" customHeight="false" outlineLevel="0" collapsed="false">
      <c r="A144" s="15" t="s">
        <v>197</v>
      </c>
      <c r="B144" s="15" t="s">
        <v>2659</v>
      </c>
      <c r="C144" s="17" t="n">
        <v>52</v>
      </c>
      <c r="D144" s="15" t="s">
        <v>105</v>
      </c>
      <c r="E144" s="15" t="s">
        <v>2526</v>
      </c>
      <c r="F144" s="16" t="n">
        <v>44194</v>
      </c>
    </row>
    <row r="145" customFormat="false" ht="14.25" hidden="false" customHeight="false" outlineLevel="0" collapsed="false">
      <c r="A145" s="15" t="s">
        <v>1076</v>
      </c>
      <c r="B145" s="15" t="s">
        <v>2660</v>
      </c>
      <c r="C145" s="17" t="n">
        <v>49</v>
      </c>
      <c r="D145" s="15" t="s">
        <v>105</v>
      </c>
      <c r="E145" s="15" t="s">
        <v>2518</v>
      </c>
      <c r="F145" s="16" t="n">
        <v>44931</v>
      </c>
    </row>
    <row r="146" customFormat="false" ht="14.25" hidden="false" customHeight="false" outlineLevel="0" collapsed="false">
      <c r="A146" s="15" t="s">
        <v>387</v>
      </c>
      <c r="B146" s="15" t="s">
        <v>2661</v>
      </c>
      <c r="C146" s="17" t="n">
        <v>44</v>
      </c>
      <c r="D146" s="15" t="s">
        <v>128</v>
      </c>
      <c r="E146" s="15" t="s">
        <v>2526</v>
      </c>
      <c r="F146" s="16" t="n">
        <v>44009</v>
      </c>
    </row>
    <row r="147" customFormat="false" ht="14.25" hidden="false" customHeight="false" outlineLevel="0" collapsed="false">
      <c r="A147" s="15" t="s">
        <v>429</v>
      </c>
      <c r="B147" s="15" t="s">
        <v>2662</v>
      </c>
      <c r="C147" s="17" t="n">
        <v>22</v>
      </c>
      <c r="D147" s="15" t="s">
        <v>144</v>
      </c>
      <c r="E147" s="15" t="s">
        <v>2518</v>
      </c>
      <c r="F147" s="16" t="n">
        <v>44681</v>
      </c>
    </row>
    <row r="148" customFormat="false" ht="14.25" hidden="false" customHeight="false" outlineLevel="0" collapsed="false">
      <c r="A148" s="15" t="s">
        <v>137</v>
      </c>
      <c r="B148" s="15" t="s">
        <v>2663</v>
      </c>
      <c r="C148" s="17" t="n">
        <v>56</v>
      </c>
      <c r="D148" s="15" t="s">
        <v>99</v>
      </c>
      <c r="E148" s="15" t="s">
        <v>2518</v>
      </c>
      <c r="F148" s="16" t="n">
        <v>44644</v>
      </c>
    </row>
    <row r="149" customFormat="false" ht="14.25" hidden="false" customHeight="false" outlineLevel="0" collapsed="false">
      <c r="A149" s="15" t="s">
        <v>834</v>
      </c>
      <c r="B149" s="15" t="s">
        <v>2664</v>
      </c>
      <c r="C149" s="17" t="n">
        <v>32</v>
      </c>
      <c r="D149" s="15" t="s">
        <v>105</v>
      </c>
      <c r="E149" s="15" t="s">
        <v>2518</v>
      </c>
      <c r="F149" s="16" t="n">
        <v>44014</v>
      </c>
    </row>
    <row r="150" customFormat="false" ht="14.25" hidden="false" customHeight="false" outlineLevel="0" collapsed="false">
      <c r="A150" s="15" t="s">
        <v>399</v>
      </c>
      <c r="B150" s="15" t="s">
        <v>2665</v>
      </c>
      <c r="C150" s="17" t="n">
        <v>44</v>
      </c>
      <c r="D150" s="15" t="s">
        <v>1832</v>
      </c>
      <c r="E150" s="15" t="s">
        <v>2518</v>
      </c>
      <c r="F150" s="16" t="n">
        <v>44390</v>
      </c>
    </row>
    <row r="151" customFormat="false" ht="14.25" hidden="false" customHeight="false" outlineLevel="0" collapsed="false">
      <c r="A151" s="15" t="s">
        <v>418</v>
      </c>
      <c r="B151" s="15" t="s">
        <v>2655</v>
      </c>
      <c r="C151" s="17" t="n">
        <v>53</v>
      </c>
      <c r="D151" s="15" t="s">
        <v>99</v>
      </c>
      <c r="E151" s="15" t="s">
        <v>2526</v>
      </c>
      <c r="F151" s="16" t="n">
        <v>45208</v>
      </c>
    </row>
    <row r="152" customFormat="false" ht="14.25" hidden="false" customHeight="false" outlineLevel="0" collapsed="false">
      <c r="A152" s="15" t="s">
        <v>626</v>
      </c>
      <c r="B152" s="15" t="s">
        <v>2666</v>
      </c>
      <c r="C152" s="17" t="n">
        <v>53</v>
      </c>
      <c r="D152" s="15" t="s">
        <v>123</v>
      </c>
      <c r="E152" s="15" t="s">
        <v>2518</v>
      </c>
      <c r="F152" s="16" t="n">
        <v>43999</v>
      </c>
    </row>
    <row r="153" customFormat="false" ht="14.25" hidden="false" customHeight="false" outlineLevel="0" collapsed="false">
      <c r="A153" s="15" t="s">
        <v>242</v>
      </c>
      <c r="B153" s="15" t="s">
        <v>2667</v>
      </c>
      <c r="C153" s="17" t="n">
        <v>64</v>
      </c>
      <c r="D153" s="15" t="s">
        <v>128</v>
      </c>
      <c r="E153" s="15" t="s">
        <v>2526</v>
      </c>
      <c r="F153" s="16" t="n">
        <v>44209</v>
      </c>
    </row>
    <row r="154" customFormat="false" ht="14.25" hidden="false" customHeight="false" outlineLevel="0" collapsed="false">
      <c r="A154" s="15" t="s">
        <v>697</v>
      </c>
      <c r="B154" s="15" t="s">
        <v>2668</v>
      </c>
      <c r="C154" s="17" t="n">
        <v>35</v>
      </c>
      <c r="D154" s="15" t="s">
        <v>123</v>
      </c>
      <c r="E154" s="15" t="s">
        <v>2518</v>
      </c>
      <c r="F154" s="16" t="n">
        <v>44787</v>
      </c>
    </row>
    <row r="155" customFormat="false" ht="14.25" hidden="false" customHeight="false" outlineLevel="0" collapsed="false">
      <c r="A155" s="15" t="s">
        <v>818</v>
      </c>
      <c r="B155" s="15" t="s">
        <v>2669</v>
      </c>
      <c r="C155" s="17" t="n">
        <v>36</v>
      </c>
      <c r="D155" s="15" t="s">
        <v>99</v>
      </c>
      <c r="E155" s="15" t="s">
        <v>2518</v>
      </c>
      <c r="F155" s="16" t="n">
        <v>44370</v>
      </c>
    </row>
    <row r="156" customFormat="false" ht="14.25" hidden="false" customHeight="false" outlineLevel="0" collapsed="false">
      <c r="A156" s="15" t="s">
        <v>619</v>
      </c>
      <c r="B156" s="15" t="s">
        <v>2670</v>
      </c>
      <c r="C156" s="17" t="n">
        <v>40</v>
      </c>
      <c r="D156" s="15" t="s">
        <v>99</v>
      </c>
      <c r="E156" s="15" t="s">
        <v>2520</v>
      </c>
      <c r="F156" s="16" t="n">
        <v>44693</v>
      </c>
    </row>
    <row r="157" customFormat="false" ht="14.25" hidden="false" customHeight="false" outlineLevel="0" collapsed="false">
      <c r="A157" s="15" t="s">
        <v>1047</v>
      </c>
      <c r="B157" s="15" t="s">
        <v>2671</v>
      </c>
      <c r="C157" s="17" t="n">
        <v>33</v>
      </c>
      <c r="D157" s="15" t="s">
        <v>123</v>
      </c>
      <c r="E157" s="15" t="s">
        <v>2518</v>
      </c>
      <c r="F157" s="16" t="n">
        <v>45229</v>
      </c>
    </row>
    <row r="158" customFormat="false" ht="14.25" hidden="false" customHeight="false" outlineLevel="0" collapsed="false">
      <c r="A158" s="15" t="s">
        <v>714</v>
      </c>
      <c r="B158" s="15" t="s">
        <v>2672</v>
      </c>
      <c r="C158" s="17" t="n">
        <v>52</v>
      </c>
      <c r="D158" s="15" t="s">
        <v>99</v>
      </c>
      <c r="E158" s="15" t="s">
        <v>2520</v>
      </c>
      <c r="F158" s="16" t="n">
        <v>44896</v>
      </c>
    </row>
    <row r="159" customFormat="false" ht="14.25" hidden="false" customHeight="false" outlineLevel="0" collapsed="false">
      <c r="A159" s="15" t="s">
        <v>1107</v>
      </c>
      <c r="B159" s="15" t="s">
        <v>2673</v>
      </c>
      <c r="C159" s="17" t="n">
        <v>42</v>
      </c>
      <c r="D159" s="15" t="s">
        <v>99</v>
      </c>
      <c r="E159" s="15" t="s">
        <v>2520</v>
      </c>
      <c r="F159" s="16" t="n">
        <v>44617</v>
      </c>
    </row>
    <row r="160" customFormat="false" ht="14.25" hidden="false" customHeight="false" outlineLevel="0" collapsed="false">
      <c r="A160" s="15" t="s">
        <v>177</v>
      </c>
      <c r="B160" s="15" t="s">
        <v>2674</v>
      </c>
      <c r="C160" s="17" t="n">
        <v>32</v>
      </c>
      <c r="D160" s="15" t="s">
        <v>2646</v>
      </c>
      <c r="E160" s="15" t="s">
        <v>2518</v>
      </c>
      <c r="F160" s="16" t="n">
        <v>44432</v>
      </c>
    </row>
    <row r="161" customFormat="false" ht="14.25" hidden="false" customHeight="false" outlineLevel="0" collapsed="false">
      <c r="A161" s="15" t="s">
        <v>666</v>
      </c>
      <c r="B161" s="15" t="s">
        <v>2675</v>
      </c>
      <c r="C161" s="17" t="n">
        <v>27</v>
      </c>
      <c r="D161" s="15" t="s">
        <v>144</v>
      </c>
      <c r="E161" s="15" t="s">
        <v>2518</v>
      </c>
      <c r="F161" s="16" t="n">
        <v>44481</v>
      </c>
    </row>
    <row r="162" customFormat="false" ht="14.25" hidden="false" customHeight="false" outlineLevel="0" collapsed="false">
      <c r="A162" s="15" t="s">
        <v>300</v>
      </c>
      <c r="B162" s="15" t="s">
        <v>2676</v>
      </c>
      <c r="C162" s="17" t="n">
        <v>38</v>
      </c>
      <c r="D162" s="15" t="s">
        <v>105</v>
      </c>
      <c r="E162" s="15" t="s">
        <v>2518</v>
      </c>
      <c r="F162" s="16" t="n">
        <v>43880</v>
      </c>
    </row>
    <row r="163" customFormat="false" ht="14.25" hidden="false" customHeight="false" outlineLevel="0" collapsed="false">
      <c r="A163" s="15" t="s">
        <v>531</v>
      </c>
      <c r="B163" s="15" t="s">
        <v>2677</v>
      </c>
      <c r="C163" s="17" t="n">
        <v>35</v>
      </c>
      <c r="D163" s="15" t="s">
        <v>123</v>
      </c>
      <c r="E163" s="15" t="s">
        <v>2520</v>
      </c>
      <c r="F163" s="16" t="n">
        <v>44741</v>
      </c>
    </row>
    <row r="164" customFormat="false" ht="14.25" hidden="false" customHeight="false" outlineLevel="0" collapsed="false">
      <c r="A164" s="15" t="s">
        <v>496</v>
      </c>
      <c r="B164" s="15" t="s">
        <v>2544</v>
      </c>
      <c r="C164" s="17" t="n">
        <v>49</v>
      </c>
      <c r="D164" s="15" t="s">
        <v>99</v>
      </c>
      <c r="E164" s="15" t="s">
        <v>2518</v>
      </c>
      <c r="F164" s="16" t="n">
        <v>44971</v>
      </c>
    </row>
    <row r="165" customFormat="false" ht="14.25" hidden="false" customHeight="false" outlineLevel="0" collapsed="false">
      <c r="A165" s="15" t="s">
        <v>364</v>
      </c>
      <c r="B165" s="15" t="s">
        <v>2529</v>
      </c>
      <c r="C165" s="17" t="n">
        <v>60</v>
      </c>
      <c r="D165" s="15" t="s">
        <v>105</v>
      </c>
      <c r="E165" s="15" t="s">
        <v>2518</v>
      </c>
      <c r="F165" s="16" t="n">
        <v>44739</v>
      </c>
    </row>
    <row r="166" customFormat="false" ht="14.25" hidden="false" customHeight="false" outlineLevel="0" collapsed="false">
      <c r="A166" s="15" t="s">
        <v>468</v>
      </c>
      <c r="B166" s="15" t="s">
        <v>2563</v>
      </c>
      <c r="C166" s="17" t="n">
        <v>29</v>
      </c>
      <c r="D166" s="15" t="s">
        <v>99</v>
      </c>
      <c r="E166" s="15" t="s">
        <v>2518</v>
      </c>
      <c r="F166" s="16" t="n">
        <v>44046</v>
      </c>
    </row>
    <row r="167" customFormat="false" ht="14.25" hidden="false" customHeight="false" outlineLevel="0" collapsed="false">
      <c r="A167" s="15" t="s">
        <v>680</v>
      </c>
      <c r="B167" s="15" t="s">
        <v>2678</v>
      </c>
      <c r="C167" s="17" t="n">
        <v>31</v>
      </c>
      <c r="D167" s="15" t="s">
        <v>144</v>
      </c>
      <c r="E167" s="15" t="s">
        <v>2518</v>
      </c>
      <c r="F167" s="16" t="n">
        <v>44331</v>
      </c>
    </row>
    <row r="168" customFormat="false" ht="14.25" hidden="false" customHeight="false" outlineLevel="0" collapsed="false">
      <c r="A168" s="15" t="s">
        <v>649</v>
      </c>
      <c r="B168" s="15" t="s">
        <v>2679</v>
      </c>
      <c r="C168" s="17" t="n">
        <v>43</v>
      </c>
      <c r="D168" s="15" t="s">
        <v>110</v>
      </c>
      <c r="E168" s="15" t="s">
        <v>2518</v>
      </c>
      <c r="F168" s="16" t="n">
        <v>44891</v>
      </c>
    </row>
    <row r="169" customFormat="false" ht="14.25" hidden="false" customHeight="false" outlineLevel="0" collapsed="false">
      <c r="A169" s="15" t="s">
        <v>292</v>
      </c>
      <c r="B169" s="15" t="s">
        <v>2680</v>
      </c>
      <c r="C169" s="17" t="n">
        <v>25</v>
      </c>
      <c r="D169" s="15" t="s">
        <v>99</v>
      </c>
      <c r="E169" s="15" t="s">
        <v>2518</v>
      </c>
      <c r="F169" s="16" t="n">
        <v>44406</v>
      </c>
    </row>
    <row r="170" customFormat="false" ht="14.25" hidden="false" customHeight="false" outlineLevel="0" collapsed="false">
      <c r="A170" s="15" t="s">
        <v>621</v>
      </c>
      <c r="B170" s="15" t="s">
        <v>2681</v>
      </c>
      <c r="C170" s="17" t="n">
        <v>42</v>
      </c>
      <c r="D170" s="15" t="s">
        <v>128</v>
      </c>
      <c r="E170" s="15" t="s">
        <v>2526</v>
      </c>
      <c r="F170" s="16" t="n">
        <v>45072</v>
      </c>
    </row>
    <row r="171" customFormat="false" ht="14.25" hidden="false" customHeight="false" outlineLevel="0" collapsed="false">
      <c r="A171" s="15" t="s">
        <v>361</v>
      </c>
      <c r="B171" s="15" t="s">
        <v>2682</v>
      </c>
      <c r="C171" s="17" t="n">
        <v>22</v>
      </c>
      <c r="D171" s="15" t="s">
        <v>123</v>
      </c>
      <c r="E171" s="15" t="s">
        <v>2526</v>
      </c>
      <c r="F171" s="16" t="n">
        <v>45110</v>
      </c>
    </row>
    <row r="172" customFormat="false" ht="14.25" hidden="false" customHeight="false" outlineLevel="0" collapsed="false">
      <c r="A172" s="15" t="s">
        <v>600</v>
      </c>
      <c r="B172" s="15" t="s">
        <v>2683</v>
      </c>
      <c r="C172" s="17" t="n">
        <v>30</v>
      </c>
      <c r="D172" s="15" t="s">
        <v>105</v>
      </c>
      <c r="E172" s="15" t="s">
        <v>2520</v>
      </c>
      <c r="F172" s="16" t="n">
        <v>44540</v>
      </c>
    </row>
    <row r="173" customFormat="false" ht="14.25" hidden="false" customHeight="false" outlineLevel="0" collapsed="false">
      <c r="A173" s="15" t="s">
        <v>453</v>
      </c>
      <c r="B173" s="15" t="s">
        <v>2684</v>
      </c>
      <c r="C173" s="17" t="n">
        <v>65</v>
      </c>
      <c r="D173" s="15" t="s">
        <v>99</v>
      </c>
      <c r="E173" s="15" t="s">
        <v>2518</v>
      </c>
      <c r="F173" s="16" t="n">
        <v>44918</v>
      </c>
    </row>
    <row r="174" customFormat="false" ht="14.25" hidden="false" customHeight="false" outlineLevel="0" collapsed="false">
      <c r="A174" s="15" t="s">
        <v>564</v>
      </c>
      <c r="B174" s="15" t="s">
        <v>2685</v>
      </c>
      <c r="C174" s="17" t="n">
        <v>65</v>
      </c>
      <c r="D174" s="15" t="s">
        <v>123</v>
      </c>
      <c r="E174" s="15" t="s">
        <v>2518</v>
      </c>
      <c r="F174" s="16" t="n">
        <v>44342</v>
      </c>
    </row>
    <row r="175" customFormat="false" ht="14.25" hidden="false" customHeight="false" outlineLevel="0" collapsed="false">
      <c r="A175" s="15" t="s">
        <v>956</v>
      </c>
      <c r="B175" s="15" t="s">
        <v>2686</v>
      </c>
      <c r="C175" s="17" t="n">
        <v>54</v>
      </c>
      <c r="D175" s="15" t="s">
        <v>99</v>
      </c>
      <c r="E175" s="15" t="s">
        <v>2518</v>
      </c>
      <c r="F175" s="16" t="n">
        <v>44609</v>
      </c>
    </row>
    <row r="176" customFormat="false" ht="14.25" hidden="false" customHeight="false" outlineLevel="0" collapsed="false">
      <c r="A176" s="15" t="s">
        <v>277</v>
      </c>
      <c r="B176" s="15" t="s">
        <v>2687</v>
      </c>
      <c r="C176" s="17" t="n">
        <v>55</v>
      </c>
      <c r="D176" s="15" t="s">
        <v>110</v>
      </c>
      <c r="E176" s="15" t="s">
        <v>2520</v>
      </c>
      <c r="F176" s="16" t="n">
        <v>44423</v>
      </c>
    </row>
    <row r="177" customFormat="false" ht="14.25" hidden="false" customHeight="false" outlineLevel="0" collapsed="false">
      <c r="A177" s="15" t="s">
        <v>261</v>
      </c>
      <c r="B177" s="15" t="s">
        <v>2688</v>
      </c>
      <c r="C177" s="17" t="n">
        <v>34</v>
      </c>
      <c r="D177" s="15" t="s">
        <v>128</v>
      </c>
      <c r="E177" s="15" t="s">
        <v>2526</v>
      </c>
      <c r="F177" s="16" t="n">
        <v>44091</v>
      </c>
    </row>
    <row r="178" customFormat="false" ht="14.25" hidden="false" customHeight="false" outlineLevel="0" collapsed="false">
      <c r="A178" s="15" t="s">
        <v>223</v>
      </c>
      <c r="B178" s="15" t="s">
        <v>2615</v>
      </c>
      <c r="C178" s="17" t="n">
        <v>36</v>
      </c>
      <c r="D178" s="15" t="s">
        <v>123</v>
      </c>
      <c r="E178" s="15" t="s">
        <v>2526</v>
      </c>
      <c r="F178" s="16" t="n">
        <v>44589</v>
      </c>
    </row>
    <row r="179" customFormat="false" ht="14.25" hidden="false" customHeight="false" outlineLevel="0" collapsed="false">
      <c r="A179" s="15" t="s">
        <v>555</v>
      </c>
      <c r="B179" s="15" t="s">
        <v>2689</v>
      </c>
      <c r="C179" s="17" t="n">
        <v>25</v>
      </c>
      <c r="D179" s="15" t="s">
        <v>144</v>
      </c>
      <c r="E179" s="15" t="s">
        <v>2518</v>
      </c>
      <c r="F179" s="16" t="n">
        <v>45164</v>
      </c>
    </row>
    <row r="180" customFormat="false" ht="14.25" hidden="false" customHeight="false" outlineLevel="0" collapsed="false">
      <c r="A180" s="15" t="s">
        <v>1073</v>
      </c>
      <c r="B180" s="15" t="s">
        <v>2690</v>
      </c>
      <c r="C180" s="17" t="n">
        <v>54</v>
      </c>
      <c r="D180" s="15" t="s">
        <v>123</v>
      </c>
      <c r="E180" s="15" t="s">
        <v>2526</v>
      </c>
      <c r="F180" s="16" t="n">
        <v>44959</v>
      </c>
    </row>
    <row r="181" customFormat="false" ht="14.25" hidden="false" customHeight="false" outlineLevel="0" collapsed="false">
      <c r="A181" s="15" t="s">
        <v>116</v>
      </c>
      <c r="B181" s="15" t="s">
        <v>2691</v>
      </c>
      <c r="C181" s="17" t="n">
        <v>36</v>
      </c>
      <c r="D181" s="15" t="s">
        <v>105</v>
      </c>
      <c r="E181" s="15" t="s">
        <v>2518</v>
      </c>
      <c r="F181" s="16" t="n">
        <v>45172</v>
      </c>
    </row>
    <row r="182" customFormat="false" ht="14.25" hidden="false" customHeight="false" outlineLevel="0" collapsed="false">
      <c r="A182" s="15" t="s">
        <v>368</v>
      </c>
      <c r="B182" s="15" t="s">
        <v>2692</v>
      </c>
      <c r="C182" s="17" t="n">
        <v>38</v>
      </c>
      <c r="D182" s="15" t="s">
        <v>110</v>
      </c>
      <c r="E182" s="15" t="s">
        <v>2526</v>
      </c>
      <c r="F182" s="16" t="n">
        <v>44245</v>
      </c>
    </row>
    <row r="183" customFormat="false" ht="14.25" hidden="false" customHeight="false" outlineLevel="0" collapsed="false">
      <c r="A183" s="15" t="s">
        <v>171</v>
      </c>
      <c r="B183" s="15" t="s">
        <v>2693</v>
      </c>
      <c r="C183" s="17" t="n">
        <v>54</v>
      </c>
      <c r="D183" s="15" t="s">
        <v>123</v>
      </c>
      <c r="E183" s="15" t="s">
        <v>2518</v>
      </c>
      <c r="F183" s="16" t="n">
        <v>43942</v>
      </c>
    </row>
    <row r="184" customFormat="false" ht="14.25" hidden="false" customHeight="false" outlineLevel="0" collapsed="false">
      <c r="A184" s="15" t="s">
        <v>654</v>
      </c>
      <c r="B184" s="15" t="s">
        <v>2694</v>
      </c>
      <c r="C184" s="17" t="n">
        <v>27</v>
      </c>
      <c r="D184" s="15" t="s">
        <v>123</v>
      </c>
      <c r="E184" s="15" t="s">
        <v>2526</v>
      </c>
      <c r="F184" s="16" t="n">
        <v>43936</v>
      </c>
    </row>
    <row r="185" customFormat="false" ht="14.25" hidden="false" customHeight="false" outlineLevel="0" collapsed="false">
      <c r="A185" s="15" t="s">
        <v>161</v>
      </c>
      <c r="B185" s="15" t="s">
        <v>2695</v>
      </c>
      <c r="C185" s="17" t="n">
        <v>63</v>
      </c>
      <c r="D185" s="15" t="s">
        <v>99</v>
      </c>
      <c r="E185" s="15" t="s">
        <v>2518</v>
      </c>
      <c r="F185" s="16" t="n">
        <v>44642</v>
      </c>
    </row>
    <row r="186" customFormat="false" ht="14.25" hidden="false" customHeight="false" outlineLevel="0" collapsed="false">
      <c r="A186" s="15" t="s">
        <v>572</v>
      </c>
      <c r="B186" s="15" t="s">
        <v>2696</v>
      </c>
      <c r="C186" s="17" t="n">
        <v>43</v>
      </c>
      <c r="D186" s="15" t="s">
        <v>144</v>
      </c>
      <c r="E186" s="15" t="s">
        <v>2526</v>
      </c>
      <c r="F186" s="16" t="n">
        <v>44140</v>
      </c>
    </row>
    <row r="187" customFormat="false" ht="14.25" hidden="false" customHeight="false" outlineLevel="0" collapsed="false">
      <c r="A187" s="15" t="s">
        <v>225</v>
      </c>
      <c r="B187" s="15" t="s">
        <v>2685</v>
      </c>
      <c r="C187" s="17" t="n">
        <v>42</v>
      </c>
      <c r="D187" s="15" t="s">
        <v>128</v>
      </c>
      <c r="E187" s="15" t="s">
        <v>2518</v>
      </c>
      <c r="F187" s="16" t="n">
        <v>45162</v>
      </c>
    </row>
    <row r="188" customFormat="false" ht="14.25" hidden="false" customHeight="false" outlineLevel="0" collapsed="false">
      <c r="A188" s="15" t="s">
        <v>412</v>
      </c>
      <c r="B188" s="15" t="s">
        <v>2697</v>
      </c>
      <c r="C188" s="17" t="n">
        <v>51</v>
      </c>
      <c r="D188" s="15" t="s">
        <v>105</v>
      </c>
      <c r="E188" s="15" t="s">
        <v>2526</v>
      </c>
      <c r="F188" s="16" t="n">
        <v>43918</v>
      </c>
    </row>
    <row r="189" customFormat="false" ht="14.25" hidden="false" customHeight="false" outlineLevel="0" collapsed="false">
      <c r="A189" s="15" t="s">
        <v>1272</v>
      </c>
      <c r="B189" s="15" t="s">
        <v>2698</v>
      </c>
      <c r="C189" s="17" t="n">
        <v>54</v>
      </c>
      <c r="D189" s="15" t="s">
        <v>128</v>
      </c>
      <c r="E189" s="15" t="s">
        <v>2518</v>
      </c>
      <c r="F189" s="16" t="n">
        <v>44476</v>
      </c>
    </row>
    <row r="190" customFormat="false" ht="14.25" hidden="false" customHeight="false" outlineLevel="0" collapsed="false">
      <c r="A190" s="15" t="s">
        <v>312</v>
      </c>
      <c r="B190" s="15" t="s">
        <v>2699</v>
      </c>
      <c r="C190" s="17" t="n">
        <v>41</v>
      </c>
      <c r="D190" s="15" t="s">
        <v>105</v>
      </c>
      <c r="E190" s="15" t="s">
        <v>2518</v>
      </c>
      <c r="F190" s="16" t="n">
        <v>44392</v>
      </c>
    </row>
    <row r="191" customFormat="false" ht="14.25" hidden="false" customHeight="false" outlineLevel="0" collapsed="false">
      <c r="A191" s="15" t="s">
        <v>839</v>
      </c>
      <c r="B191" s="15" t="s">
        <v>2700</v>
      </c>
      <c r="C191" s="17" t="n">
        <v>52</v>
      </c>
      <c r="D191" s="15" t="s">
        <v>144</v>
      </c>
      <c r="E191" s="15" t="s">
        <v>2518</v>
      </c>
      <c r="F191" s="16" t="n">
        <v>44668</v>
      </c>
    </row>
    <row r="192" customFormat="false" ht="14.25" hidden="false" customHeight="false" outlineLevel="0" collapsed="false">
      <c r="A192" s="15" t="s">
        <v>305</v>
      </c>
      <c r="B192" s="15" t="s">
        <v>2701</v>
      </c>
      <c r="C192" s="17" t="n">
        <v>43</v>
      </c>
      <c r="D192" s="15" t="s">
        <v>144</v>
      </c>
      <c r="E192" s="15" t="s">
        <v>2526</v>
      </c>
      <c r="F192" s="16" t="n">
        <v>44080</v>
      </c>
    </row>
    <row r="193" customFormat="false" ht="14.25" hidden="false" customHeight="false" outlineLevel="0" collapsed="false">
      <c r="A193" s="15" t="s">
        <v>440</v>
      </c>
      <c r="B193" s="15" t="s">
        <v>2702</v>
      </c>
      <c r="C193" s="17" t="n">
        <v>55</v>
      </c>
      <c r="D193" s="15" t="s">
        <v>128</v>
      </c>
      <c r="E193" s="15" t="s">
        <v>2518</v>
      </c>
      <c r="F193" s="16" t="n">
        <v>44663</v>
      </c>
    </row>
    <row r="194" customFormat="false" ht="14.25" hidden="false" customHeight="false" outlineLevel="0" collapsed="false">
      <c r="A194" s="15" t="s">
        <v>321</v>
      </c>
      <c r="B194" s="15" t="s">
        <v>2703</v>
      </c>
      <c r="C194" s="17" t="n">
        <v>42</v>
      </c>
      <c r="D194" s="15" t="s">
        <v>128</v>
      </c>
      <c r="E194" s="15" t="s">
        <v>2518</v>
      </c>
      <c r="F194" s="16" t="n">
        <v>43886</v>
      </c>
    </row>
    <row r="195" customFormat="false" ht="14.25" hidden="false" customHeight="false" outlineLevel="0" collapsed="false">
      <c r="A195" s="15" t="s">
        <v>269</v>
      </c>
      <c r="B195" s="15" t="s">
        <v>2554</v>
      </c>
      <c r="C195" s="17" t="n">
        <v>55</v>
      </c>
      <c r="D195" s="15" t="s">
        <v>110</v>
      </c>
      <c r="E195" s="15" t="s">
        <v>2526</v>
      </c>
      <c r="F195" s="16" t="n">
        <v>43869</v>
      </c>
    </row>
    <row r="196" customFormat="false" ht="14.25" hidden="false" customHeight="false" outlineLevel="0" collapsed="false">
      <c r="A196" s="15" t="s">
        <v>932</v>
      </c>
      <c r="B196" s="15" t="s">
        <v>2704</v>
      </c>
      <c r="C196" s="17" t="n">
        <v>28</v>
      </c>
      <c r="D196" s="15" t="s">
        <v>128</v>
      </c>
      <c r="E196" s="15" t="s">
        <v>2518</v>
      </c>
      <c r="F196" s="16" t="n">
        <v>44056</v>
      </c>
    </row>
    <row r="197" customFormat="false" ht="14.25" hidden="false" customHeight="false" outlineLevel="0" collapsed="false">
      <c r="A197" s="15" t="s">
        <v>691</v>
      </c>
      <c r="B197" s="15" t="s">
        <v>2705</v>
      </c>
      <c r="C197" s="17" t="n">
        <v>26</v>
      </c>
      <c r="D197" s="15" t="s">
        <v>105</v>
      </c>
      <c r="E197" s="15" t="s">
        <v>2518</v>
      </c>
      <c r="F197" s="16" t="n">
        <v>44738</v>
      </c>
    </row>
    <row r="198" customFormat="false" ht="14.25" hidden="false" customHeight="false" outlineLevel="0" collapsed="false">
      <c r="A198" s="15" t="s">
        <v>474</v>
      </c>
      <c r="B198" s="15" t="s">
        <v>2706</v>
      </c>
      <c r="C198" s="17" t="n">
        <v>55</v>
      </c>
      <c r="D198" s="15" t="s">
        <v>128</v>
      </c>
      <c r="E198" s="15" t="s">
        <v>2518</v>
      </c>
      <c r="F198" s="16" t="n">
        <v>44715</v>
      </c>
    </row>
    <row r="199" customFormat="false" ht="14.25" hidden="false" customHeight="false" outlineLevel="0" collapsed="false">
      <c r="A199" s="15" t="s">
        <v>632</v>
      </c>
      <c r="B199" s="15" t="s">
        <v>2707</v>
      </c>
      <c r="C199" s="17" t="n">
        <v>22</v>
      </c>
      <c r="D199" s="15" t="s">
        <v>105</v>
      </c>
      <c r="E199" s="15" t="s">
        <v>2520</v>
      </c>
      <c r="F199" s="16" t="n">
        <v>44907</v>
      </c>
    </row>
    <row r="200" customFormat="false" ht="14.25" hidden="false" customHeight="false" outlineLevel="0" collapsed="false">
      <c r="A200" s="15" t="s">
        <v>977</v>
      </c>
      <c r="B200" s="15" t="s">
        <v>2708</v>
      </c>
      <c r="C200" s="17" t="n">
        <v>31</v>
      </c>
      <c r="D200" s="15" t="s">
        <v>144</v>
      </c>
      <c r="E200" s="15" t="s">
        <v>2526</v>
      </c>
      <c r="F200" s="16" t="n">
        <v>44821</v>
      </c>
    </row>
    <row r="201" customFormat="false" ht="14.25" hidden="false" customHeight="false" outlineLevel="0" collapsed="false">
      <c r="A201" s="15" t="s">
        <v>316</v>
      </c>
      <c r="B201" s="15" t="s">
        <v>2652</v>
      </c>
      <c r="C201" s="17" t="n">
        <v>46</v>
      </c>
      <c r="D201" s="15" t="s">
        <v>2646</v>
      </c>
      <c r="E201" s="15" t="s">
        <v>2520</v>
      </c>
      <c r="F201" s="16" t="n">
        <v>44396</v>
      </c>
    </row>
    <row r="202" customFormat="false" ht="14.25" hidden="false" customHeight="false" outlineLevel="0" collapsed="false">
      <c r="A202" s="15" t="s">
        <v>919</v>
      </c>
      <c r="B202" s="15" t="s">
        <v>2709</v>
      </c>
      <c r="C202" s="17" t="n">
        <v>31</v>
      </c>
      <c r="D202" s="15" t="s">
        <v>144</v>
      </c>
      <c r="E202" s="15" t="s">
        <v>2518</v>
      </c>
      <c r="F202" s="16" t="n">
        <v>44629</v>
      </c>
    </row>
    <row r="203" customFormat="false" ht="14.25" hidden="false" customHeight="false" outlineLevel="0" collapsed="false">
      <c r="A203" s="15" t="s">
        <v>101</v>
      </c>
      <c r="B203" s="15" t="s">
        <v>2710</v>
      </c>
      <c r="C203" s="17" t="n">
        <v>39</v>
      </c>
      <c r="D203" s="15" t="s">
        <v>105</v>
      </c>
      <c r="E203" s="15" t="s">
        <v>2518</v>
      </c>
      <c r="F203" s="16" t="n">
        <v>44149</v>
      </c>
    </row>
    <row r="204" customFormat="false" ht="14.25" hidden="false" customHeight="false" outlineLevel="0" collapsed="false">
      <c r="A204" s="15" t="s">
        <v>283</v>
      </c>
      <c r="B204" s="15" t="s">
        <v>2711</v>
      </c>
      <c r="C204" s="17" t="n">
        <v>55</v>
      </c>
      <c r="D204" s="15" t="s">
        <v>105</v>
      </c>
      <c r="E204" s="15" t="s">
        <v>2526</v>
      </c>
      <c r="F204" s="16" t="n">
        <v>44912</v>
      </c>
    </row>
    <row r="205" customFormat="false" ht="14.25" hidden="false" customHeight="false" outlineLevel="0" collapsed="false">
      <c r="A205" s="15" t="s">
        <v>141</v>
      </c>
      <c r="B205" s="15" t="s">
        <v>2712</v>
      </c>
      <c r="C205" s="17" t="n">
        <v>60</v>
      </c>
      <c r="D205" s="15" t="s">
        <v>144</v>
      </c>
      <c r="E205" s="15" t="s">
        <v>2518</v>
      </c>
      <c r="F205" s="16" t="n">
        <v>44738</v>
      </c>
    </row>
    <row r="206" customFormat="false" ht="14.25" hidden="false" customHeight="false" outlineLevel="0" collapsed="false">
      <c r="A206" s="15" t="s">
        <v>988</v>
      </c>
      <c r="B206" s="15" t="s">
        <v>2558</v>
      </c>
      <c r="C206" s="17" t="n">
        <v>29</v>
      </c>
      <c r="D206" s="15" t="s">
        <v>99</v>
      </c>
      <c r="E206" s="15" t="s">
        <v>2520</v>
      </c>
      <c r="F206" s="16" t="n">
        <v>45075</v>
      </c>
    </row>
    <row r="207" customFormat="false" ht="14.25" hidden="false" customHeight="false" outlineLevel="0" collapsed="false">
      <c r="A207" s="15" t="s">
        <v>981</v>
      </c>
      <c r="B207" s="15" t="s">
        <v>2595</v>
      </c>
      <c r="C207" s="17" t="n">
        <v>40</v>
      </c>
      <c r="D207" s="15" t="s">
        <v>123</v>
      </c>
      <c r="E207" s="15" t="s">
        <v>2518</v>
      </c>
      <c r="F207" s="16" t="n">
        <v>45127</v>
      </c>
    </row>
    <row r="208" customFormat="false" ht="14.25" hidden="false" customHeight="false" outlineLevel="0" collapsed="false">
      <c r="A208" s="15" t="s">
        <v>1901</v>
      </c>
      <c r="B208" s="15" t="s">
        <v>2713</v>
      </c>
      <c r="C208" s="17" t="n">
        <v>34</v>
      </c>
      <c r="D208" s="15" t="s">
        <v>144</v>
      </c>
      <c r="E208" s="15" t="s">
        <v>2526</v>
      </c>
      <c r="F208" s="16" t="n">
        <v>43954</v>
      </c>
    </row>
    <row r="209" customFormat="false" ht="14.25" hidden="false" customHeight="false" outlineLevel="0" collapsed="false">
      <c r="A209" s="15" t="s">
        <v>347</v>
      </c>
      <c r="B209" s="15" t="s">
        <v>2714</v>
      </c>
      <c r="C209" s="17" t="n">
        <v>49</v>
      </c>
      <c r="D209" s="15" t="s">
        <v>123</v>
      </c>
      <c r="E209" s="15" t="s">
        <v>2518</v>
      </c>
      <c r="F209" s="16" t="n">
        <v>45082</v>
      </c>
    </row>
    <row r="210" customFormat="false" ht="14.25" hidden="false" customHeight="false" outlineLevel="0" collapsed="false">
      <c r="A210" s="15" t="s">
        <v>796</v>
      </c>
      <c r="B210" s="15" t="s">
        <v>2715</v>
      </c>
      <c r="C210" s="17" t="n">
        <v>31</v>
      </c>
      <c r="D210" s="15" t="s">
        <v>99</v>
      </c>
      <c r="E210" s="15" t="s">
        <v>2518</v>
      </c>
      <c r="F210" s="16" t="n">
        <v>44258</v>
      </c>
    </row>
    <row r="211" customFormat="false" ht="14.25" hidden="false" customHeight="false" outlineLevel="0" collapsed="false">
      <c r="A211" s="15" t="s">
        <v>438</v>
      </c>
      <c r="B211" s="15" t="s">
        <v>2716</v>
      </c>
      <c r="C211" s="17" t="n">
        <v>48</v>
      </c>
      <c r="D211" s="15" t="s">
        <v>99</v>
      </c>
      <c r="E211" s="15" t="s">
        <v>2520</v>
      </c>
      <c r="F211" s="16" t="n">
        <v>44968</v>
      </c>
    </row>
    <row r="212" customFormat="false" ht="14.25" hidden="false" customHeight="false" outlineLevel="0" collapsed="false">
      <c r="A212" s="15" t="s">
        <v>1202</v>
      </c>
      <c r="B212" s="15" t="s">
        <v>2717</v>
      </c>
      <c r="C212" s="17" t="n">
        <v>36</v>
      </c>
      <c r="D212" s="15" t="s">
        <v>128</v>
      </c>
      <c r="E212" s="15" t="s">
        <v>2518</v>
      </c>
      <c r="F212" s="16" t="n">
        <v>44251</v>
      </c>
    </row>
    <row r="213" customFormat="false" ht="14.25" hidden="false" customHeight="false" outlineLevel="0" collapsed="false">
      <c r="A213" s="15" t="s">
        <v>711</v>
      </c>
      <c r="B213" s="15" t="s">
        <v>2718</v>
      </c>
      <c r="C213" s="17" t="n">
        <v>46</v>
      </c>
      <c r="D213" s="15" t="s">
        <v>105</v>
      </c>
      <c r="E213" s="15" t="s">
        <v>2526</v>
      </c>
      <c r="F213" s="16" t="n">
        <v>44594</v>
      </c>
    </row>
    <row r="214" customFormat="false" ht="14.25" hidden="false" customHeight="false" outlineLevel="0" collapsed="false">
      <c r="A214" s="15" t="s">
        <v>1066</v>
      </c>
      <c r="B214" s="15" t="s">
        <v>2554</v>
      </c>
      <c r="C214" s="17" t="n">
        <v>37</v>
      </c>
      <c r="D214" s="15" t="s">
        <v>123</v>
      </c>
      <c r="E214" s="15" t="s">
        <v>2518</v>
      </c>
      <c r="F214" s="16" t="n">
        <v>44431</v>
      </c>
    </row>
    <row r="215" customFormat="false" ht="14.25" hidden="false" customHeight="false" outlineLevel="0" collapsed="false">
      <c r="A215" s="15" t="s">
        <v>893</v>
      </c>
      <c r="B215" s="15" t="s">
        <v>2719</v>
      </c>
      <c r="C215" s="17" t="n">
        <v>22</v>
      </c>
      <c r="D215" s="15" t="s">
        <v>123</v>
      </c>
      <c r="E215" s="15" t="s">
        <v>2518</v>
      </c>
      <c r="F215" s="16" t="n">
        <v>44453</v>
      </c>
    </row>
    <row r="216" customFormat="false" ht="14.25" hidden="false" customHeight="false" outlineLevel="0" collapsed="false">
      <c r="A216" s="15" t="s">
        <v>773</v>
      </c>
      <c r="B216" s="15" t="s">
        <v>2720</v>
      </c>
      <c r="C216" s="17" t="n">
        <v>52</v>
      </c>
      <c r="D216" s="15" t="s">
        <v>144</v>
      </c>
      <c r="E216" s="15" t="s">
        <v>2518</v>
      </c>
      <c r="F216" s="16" t="n">
        <v>45105</v>
      </c>
    </row>
    <row r="217" customFormat="false" ht="14.25" hidden="false" customHeight="false" outlineLevel="0" collapsed="false">
      <c r="A217" s="15" t="s">
        <v>403</v>
      </c>
      <c r="B217" s="15" t="s">
        <v>2721</v>
      </c>
      <c r="C217" s="17" t="n">
        <v>50</v>
      </c>
      <c r="D217" s="15" t="s">
        <v>123</v>
      </c>
      <c r="E217" s="15" t="s">
        <v>2518</v>
      </c>
      <c r="F217" s="16" t="n">
        <v>44204</v>
      </c>
    </row>
    <row r="218" customFormat="false" ht="14.25" hidden="false" customHeight="false" outlineLevel="0" collapsed="false">
      <c r="A218" s="15" t="s">
        <v>867</v>
      </c>
      <c r="B218" s="15" t="s">
        <v>2722</v>
      </c>
      <c r="C218" s="17" t="n">
        <v>59</v>
      </c>
      <c r="D218" s="15" t="s">
        <v>99</v>
      </c>
      <c r="E218" s="15" t="s">
        <v>2526</v>
      </c>
      <c r="F218" s="16" t="n">
        <v>44877</v>
      </c>
    </row>
    <row r="219" customFormat="false" ht="14.25" hidden="false" customHeight="false" outlineLevel="0" collapsed="false">
      <c r="A219" s="15" t="s">
        <v>608</v>
      </c>
      <c r="B219" s="15" t="s">
        <v>2723</v>
      </c>
      <c r="C219" s="17" t="n">
        <v>39</v>
      </c>
      <c r="D219" s="15" t="s">
        <v>123</v>
      </c>
      <c r="E219" s="15" t="s">
        <v>2518</v>
      </c>
      <c r="F219" s="16" t="n">
        <v>44849</v>
      </c>
    </row>
    <row r="220" customFormat="false" ht="14.25" hidden="false" customHeight="false" outlineLevel="0" collapsed="false">
      <c r="A220" s="15" t="s">
        <v>356</v>
      </c>
      <c r="B220" s="15" t="s">
        <v>2724</v>
      </c>
      <c r="C220" s="17" t="n">
        <v>38</v>
      </c>
      <c r="D220" s="15" t="s">
        <v>105</v>
      </c>
      <c r="E220" s="15" t="s">
        <v>2520</v>
      </c>
      <c r="F220" s="16" t="n">
        <v>44321</v>
      </c>
    </row>
    <row r="221" customFormat="false" ht="14.25" hidden="false" customHeight="false" outlineLevel="0" collapsed="false">
      <c r="A221" s="15" t="s">
        <v>1372</v>
      </c>
      <c r="B221" s="15" t="s">
        <v>2725</v>
      </c>
      <c r="C221" s="17" t="n">
        <v>34</v>
      </c>
      <c r="D221" s="15" t="s">
        <v>105</v>
      </c>
      <c r="E221" s="15" t="s">
        <v>2518</v>
      </c>
      <c r="F221" s="16" t="n">
        <v>43978</v>
      </c>
    </row>
    <row r="222" customFormat="false" ht="14.25" hidden="false" customHeight="false" outlineLevel="0" collapsed="false">
      <c r="A222" s="15" t="s">
        <v>792</v>
      </c>
      <c r="B222" s="15" t="s">
        <v>2726</v>
      </c>
      <c r="C222" s="17" t="n">
        <v>29</v>
      </c>
      <c r="D222" s="15" t="s">
        <v>110</v>
      </c>
      <c r="E222" s="15" t="s">
        <v>2526</v>
      </c>
      <c r="F222" s="16" t="n">
        <v>44061</v>
      </c>
    </row>
    <row r="223" customFormat="false" ht="14.25" hidden="false" customHeight="false" outlineLevel="0" collapsed="false">
      <c r="A223" s="15" t="s">
        <v>236</v>
      </c>
      <c r="B223" s="15" t="s">
        <v>2727</v>
      </c>
      <c r="C223" s="17" t="n">
        <v>37</v>
      </c>
      <c r="D223" s="15" t="s">
        <v>105</v>
      </c>
      <c r="E223" s="15" t="s">
        <v>2518</v>
      </c>
      <c r="F223" s="16" t="n">
        <v>43877</v>
      </c>
    </row>
    <row r="224" customFormat="false" ht="14.25" hidden="false" customHeight="false" outlineLevel="0" collapsed="false">
      <c r="A224" s="15" t="s">
        <v>906</v>
      </c>
      <c r="B224" s="15" t="s">
        <v>2728</v>
      </c>
      <c r="C224" s="17" t="n">
        <v>46</v>
      </c>
      <c r="D224" s="15" t="s">
        <v>128</v>
      </c>
      <c r="E224" s="15" t="s">
        <v>2518</v>
      </c>
      <c r="F224" s="16" t="n">
        <v>44743</v>
      </c>
    </row>
    <row r="225" customFormat="false" ht="14.25" hidden="false" customHeight="false" outlineLevel="0" collapsed="false">
      <c r="A225" s="15" t="s">
        <v>416</v>
      </c>
      <c r="B225" s="15" t="s">
        <v>2729</v>
      </c>
      <c r="C225" s="17" t="n">
        <v>24</v>
      </c>
      <c r="D225" s="15" t="s">
        <v>105</v>
      </c>
      <c r="E225" s="15" t="s">
        <v>2520</v>
      </c>
      <c r="F225" s="16" t="n">
        <v>44558</v>
      </c>
    </row>
    <row r="226" customFormat="false" ht="14.25" hidden="false" customHeight="false" outlineLevel="0" collapsed="false">
      <c r="A226" s="15" t="s">
        <v>775</v>
      </c>
      <c r="B226" s="15" t="s">
        <v>2582</v>
      </c>
      <c r="C226" s="17" t="n">
        <v>26</v>
      </c>
      <c r="D226" s="15" t="s">
        <v>105</v>
      </c>
      <c r="E226" s="15" t="s">
        <v>2526</v>
      </c>
      <c r="F226" s="16" t="n">
        <v>44213</v>
      </c>
    </row>
    <row r="227" customFormat="false" ht="14.25" hidden="false" customHeight="false" outlineLevel="0" collapsed="false">
      <c r="A227" s="15" t="s">
        <v>255</v>
      </c>
      <c r="B227" s="15" t="s">
        <v>2730</v>
      </c>
      <c r="C227" s="17" t="n">
        <v>52</v>
      </c>
      <c r="D227" s="15" t="s">
        <v>105</v>
      </c>
      <c r="E227" s="15" t="s">
        <v>2520</v>
      </c>
      <c r="F227" s="16" t="n">
        <v>44650</v>
      </c>
    </row>
    <row r="228" customFormat="false" ht="14.25" hidden="false" customHeight="false" outlineLevel="0" collapsed="false">
      <c r="A228" s="15" t="s">
        <v>1017</v>
      </c>
      <c r="B228" s="15" t="s">
        <v>2614</v>
      </c>
      <c r="C228" s="17" t="n">
        <v>44</v>
      </c>
      <c r="D228" s="15" t="s">
        <v>128</v>
      </c>
      <c r="E228" s="15" t="s">
        <v>2526</v>
      </c>
      <c r="F228" s="16" t="n">
        <v>44121</v>
      </c>
    </row>
    <row r="229" customFormat="false" ht="14.25" hidden="false" customHeight="false" outlineLevel="0" collapsed="false">
      <c r="A229" s="15" t="s">
        <v>471</v>
      </c>
      <c r="B229" s="15" t="s">
        <v>2731</v>
      </c>
      <c r="C229" s="17" t="n">
        <v>37</v>
      </c>
      <c r="D229" s="15" t="s">
        <v>99</v>
      </c>
      <c r="E229" s="15" t="s">
        <v>2520</v>
      </c>
      <c r="F229" s="16" t="n">
        <v>43952</v>
      </c>
    </row>
    <row r="230" customFormat="false" ht="14.25" hidden="false" customHeight="false" outlineLevel="0" collapsed="false">
      <c r="A230" s="15" t="s">
        <v>1204</v>
      </c>
      <c r="B230" s="15" t="s">
        <v>2732</v>
      </c>
      <c r="C230" s="17" t="n">
        <v>25</v>
      </c>
      <c r="D230" s="15" t="s">
        <v>144</v>
      </c>
      <c r="E230" s="15" t="s">
        <v>2526</v>
      </c>
      <c r="F230" s="16" t="n">
        <v>44453</v>
      </c>
    </row>
    <row r="231" customFormat="false" ht="14.25" hidden="false" customHeight="false" outlineLevel="0" collapsed="false">
      <c r="A231" s="15" t="s">
        <v>325</v>
      </c>
      <c r="B231" s="15" t="s">
        <v>2733</v>
      </c>
      <c r="C231" s="17" t="n">
        <v>33</v>
      </c>
      <c r="D231" s="15" t="s">
        <v>99</v>
      </c>
      <c r="E231" s="15" t="s">
        <v>2520</v>
      </c>
      <c r="F231" s="16" t="n">
        <v>43963</v>
      </c>
    </row>
    <row r="232" customFormat="false" ht="14.25" hidden="false" customHeight="false" outlineLevel="0" collapsed="false">
      <c r="A232" s="15" t="s">
        <v>613</v>
      </c>
      <c r="B232" s="15" t="s">
        <v>2734</v>
      </c>
      <c r="C232" s="17" t="n">
        <v>61</v>
      </c>
      <c r="D232" s="15" t="s">
        <v>105</v>
      </c>
      <c r="E232" s="15" t="s">
        <v>2518</v>
      </c>
      <c r="F232" s="16" t="n">
        <v>45030</v>
      </c>
    </row>
    <row r="233" customFormat="false" ht="14.25" hidden="false" customHeight="false" outlineLevel="0" collapsed="false">
      <c r="A233" s="15" t="s">
        <v>550</v>
      </c>
      <c r="B233" s="15" t="s">
        <v>2735</v>
      </c>
      <c r="C233" s="17" t="n">
        <v>38</v>
      </c>
      <c r="D233" s="15" t="s">
        <v>144</v>
      </c>
      <c r="E233" s="15" t="s">
        <v>2518</v>
      </c>
      <c r="F233" s="16" t="n">
        <v>44364</v>
      </c>
    </row>
    <row r="234" customFormat="false" ht="14.25" hidden="false" customHeight="false" outlineLevel="0" collapsed="false">
      <c r="A234" s="15" t="s">
        <v>970</v>
      </c>
      <c r="B234" s="15" t="s">
        <v>2700</v>
      </c>
      <c r="C234" s="17" t="n">
        <v>65</v>
      </c>
      <c r="D234" s="15" t="s">
        <v>123</v>
      </c>
      <c r="E234" s="15" t="s">
        <v>2526</v>
      </c>
      <c r="F234" s="16" t="n">
        <v>43850</v>
      </c>
    </row>
    <row r="235" customFormat="false" ht="14.25" hidden="false" customHeight="false" outlineLevel="0" collapsed="false">
      <c r="A235" s="15" t="s">
        <v>258</v>
      </c>
      <c r="B235" s="15" t="s">
        <v>2736</v>
      </c>
      <c r="C235" s="17" t="n">
        <v>34</v>
      </c>
      <c r="D235" s="15" t="s">
        <v>128</v>
      </c>
      <c r="E235" s="15" t="s">
        <v>2518</v>
      </c>
      <c r="F235" s="16" t="n">
        <v>44175</v>
      </c>
    </row>
    <row r="236" customFormat="false" ht="14.25" hidden="false" customHeight="false" outlineLevel="0" collapsed="false">
      <c r="A236" s="15" t="s">
        <v>974</v>
      </c>
      <c r="B236" s="15" t="s">
        <v>2620</v>
      </c>
      <c r="C236" s="17" t="n">
        <v>31</v>
      </c>
      <c r="D236" s="15" t="s">
        <v>105</v>
      </c>
      <c r="E236" s="15" t="s">
        <v>2518</v>
      </c>
      <c r="F236" s="16" t="n">
        <v>43903</v>
      </c>
    </row>
    <row r="237" customFormat="false" ht="14.25" hidden="false" customHeight="false" outlineLevel="0" collapsed="false">
      <c r="A237" s="15" t="s">
        <v>894</v>
      </c>
      <c r="B237" s="15" t="s">
        <v>2737</v>
      </c>
      <c r="C237" s="17" t="n">
        <v>28</v>
      </c>
      <c r="D237" s="15" t="s">
        <v>144</v>
      </c>
      <c r="E237" s="15" t="s">
        <v>2526</v>
      </c>
      <c r="F237" s="16" t="n">
        <v>43949</v>
      </c>
    </row>
    <row r="238" customFormat="false" ht="14.25" hidden="false" customHeight="false" outlineLevel="0" collapsed="false">
      <c r="A238" s="15" t="s">
        <v>967</v>
      </c>
      <c r="B238" s="15" t="s">
        <v>2738</v>
      </c>
      <c r="C238" s="17" t="n">
        <v>49</v>
      </c>
      <c r="D238" s="15" t="s">
        <v>123</v>
      </c>
      <c r="E238" s="15" t="s">
        <v>2518</v>
      </c>
      <c r="F238" s="16" t="n">
        <v>44068</v>
      </c>
    </row>
    <row r="239" customFormat="false" ht="14.25" hidden="false" customHeight="false" outlineLevel="0" collapsed="false">
      <c r="A239" s="15" t="s">
        <v>646</v>
      </c>
      <c r="B239" s="15" t="s">
        <v>2574</v>
      </c>
      <c r="C239" s="17" t="n">
        <v>49</v>
      </c>
      <c r="D239" s="15" t="s">
        <v>110</v>
      </c>
      <c r="E239" s="15" t="s">
        <v>2518</v>
      </c>
      <c r="F239" s="16" t="n">
        <v>44377</v>
      </c>
    </row>
    <row r="240" customFormat="false" ht="14.25" hidden="false" customHeight="false" outlineLevel="0" collapsed="false">
      <c r="A240" s="15" t="s">
        <v>422</v>
      </c>
      <c r="B240" s="15" t="s">
        <v>2739</v>
      </c>
      <c r="C240" s="17" t="n">
        <v>61</v>
      </c>
      <c r="D240" s="15" t="s">
        <v>123</v>
      </c>
      <c r="E240" s="15" t="s">
        <v>2518</v>
      </c>
      <c r="F240" s="16" t="n">
        <v>43981</v>
      </c>
    </row>
    <row r="241" customFormat="false" ht="14.25" hidden="false" customHeight="false" outlineLevel="0" collapsed="false">
      <c r="A241" s="15" t="s">
        <v>483</v>
      </c>
      <c r="B241" s="15" t="s">
        <v>2740</v>
      </c>
      <c r="C241" s="17" t="n">
        <v>35</v>
      </c>
      <c r="D241" s="15" t="s">
        <v>105</v>
      </c>
      <c r="E241" s="15" t="s">
        <v>2520</v>
      </c>
      <c r="F241" s="16" t="n">
        <v>44337</v>
      </c>
    </row>
    <row r="242" customFormat="false" ht="14.25" hidden="false" customHeight="false" outlineLevel="0" collapsed="false">
      <c r="A242" s="15" t="s">
        <v>208</v>
      </c>
      <c r="B242" s="15" t="s">
        <v>2741</v>
      </c>
      <c r="C242" s="17" t="n">
        <v>47</v>
      </c>
      <c r="D242" s="15" t="s">
        <v>99</v>
      </c>
      <c r="E242" s="15" t="s">
        <v>2520</v>
      </c>
      <c r="F242" s="16" t="n">
        <v>44195</v>
      </c>
    </row>
    <row r="243" customFormat="false" ht="14.25" hidden="false" customHeight="false" outlineLevel="0" collapsed="false">
      <c r="A243" s="15" t="s">
        <v>593</v>
      </c>
      <c r="B243" s="15" t="s">
        <v>2640</v>
      </c>
      <c r="C243" s="17" t="n">
        <v>59</v>
      </c>
      <c r="D243" s="15" t="s">
        <v>105</v>
      </c>
      <c r="E243" s="15" t="s">
        <v>2526</v>
      </c>
      <c r="F243" s="16" t="n">
        <v>44474</v>
      </c>
    </row>
    <row r="244" customFormat="false" ht="14.25" hidden="false" customHeight="false" outlineLevel="0" collapsed="false">
      <c r="A244" s="15" t="s">
        <v>95</v>
      </c>
      <c r="B244" s="15" t="s">
        <v>2681</v>
      </c>
      <c r="C244" s="17" t="n">
        <v>44</v>
      </c>
      <c r="D244" s="15" t="s">
        <v>99</v>
      </c>
      <c r="E244" s="15" t="s">
        <v>2526</v>
      </c>
      <c r="F244" s="16" t="n">
        <v>43861</v>
      </c>
    </row>
    <row r="245" customFormat="false" ht="14.25" hidden="false" customHeight="false" outlineLevel="0" collapsed="false">
      <c r="A245" s="15" t="s">
        <v>1001</v>
      </c>
      <c r="B245" s="15" t="s">
        <v>2742</v>
      </c>
      <c r="C245" s="17" t="n">
        <v>61</v>
      </c>
      <c r="D245" s="15" t="s">
        <v>128</v>
      </c>
      <c r="E245" s="15" t="s">
        <v>2518</v>
      </c>
      <c r="F245" s="16" t="n">
        <v>44483</v>
      </c>
    </row>
    <row r="246" customFormat="false" ht="14.25" hidden="false" customHeight="false" outlineLevel="0" collapsed="false">
      <c r="A246" s="15" t="s">
        <v>708</v>
      </c>
      <c r="B246" s="15" t="s">
        <v>2743</v>
      </c>
      <c r="C246" s="17" t="n">
        <v>65</v>
      </c>
      <c r="D246" s="15" t="s">
        <v>144</v>
      </c>
      <c r="E246" s="15" t="s">
        <v>2518</v>
      </c>
      <c r="F246" s="16" t="n">
        <v>44851</v>
      </c>
    </row>
    <row r="247" customFormat="false" ht="14.25" hidden="false" customHeight="false" outlineLevel="0" collapsed="false">
      <c r="A247" s="15" t="s">
        <v>557</v>
      </c>
      <c r="B247" s="15" t="s">
        <v>2744</v>
      </c>
      <c r="C247" s="17" t="n">
        <v>29</v>
      </c>
      <c r="D247" s="15" t="s">
        <v>110</v>
      </c>
      <c r="E247" s="15" t="s">
        <v>2526</v>
      </c>
      <c r="F247" s="16" t="n">
        <v>44477</v>
      </c>
    </row>
    <row r="248" customFormat="false" ht="14.25" hidden="false" customHeight="false" outlineLevel="0" collapsed="false">
      <c r="A248" s="15" t="s">
        <v>687</v>
      </c>
      <c r="B248" s="15" t="s">
        <v>2745</v>
      </c>
      <c r="C248" s="17" t="n">
        <v>35</v>
      </c>
      <c r="D248" s="15" t="s">
        <v>99</v>
      </c>
      <c r="E248" s="15" t="s">
        <v>2526</v>
      </c>
      <c r="F248" s="16" t="n">
        <v>43966</v>
      </c>
    </row>
    <row r="249" customFormat="false" ht="14.25" hidden="false" customHeight="false" outlineLevel="0" collapsed="false">
      <c r="A249" s="15" t="s">
        <v>329</v>
      </c>
      <c r="B249" s="15" t="s">
        <v>2746</v>
      </c>
      <c r="C249" s="17" t="n">
        <v>57</v>
      </c>
      <c r="D249" s="15" t="s">
        <v>105</v>
      </c>
      <c r="E249" s="15" t="s">
        <v>2526</v>
      </c>
      <c r="F249" s="16" t="n">
        <v>44557</v>
      </c>
    </row>
    <row r="250" customFormat="false" ht="14.25" hidden="false" customHeight="false" outlineLevel="0" collapsed="false">
      <c r="A250" s="15" t="s">
        <v>624</v>
      </c>
      <c r="B250" s="15" t="s">
        <v>2747</v>
      </c>
      <c r="C250" s="17" t="n">
        <v>44</v>
      </c>
      <c r="D250" s="15" t="s">
        <v>123</v>
      </c>
      <c r="E250" s="15" t="s">
        <v>2518</v>
      </c>
      <c r="F250" s="16" t="n">
        <v>43866</v>
      </c>
    </row>
    <row r="251" customFormat="false" ht="14.25" hidden="false" customHeight="false" outlineLevel="0" collapsed="false">
      <c r="A251" s="15" t="s">
        <v>192</v>
      </c>
      <c r="B251" s="15" t="s">
        <v>2748</v>
      </c>
      <c r="C251" s="17" t="n">
        <v>31</v>
      </c>
      <c r="D251" s="15" t="s">
        <v>110</v>
      </c>
      <c r="E251" s="15" t="s">
        <v>2518</v>
      </c>
      <c r="F251" s="16" t="n">
        <v>44575</v>
      </c>
    </row>
    <row r="252" customFormat="false" ht="14.25" hidden="false" customHeight="false" outlineLevel="0" collapsed="false">
      <c r="A252" s="15" t="s">
        <v>539</v>
      </c>
      <c r="B252" s="15" t="s">
        <v>2749</v>
      </c>
      <c r="C252" s="17" t="n">
        <v>44</v>
      </c>
      <c r="D252" s="15" t="s">
        <v>123</v>
      </c>
      <c r="E252" s="15" t="s">
        <v>2518</v>
      </c>
      <c r="F252" s="16" t="n">
        <v>45121</v>
      </c>
    </row>
    <row r="253" customFormat="false" ht="14.25" hidden="false" customHeight="false" outlineLevel="0" collapsed="false">
      <c r="A253" s="15" t="s">
        <v>1011</v>
      </c>
      <c r="B253" s="15" t="s">
        <v>2750</v>
      </c>
      <c r="C253" s="17" t="n">
        <v>27</v>
      </c>
      <c r="D253" s="15" t="s">
        <v>128</v>
      </c>
      <c r="E253" s="15" t="s">
        <v>2518</v>
      </c>
      <c r="F253" s="16" t="n">
        <v>45004</v>
      </c>
    </row>
    <row r="254" customFormat="false" ht="14.25" hidden="false" customHeight="false" outlineLevel="0" collapsed="false">
      <c r="A254" s="15" t="s">
        <v>410</v>
      </c>
      <c r="B254" s="15" t="s">
        <v>2751</v>
      </c>
      <c r="C254" s="17" t="n">
        <v>53</v>
      </c>
      <c r="D254" s="15" t="s">
        <v>110</v>
      </c>
      <c r="E254" s="15" t="s">
        <v>2526</v>
      </c>
      <c r="F254" s="16" t="n">
        <v>43892</v>
      </c>
    </row>
    <row r="255" customFormat="false" ht="14.25" hidden="false" customHeight="false" outlineLevel="0" collapsed="false">
      <c r="A255" s="15" t="s">
        <v>911</v>
      </c>
      <c r="B255" s="15" t="s">
        <v>2752</v>
      </c>
      <c r="C255" s="17" t="n">
        <v>35</v>
      </c>
      <c r="D255" s="15" t="s">
        <v>128</v>
      </c>
      <c r="E255" s="15" t="s">
        <v>2518</v>
      </c>
      <c r="F255" s="16" t="n">
        <v>44000</v>
      </c>
    </row>
    <row r="256" customFormat="false" ht="14.25" hidden="false" customHeight="false" outlineLevel="0" collapsed="false">
      <c r="A256" s="15" t="s">
        <v>373</v>
      </c>
      <c r="B256" s="15" t="s">
        <v>2539</v>
      </c>
      <c r="C256" s="17" t="n">
        <v>51</v>
      </c>
      <c r="D256" s="15" t="s">
        <v>105</v>
      </c>
      <c r="E256" s="15" t="s">
        <v>2520</v>
      </c>
      <c r="F256" s="16" t="n">
        <v>44458</v>
      </c>
    </row>
    <row r="257" customFormat="false" ht="14.25" hidden="false" customHeight="false" outlineLevel="0" collapsed="false">
      <c r="A257" s="15" t="s">
        <v>700</v>
      </c>
      <c r="B257" s="15" t="s">
        <v>2753</v>
      </c>
      <c r="C257" s="17" t="n">
        <v>28</v>
      </c>
      <c r="D257" s="15" t="s">
        <v>144</v>
      </c>
      <c r="E257" s="15" t="s">
        <v>2518</v>
      </c>
      <c r="F257" s="16" t="n">
        <v>44694</v>
      </c>
    </row>
    <row r="258" customFormat="false" ht="14.25" hidden="false" customHeight="false" outlineLevel="0" collapsed="false">
      <c r="A258" s="15" t="s">
        <v>1132</v>
      </c>
      <c r="B258" s="15" t="s">
        <v>2754</v>
      </c>
      <c r="C258" s="17" t="n">
        <v>46</v>
      </c>
      <c r="D258" s="15" t="s">
        <v>123</v>
      </c>
      <c r="E258" s="15" t="s">
        <v>2520</v>
      </c>
      <c r="F258" s="16" t="n">
        <v>43849</v>
      </c>
    </row>
    <row r="259" customFormat="false" ht="14.25" hidden="false" customHeight="false" outlineLevel="0" collapsed="false">
      <c r="A259" s="15" t="s">
        <v>286</v>
      </c>
      <c r="B259" s="15" t="s">
        <v>2755</v>
      </c>
      <c r="C259" s="17" t="n">
        <v>44</v>
      </c>
      <c r="D259" s="15" t="s">
        <v>99</v>
      </c>
      <c r="E259" s="15" t="s">
        <v>2518</v>
      </c>
      <c r="F259" s="16" t="n">
        <v>43874</v>
      </c>
    </row>
    <row r="260" customFormat="false" ht="14.25" hidden="false" customHeight="false" outlineLevel="0" collapsed="false">
      <c r="A260" s="15" t="s">
        <v>180</v>
      </c>
      <c r="B260" s="15" t="s">
        <v>2756</v>
      </c>
      <c r="C260" s="17" t="n">
        <v>34</v>
      </c>
      <c r="D260" s="15" t="s">
        <v>123</v>
      </c>
      <c r="E260" s="15" t="s">
        <v>2518</v>
      </c>
      <c r="F260" s="16" t="n">
        <v>44086</v>
      </c>
    </row>
    <row r="261" customFormat="false" ht="14.25" hidden="false" customHeight="false" outlineLevel="0" collapsed="false">
      <c r="A261" s="15" t="s">
        <v>134</v>
      </c>
      <c r="B261" s="15" t="s">
        <v>2757</v>
      </c>
      <c r="C261" s="17" t="n">
        <v>42</v>
      </c>
      <c r="D261" s="15" t="s">
        <v>128</v>
      </c>
      <c r="E261" s="15" t="s">
        <v>2518</v>
      </c>
      <c r="F261" s="16" t="n">
        <v>44866</v>
      </c>
    </row>
    <row r="262" customFormat="false" ht="14.25" hidden="false" customHeight="false" outlineLevel="0" collapsed="false">
      <c r="A262" s="15" t="s">
        <v>272</v>
      </c>
      <c r="B262" s="15" t="s">
        <v>2758</v>
      </c>
      <c r="C262" s="17" t="n">
        <v>54</v>
      </c>
      <c r="D262" s="15" t="s">
        <v>110</v>
      </c>
      <c r="E262" s="15" t="s">
        <v>2518</v>
      </c>
      <c r="F262" s="16" t="n">
        <v>43845</v>
      </c>
    </row>
    <row r="263" customFormat="false" ht="14.25" hidden="false" customHeight="false" outlineLevel="0" collapsed="false">
      <c r="A263" s="15" t="s">
        <v>617</v>
      </c>
      <c r="B263" s="15" t="s">
        <v>2759</v>
      </c>
      <c r="C263" s="17" t="n">
        <v>52</v>
      </c>
      <c r="D263" s="15" t="s">
        <v>123</v>
      </c>
      <c r="E263" s="15" t="s">
        <v>2518</v>
      </c>
      <c r="F263" s="16" t="n">
        <v>44636</v>
      </c>
    </row>
    <row r="264" customFormat="false" ht="14.25" hidden="false" customHeight="false" outlineLevel="0" collapsed="false">
      <c r="A264" s="15" t="s">
        <v>280</v>
      </c>
      <c r="B264" s="15" t="s">
        <v>2760</v>
      </c>
      <c r="C264" s="17" t="n">
        <v>40</v>
      </c>
      <c r="D264" s="15" t="s">
        <v>123</v>
      </c>
      <c r="E264" s="15" t="s">
        <v>2518</v>
      </c>
      <c r="F264" s="16" t="n">
        <v>44758</v>
      </c>
    </row>
    <row r="265" customFormat="false" ht="14.25" hidden="false" customHeight="false" outlineLevel="0" collapsed="false">
      <c r="A265" s="15" t="s">
        <v>518</v>
      </c>
      <c r="B265" s="15" t="s">
        <v>2761</v>
      </c>
      <c r="C265" s="17" t="n">
        <v>59</v>
      </c>
      <c r="D265" s="15" t="s">
        <v>99</v>
      </c>
      <c r="E265" s="15" t="s">
        <v>2518</v>
      </c>
      <c r="F265" s="16" t="n">
        <v>45042</v>
      </c>
    </row>
    <row r="266" customFormat="false" ht="14.25" hidden="false" customHeight="false" outlineLevel="0" collapsed="false">
      <c r="A266" s="15" t="s">
        <v>174</v>
      </c>
      <c r="B266" s="15" t="s">
        <v>2762</v>
      </c>
      <c r="C266" s="17" t="n">
        <v>49</v>
      </c>
      <c r="D266" s="15" t="s">
        <v>105</v>
      </c>
      <c r="E266" s="15" t="s">
        <v>2518</v>
      </c>
      <c r="F266" s="16" t="n">
        <v>44555</v>
      </c>
    </row>
    <row r="267" customFormat="false" ht="14.25" hidden="false" customHeight="false" outlineLevel="0" collapsed="false">
      <c r="A267" s="15" t="s">
        <v>959</v>
      </c>
      <c r="B267" s="15" t="s">
        <v>2763</v>
      </c>
      <c r="C267" s="17" t="n">
        <v>65</v>
      </c>
      <c r="D267" s="15" t="s">
        <v>99</v>
      </c>
      <c r="E267" s="15" t="s">
        <v>2518</v>
      </c>
      <c r="F267" s="16" t="n">
        <v>44469</v>
      </c>
    </row>
    <row r="268" customFormat="false" ht="14.25" hidden="false" customHeight="false" outlineLevel="0" collapsed="false">
      <c r="A268" s="15" t="s">
        <v>267</v>
      </c>
      <c r="B268" s="15" t="s">
        <v>2764</v>
      </c>
      <c r="C268" s="17" t="n">
        <v>27</v>
      </c>
      <c r="D268" s="15" t="s">
        <v>144</v>
      </c>
      <c r="E268" s="15" t="s">
        <v>2518</v>
      </c>
      <c r="F268" s="16" t="n">
        <v>44352</v>
      </c>
    </row>
    <row r="269" customFormat="false" ht="14.25" hidden="false" customHeight="false" outlineLevel="0" collapsed="false">
      <c r="A269" s="15" t="s">
        <v>1639</v>
      </c>
      <c r="B269" s="15" t="s">
        <v>2765</v>
      </c>
      <c r="C269" s="17" t="n">
        <v>35</v>
      </c>
      <c r="D269" s="15" t="s">
        <v>105</v>
      </c>
      <c r="E269" s="15" t="s">
        <v>2518</v>
      </c>
      <c r="F269" s="16" t="n">
        <v>44991</v>
      </c>
    </row>
    <row r="270" customFormat="false" ht="14.25" hidden="false" customHeight="false" outlineLevel="0" collapsed="false">
      <c r="A270" s="15" t="s">
        <v>731</v>
      </c>
      <c r="B270" s="15" t="s">
        <v>2766</v>
      </c>
      <c r="C270" s="17" t="n">
        <v>48</v>
      </c>
      <c r="D270" s="15" t="s">
        <v>99</v>
      </c>
      <c r="E270" s="15" t="s">
        <v>2518</v>
      </c>
      <c r="F270" s="16" t="n">
        <v>44429</v>
      </c>
    </row>
    <row r="271" customFormat="false" ht="14.25" hidden="false" customHeight="false" outlineLevel="0" collapsed="false">
      <c r="A271" s="15" t="s">
        <v>770</v>
      </c>
      <c r="B271" s="15" t="s">
        <v>2767</v>
      </c>
      <c r="C271" s="17" t="n">
        <v>29</v>
      </c>
      <c r="D271" s="15" t="s">
        <v>128</v>
      </c>
      <c r="E271" s="15" t="s">
        <v>2518</v>
      </c>
      <c r="F271" s="16" t="n">
        <v>44410</v>
      </c>
    </row>
    <row r="272" customFormat="false" ht="14.25" hidden="false" customHeight="false" outlineLevel="0" collapsed="false">
      <c r="A272" s="15" t="s">
        <v>578</v>
      </c>
      <c r="B272" s="15" t="s">
        <v>2612</v>
      </c>
      <c r="C272" s="17" t="n">
        <v>41</v>
      </c>
      <c r="D272" s="15" t="s">
        <v>128</v>
      </c>
      <c r="E272" s="15" t="s">
        <v>2520</v>
      </c>
      <c r="F272" s="16" t="n">
        <v>44441</v>
      </c>
    </row>
    <row r="273" customFormat="false" ht="14.25" hidden="false" customHeight="false" outlineLevel="0" collapsed="false">
      <c r="A273" s="15" t="s">
        <v>1038</v>
      </c>
      <c r="B273" s="15" t="s">
        <v>2768</v>
      </c>
      <c r="C273" s="17" t="n">
        <v>47</v>
      </c>
      <c r="D273" s="15" t="s">
        <v>123</v>
      </c>
      <c r="E273" s="15" t="s">
        <v>2526</v>
      </c>
      <c r="F273" s="16" t="n">
        <v>44634</v>
      </c>
    </row>
    <row r="274" customFormat="false" ht="14.25" hidden="false" customHeight="false" outlineLevel="0" collapsed="false">
      <c r="A274" s="15" t="s">
        <v>167</v>
      </c>
      <c r="B274" s="15" t="s">
        <v>2769</v>
      </c>
      <c r="C274" s="17" t="n">
        <v>32</v>
      </c>
      <c r="D274" s="15" t="s">
        <v>144</v>
      </c>
      <c r="E274" s="15" t="s">
        <v>2520</v>
      </c>
      <c r="F274" s="16" t="n">
        <v>44221</v>
      </c>
    </row>
    <row r="275" customFormat="false" ht="14.25" hidden="false" customHeight="false" outlineLevel="0" collapsed="false">
      <c r="A275" s="15" t="s">
        <v>515</v>
      </c>
      <c r="B275" s="15" t="s">
        <v>2770</v>
      </c>
      <c r="C275" s="17" t="n">
        <v>36</v>
      </c>
      <c r="D275" s="15" t="s">
        <v>128</v>
      </c>
      <c r="E275" s="15" t="s">
        <v>2520</v>
      </c>
      <c r="F275" s="16" t="n">
        <v>44381</v>
      </c>
    </row>
    <row r="276" customFormat="false" ht="14.25" hidden="false" customHeight="false" outlineLevel="0" collapsed="false">
      <c r="A276" s="15" t="s">
        <v>120</v>
      </c>
      <c r="B276" s="15" t="s">
        <v>2771</v>
      </c>
      <c r="C276" s="17" t="n">
        <v>36</v>
      </c>
      <c r="D276" s="15" t="s">
        <v>123</v>
      </c>
      <c r="E276" s="15" t="s">
        <v>2518</v>
      </c>
      <c r="F276" s="16" t="n">
        <v>45106</v>
      </c>
    </row>
    <row r="277" customFormat="false" ht="14.25" hidden="false" customHeight="false" outlineLevel="0" collapsed="false">
      <c r="A277" s="15" t="s">
        <v>1510</v>
      </c>
      <c r="B277" s="15" t="s">
        <v>2566</v>
      </c>
      <c r="C277" s="17" t="n">
        <v>26</v>
      </c>
      <c r="D277" s="15" t="s">
        <v>105</v>
      </c>
      <c r="E277" s="15" t="s">
        <v>2518</v>
      </c>
      <c r="F277" s="16" t="n">
        <v>44272</v>
      </c>
    </row>
    <row r="278" customFormat="false" ht="14.25" hidden="false" customHeight="false" outlineLevel="0" collapsed="false">
      <c r="A278" s="15" t="s">
        <v>552</v>
      </c>
      <c r="B278" s="15" t="s">
        <v>2583</v>
      </c>
      <c r="C278" s="17" t="n">
        <v>34</v>
      </c>
      <c r="D278" s="15" t="s">
        <v>105</v>
      </c>
      <c r="E278" s="15" t="s">
        <v>2520</v>
      </c>
      <c r="F278" s="16" t="n">
        <v>44958</v>
      </c>
    </row>
    <row r="279" customFormat="false" ht="14.25" hidden="false" customHeight="false" outlineLevel="0" collapsed="false">
      <c r="A279" s="15" t="s">
        <v>1058</v>
      </c>
      <c r="B279" s="15" t="s">
        <v>2772</v>
      </c>
      <c r="C279" s="17" t="n">
        <v>41</v>
      </c>
      <c r="D279" s="15" t="s">
        <v>144</v>
      </c>
      <c r="E279" s="15" t="s">
        <v>2518</v>
      </c>
      <c r="F279" s="16" t="n">
        <v>43973</v>
      </c>
    </row>
    <row r="280" customFormat="false" ht="14.25" hidden="false" customHeight="false" outlineLevel="0" collapsed="false">
      <c r="A280" s="15" t="s">
        <v>740</v>
      </c>
      <c r="B280" s="15" t="s">
        <v>2753</v>
      </c>
      <c r="C280" s="17" t="n">
        <v>56</v>
      </c>
      <c r="D280" s="15" t="s">
        <v>123</v>
      </c>
      <c r="E280" s="15" t="s">
        <v>2518</v>
      </c>
      <c r="F280" s="16" t="n">
        <v>44517</v>
      </c>
    </row>
    <row r="281" customFormat="false" ht="14.25" hidden="false" customHeight="false" outlineLevel="0" collapsed="false">
      <c r="A281" s="15" t="s">
        <v>148</v>
      </c>
      <c r="B281" s="15" t="s">
        <v>2773</v>
      </c>
      <c r="C281" s="17" t="n">
        <v>27</v>
      </c>
      <c r="D281" s="15" t="s">
        <v>110</v>
      </c>
      <c r="E281" s="15" t="s">
        <v>2526</v>
      </c>
      <c r="F281" s="16" t="n">
        <v>45059</v>
      </c>
    </row>
    <row r="282" customFormat="false" ht="14.25" hidden="false" customHeight="false" outlineLevel="0" collapsed="false">
      <c r="A282" s="15" t="s">
        <v>130</v>
      </c>
      <c r="B282" s="15" t="s">
        <v>2538</v>
      </c>
      <c r="C282" s="17" t="n">
        <v>57</v>
      </c>
      <c r="D282" s="15" t="s">
        <v>128</v>
      </c>
      <c r="E282" s="15" t="s">
        <v>2520</v>
      </c>
      <c r="F282" s="16" t="n">
        <v>44029</v>
      </c>
    </row>
    <row r="283" customFormat="false" ht="14.25" hidden="false" customHeight="false" outlineLevel="0" collapsed="false">
      <c r="A283" s="15" t="s">
        <v>289</v>
      </c>
      <c r="B283" s="15" t="s">
        <v>2774</v>
      </c>
      <c r="C283" s="17" t="n">
        <v>29</v>
      </c>
      <c r="D283" s="15" t="s">
        <v>144</v>
      </c>
      <c r="E283" s="15" t="s">
        <v>2520</v>
      </c>
      <c r="F283" s="16" t="n">
        <v>44631</v>
      </c>
    </row>
    <row r="284" customFormat="false" ht="14.25" hidden="false" customHeight="false" outlineLevel="0" collapsed="false">
      <c r="A284" s="15" t="s">
        <v>230</v>
      </c>
      <c r="B284" s="15" t="s">
        <v>2775</v>
      </c>
      <c r="C284" s="17" t="n">
        <v>50</v>
      </c>
      <c r="D284" s="15" t="s">
        <v>2523</v>
      </c>
      <c r="E284" s="15" t="s">
        <v>2526</v>
      </c>
      <c r="F284" s="16" t="n">
        <v>44869</v>
      </c>
    </row>
    <row r="285" customFormat="false" ht="14.25" hidden="false" customHeight="false" outlineLevel="0" collapsed="false">
      <c r="A285" s="15" t="s">
        <v>512</v>
      </c>
      <c r="B285" s="15" t="s">
        <v>2776</v>
      </c>
      <c r="C285" s="17" t="n">
        <v>65</v>
      </c>
      <c r="D285" s="15" t="s">
        <v>144</v>
      </c>
      <c r="E285" s="15" t="s">
        <v>2526</v>
      </c>
      <c r="F285" s="16" t="n">
        <v>44047</v>
      </c>
    </row>
    <row r="286" customFormat="false" ht="14.25" hidden="false" customHeight="false" outlineLevel="0" collapsed="false">
      <c r="A286" s="15" t="s">
        <v>603</v>
      </c>
      <c r="B286" s="15" t="s">
        <v>2777</v>
      </c>
      <c r="C286" s="17" t="n">
        <v>22</v>
      </c>
      <c r="D286" s="15" t="s">
        <v>144</v>
      </c>
      <c r="E286" s="15" t="s">
        <v>2518</v>
      </c>
      <c r="F286" s="16" t="n">
        <v>44593</v>
      </c>
    </row>
    <row r="287" customFormat="false" ht="14.25" hidden="false" customHeight="false" outlineLevel="0" collapsed="false">
      <c r="A287" s="15" t="s">
        <v>1827</v>
      </c>
      <c r="B287" s="15" t="s">
        <v>2778</v>
      </c>
      <c r="C287" s="17" t="n">
        <v>62</v>
      </c>
      <c r="D287" s="15" t="s">
        <v>110</v>
      </c>
      <c r="E287" s="15" t="s">
        <v>2518</v>
      </c>
      <c r="F287" s="16" t="n">
        <v>44489</v>
      </c>
    </row>
    <row r="288" customFormat="false" ht="14.25" hidden="false" customHeight="false" outlineLevel="0" collapsed="false">
      <c r="A288" s="15" t="s">
        <v>389</v>
      </c>
      <c r="B288" s="15" t="s">
        <v>2779</v>
      </c>
      <c r="C288" s="17" t="n">
        <v>53</v>
      </c>
      <c r="D288" s="15" t="s">
        <v>105</v>
      </c>
      <c r="E288" s="15" t="s">
        <v>2526</v>
      </c>
      <c r="F288" s="16" t="n">
        <v>44738</v>
      </c>
    </row>
    <row r="289" customFormat="false" ht="14.25" hidden="false" customHeight="false" outlineLevel="0" collapsed="false">
      <c r="A289" s="15" t="s">
        <v>1545</v>
      </c>
      <c r="B289" s="15" t="s">
        <v>2780</v>
      </c>
      <c r="C289" s="17" t="n">
        <v>25</v>
      </c>
      <c r="D289" s="15" t="s">
        <v>144</v>
      </c>
      <c r="E289" s="15" t="s">
        <v>2520</v>
      </c>
      <c r="F289" s="16" t="n">
        <v>44450</v>
      </c>
    </row>
    <row r="290" customFormat="false" ht="14.25" hidden="false" customHeight="false" outlineLevel="0" collapsed="false">
      <c r="A290" s="15" t="s">
        <v>1062</v>
      </c>
      <c r="B290" s="15" t="s">
        <v>2781</v>
      </c>
      <c r="C290" s="17" t="n">
        <v>54</v>
      </c>
      <c r="D290" s="15" t="s">
        <v>123</v>
      </c>
      <c r="E290" s="15" t="s">
        <v>2518</v>
      </c>
      <c r="F290" s="16" t="n">
        <v>44720</v>
      </c>
    </row>
    <row r="291" customFormat="false" ht="14.25" hidden="false" customHeight="false" outlineLevel="0" collapsed="false">
      <c r="A291" s="15" t="s">
        <v>808</v>
      </c>
      <c r="B291" s="15" t="s">
        <v>2782</v>
      </c>
      <c r="C291" s="17" t="n">
        <v>63</v>
      </c>
      <c r="D291" s="15" t="s">
        <v>110</v>
      </c>
      <c r="E291" s="15" t="s">
        <v>2518</v>
      </c>
      <c r="F291" s="16" t="n">
        <v>44330</v>
      </c>
    </row>
    <row r="292" customFormat="false" ht="14.25" hidden="false" customHeight="false" outlineLevel="0" collapsed="false">
      <c r="A292" s="15" t="s">
        <v>244</v>
      </c>
      <c r="B292" s="15" t="s">
        <v>2783</v>
      </c>
      <c r="C292" s="17" t="n">
        <v>29</v>
      </c>
      <c r="D292" s="15" t="s">
        <v>99</v>
      </c>
      <c r="E292" s="15" t="s">
        <v>2526</v>
      </c>
      <c r="F292" s="16" t="n">
        <v>43950</v>
      </c>
    </row>
    <row r="293" customFormat="false" ht="14.25" hidden="false" customHeight="false" outlineLevel="0" collapsed="false">
      <c r="A293" s="15" t="s">
        <v>763</v>
      </c>
      <c r="B293" s="15" t="s">
        <v>2611</v>
      </c>
      <c r="C293" s="17" t="n">
        <v>32</v>
      </c>
      <c r="D293" s="15" t="s">
        <v>128</v>
      </c>
      <c r="E293" s="15" t="s">
        <v>2518</v>
      </c>
      <c r="F293" s="16" t="n">
        <v>43968</v>
      </c>
    </row>
    <row r="294" customFormat="false" ht="14.25" hidden="false" customHeight="false" outlineLevel="0" collapsed="false">
      <c r="A294" s="15" t="s">
        <v>125</v>
      </c>
      <c r="B294" s="15" t="s">
        <v>2784</v>
      </c>
      <c r="C294" s="17" t="n">
        <v>27</v>
      </c>
      <c r="D294" s="15" t="s">
        <v>128</v>
      </c>
      <c r="E294" s="15" t="s">
        <v>2518</v>
      </c>
      <c r="F294" s="16" t="n">
        <v>44335</v>
      </c>
    </row>
    <row r="295" customFormat="false" ht="14.25" hidden="false" customHeight="false" outlineLevel="0" collapsed="false">
      <c r="A295" s="15" t="s">
        <v>445</v>
      </c>
      <c r="B295" s="15" t="s">
        <v>2544</v>
      </c>
      <c r="C295" s="17" t="n">
        <v>31</v>
      </c>
      <c r="D295" s="15" t="s">
        <v>110</v>
      </c>
      <c r="E295" s="15" t="s">
        <v>2520</v>
      </c>
      <c r="F295" s="16" t="n">
        <v>43885</v>
      </c>
    </row>
    <row r="296" customFormat="false" ht="14.25" hidden="false" customHeight="false" outlineLevel="0" collapsed="false">
      <c r="A296" s="15" t="s">
        <v>606</v>
      </c>
      <c r="B296" s="15" t="s">
        <v>2785</v>
      </c>
      <c r="C296" s="17" t="n">
        <v>48</v>
      </c>
      <c r="D296" s="15" t="s">
        <v>110</v>
      </c>
      <c r="E296" s="15" t="s">
        <v>2526</v>
      </c>
      <c r="F296" s="16" t="n">
        <v>43863</v>
      </c>
    </row>
    <row r="297" customFormat="false" ht="14.25" hidden="false" customHeight="false" outlineLevel="0" collapsed="false">
      <c r="A297" s="15" t="s">
        <v>581</v>
      </c>
      <c r="B297" s="15" t="s">
        <v>2786</v>
      </c>
      <c r="C297" s="17" t="n">
        <v>47</v>
      </c>
      <c r="D297" s="15" t="s">
        <v>110</v>
      </c>
      <c r="E297" s="15" t="s">
        <v>2520</v>
      </c>
      <c r="F297" s="16" t="n">
        <v>44784</v>
      </c>
    </row>
    <row r="298" customFormat="false" ht="14.25" hidden="false" customHeight="false" outlineLevel="0" collapsed="false">
      <c r="A298" s="15" t="s">
        <v>662</v>
      </c>
      <c r="B298" s="15" t="s">
        <v>2787</v>
      </c>
      <c r="C298" s="17" t="n">
        <v>50</v>
      </c>
      <c r="D298" s="15" t="s">
        <v>144</v>
      </c>
      <c r="E298" s="15" t="s">
        <v>2518</v>
      </c>
      <c r="F298" s="16" t="n">
        <v>44027</v>
      </c>
    </row>
    <row r="299" customFormat="false" ht="14.25" hidden="false" customHeight="false" outlineLevel="0" collapsed="false">
      <c r="A299" s="15" t="s">
        <v>431</v>
      </c>
      <c r="B299" s="15" t="s">
        <v>2788</v>
      </c>
      <c r="C299" s="17" t="n">
        <v>44</v>
      </c>
      <c r="D299" s="15" t="s">
        <v>110</v>
      </c>
      <c r="E299" s="15" t="s">
        <v>2518</v>
      </c>
      <c r="F299" s="16" t="n">
        <v>43840</v>
      </c>
    </row>
    <row r="300" customFormat="false" ht="14.25" hidden="false" customHeight="false" outlineLevel="0" collapsed="false">
      <c r="A300" s="15" t="s">
        <v>723</v>
      </c>
      <c r="B300" s="15" t="s">
        <v>2701</v>
      </c>
      <c r="C300" s="17" t="n">
        <v>51</v>
      </c>
      <c r="D300" s="15" t="s">
        <v>123</v>
      </c>
      <c r="E300" s="15" t="s">
        <v>2520</v>
      </c>
      <c r="F300" s="16" t="n">
        <v>44675</v>
      </c>
    </row>
    <row r="301" customFormat="false" ht="14.25" hidden="false" customHeight="false" outlineLevel="0" collapsed="false">
      <c r="A301" s="15" t="s">
        <v>1308</v>
      </c>
      <c r="B301" s="15" t="s">
        <v>2789</v>
      </c>
      <c r="C301" s="17" t="n">
        <v>38</v>
      </c>
      <c r="D301" s="15" t="s">
        <v>123</v>
      </c>
      <c r="E301" s="15" t="s">
        <v>2518</v>
      </c>
      <c r="F301" s="16" t="n">
        <v>43932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4.25" hidden="false" customHeight="false" outlineLevel="0" collapsed="false">
      <c r="A1" s="7" t="s">
        <v>86</v>
      </c>
      <c r="B1" s="7" t="s">
        <v>2790</v>
      </c>
      <c r="C1" s="7" t="s">
        <v>2791</v>
      </c>
      <c r="D1" s="7" t="s">
        <v>2792</v>
      </c>
      <c r="E1" s="7" t="s">
        <v>89</v>
      </c>
      <c r="F1" s="7" t="s">
        <v>2793</v>
      </c>
    </row>
    <row r="2" customFormat="false" ht="14.25" hidden="false" customHeight="false" outlineLevel="0" collapsed="false">
      <c r="A2" s="15" t="s">
        <v>375</v>
      </c>
      <c r="B2" s="15" t="s">
        <v>2794</v>
      </c>
      <c r="C2" s="15" t="s">
        <v>2795</v>
      </c>
      <c r="D2" s="17" t="n">
        <v>2405</v>
      </c>
      <c r="E2" s="17" t="n">
        <v>5330</v>
      </c>
      <c r="F2" s="18" t="b">
        <f aca="false">TRUE()</f>
        <v>1</v>
      </c>
    </row>
    <row r="3" customFormat="false" ht="14.25" hidden="false" customHeight="false" outlineLevel="0" collapsed="false">
      <c r="A3" s="15" t="s">
        <v>149</v>
      </c>
      <c r="B3" s="15" t="s">
        <v>2796</v>
      </c>
      <c r="C3" s="15" t="s">
        <v>2795</v>
      </c>
      <c r="D3" s="17" t="n">
        <v>1052</v>
      </c>
      <c r="E3" s="17" t="n">
        <v>2600</v>
      </c>
      <c r="F3" s="18" t="b">
        <f aca="false">TRUE()</f>
        <v>1</v>
      </c>
    </row>
    <row r="4" customFormat="false" ht="14.25" hidden="false" customHeight="false" outlineLevel="0" collapsed="false">
      <c r="A4" s="15" t="s">
        <v>198</v>
      </c>
      <c r="B4" s="15" t="s">
        <v>2797</v>
      </c>
      <c r="C4" s="15" t="s">
        <v>2795</v>
      </c>
      <c r="D4" s="17" t="n">
        <v>1665</v>
      </c>
      <c r="E4" s="17" t="n">
        <v>3570</v>
      </c>
      <c r="F4" s="18" t="b">
        <f aca="false">TRUE()</f>
        <v>1</v>
      </c>
    </row>
    <row r="5" customFormat="false" ht="14.25" hidden="false" customHeight="false" outlineLevel="0" collapsed="false">
      <c r="A5" s="15" t="s">
        <v>259</v>
      </c>
      <c r="B5" s="15" t="s">
        <v>2798</v>
      </c>
      <c r="C5" s="15" t="s">
        <v>2795</v>
      </c>
      <c r="D5" s="17" t="n">
        <v>1559</v>
      </c>
      <c r="E5" s="17" t="n">
        <v>3870</v>
      </c>
      <c r="F5" s="18" t="b">
        <f aca="false">TRUE()</f>
        <v>1</v>
      </c>
    </row>
    <row r="6" customFormat="false" ht="14.25" hidden="false" customHeight="false" outlineLevel="0" collapsed="false">
      <c r="A6" s="15" t="s">
        <v>293</v>
      </c>
      <c r="B6" s="15" t="s">
        <v>2799</v>
      </c>
      <c r="C6" s="15" t="s">
        <v>2795</v>
      </c>
      <c r="D6" s="17" t="n">
        <v>128</v>
      </c>
      <c r="E6" s="17" t="n">
        <v>300</v>
      </c>
      <c r="F6" s="18" t="b">
        <f aca="false">TRUE()</f>
        <v>1</v>
      </c>
    </row>
    <row r="7" customFormat="false" ht="14.25" hidden="false" customHeight="false" outlineLevel="0" collapsed="false">
      <c r="A7" s="15" t="s">
        <v>419</v>
      </c>
      <c r="B7" s="15" t="s">
        <v>2800</v>
      </c>
      <c r="C7" s="15" t="s">
        <v>2795</v>
      </c>
      <c r="D7" s="17" t="n">
        <v>2865</v>
      </c>
      <c r="E7" s="17" t="n">
        <v>3970</v>
      </c>
      <c r="F7" s="18" t="b">
        <f aca="false">TRUE()</f>
        <v>1</v>
      </c>
    </row>
    <row r="8" customFormat="false" ht="14.25" hidden="false" customHeight="false" outlineLevel="0" collapsed="false">
      <c r="A8" s="15" t="s">
        <v>131</v>
      </c>
      <c r="B8" s="15" t="s">
        <v>2801</v>
      </c>
      <c r="C8" s="15" t="s">
        <v>2795</v>
      </c>
      <c r="D8" s="17" t="n">
        <v>861</v>
      </c>
      <c r="E8" s="17" t="n">
        <v>1430</v>
      </c>
      <c r="F8" s="18" t="b">
        <f aca="false">TRUE()</f>
        <v>1</v>
      </c>
    </row>
    <row r="9" customFormat="false" ht="14.25" hidden="false" customHeight="false" outlineLevel="0" collapsed="false">
      <c r="A9" s="15" t="s">
        <v>290</v>
      </c>
      <c r="B9" s="15" t="s">
        <v>2802</v>
      </c>
      <c r="C9" s="15" t="s">
        <v>2795</v>
      </c>
      <c r="D9" s="17" t="n">
        <v>1259</v>
      </c>
      <c r="E9" s="17" t="n">
        <v>2660</v>
      </c>
      <c r="F9" s="18" t="b">
        <f aca="false">FALSE()</f>
        <v>0</v>
      </c>
    </row>
    <row r="10" customFormat="false" ht="14.25" hidden="false" customHeight="false" outlineLevel="0" collapsed="false">
      <c r="A10" s="15" t="s">
        <v>278</v>
      </c>
      <c r="B10" s="15" t="s">
        <v>2803</v>
      </c>
      <c r="C10" s="15" t="s">
        <v>2795</v>
      </c>
      <c r="D10" s="17" t="n">
        <v>517</v>
      </c>
      <c r="E10" s="17" t="n">
        <v>1220</v>
      </c>
      <c r="F10" s="18" t="b">
        <f aca="false">TRUE()</f>
        <v>1</v>
      </c>
    </row>
    <row r="11" customFormat="false" ht="14.25" hidden="false" customHeight="false" outlineLevel="0" collapsed="false">
      <c r="A11" s="15" t="s">
        <v>146</v>
      </c>
      <c r="B11" s="15" t="s">
        <v>2804</v>
      </c>
      <c r="C11" s="15" t="s">
        <v>2795</v>
      </c>
      <c r="D11" s="17" t="n">
        <v>1149</v>
      </c>
      <c r="E11" s="17" t="n">
        <v>2640</v>
      </c>
      <c r="F11" s="18" t="b">
        <f aca="false">TRUE()</f>
        <v>1</v>
      </c>
    </row>
    <row r="12" customFormat="false" ht="14.25" hidden="false" customHeight="false" outlineLevel="0" collapsed="false">
      <c r="A12" s="15" t="s">
        <v>463</v>
      </c>
      <c r="B12" s="15" t="s">
        <v>2805</v>
      </c>
      <c r="C12" s="15" t="s">
        <v>2806</v>
      </c>
      <c r="D12" s="17" t="n">
        <v>1748</v>
      </c>
      <c r="E12" s="17" t="n">
        <v>3450</v>
      </c>
      <c r="F12" s="18" t="b">
        <f aca="false">TRUE()</f>
        <v>1</v>
      </c>
    </row>
    <row r="13" customFormat="false" ht="14.25" hidden="false" customHeight="false" outlineLevel="0" collapsed="false">
      <c r="A13" s="15" t="s">
        <v>117</v>
      </c>
      <c r="B13" s="15" t="s">
        <v>2807</v>
      </c>
      <c r="C13" s="15" t="s">
        <v>2806</v>
      </c>
      <c r="D13" s="17" t="n">
        <v>1886</v>
      </c>
      <c r="E13" s="17" t="n">
        <v>3160</v>
      </c>
      <c r="F13" s="18" t="b">
        <f aca="false">TRUE()</f>
        <v>1</v>
      </c>
    </row>
    <row r="14" customFormat="false" ht="14.25" hidden="false" customHeight="false" outlineLevel="0" collapsed="false">
      <c r="A14" s="15" t="s">
        <v>248</v>
      </c>
      <c r="B14" s="15" t="s">
        <v>2808</v>
      </c>
      <c r="C14" s="15" t="s">
        <v>2806</v>
      </c>
      <c r="D14" s="17" t="n">
        <v>2611</v>
      </c>
      <c r="E14" s="17" t="n">
        <v>3640</v>
      </c>
      <c r="F14" s="18" t="b">
        <f aca="false">TRUE()</f>
        <v>1</v>
      </c>
    </row>
    <row r="15" customFormat="false" ht="14.25" hidden="false" customHeight="false" outlineLevel="0" collapsed="false">
      <c r="A15" s="15" t="s">
        <v>96</v>
      </c>
      <c r="B15" s="15" t="s">
        <v>2809</v>
      </c>
      <c r="C15" s="15" t="s">
        <v>2806</v>
      </c>
      <c r="D15" s="17" t="n">
        <v>2509</v>
      </c>
      <c r="E15" s="17" t="n">
        <v>3620</v>
      </c>
      <c r="F15" s="18" t="b">
        <f aca="false">TRUE()</f>
        <v>1</v>
      </c>
    </row>
    <row r="16" customFormat="false" ht="14.25" hidden="false" customHeight="false" outlineLevel="0" collapsed="false">
      <c r="A16" s="15" t="s">
        <v>184</v>
      </c>
      <c r="B16" s="15" t="s">
        <v>2810</v>
      </c>
      <c r="C16" s="15" t="s">
        <v>2806</v>
      </c>
      <c r="D16" s="17" t="n">
        <v>1962</v>
      </c>
      <c r="E16" s="17" t="n">
        <v>2720</v>
      </c>
      <c r="F16" s="18" t="b">
        <f aca="false">TRUE()</f>
        <v>1</v>
      </c>
    </row>
    <row r="17" customFormat="false" ht="14.25" hidden="false" customHeight="false" outlineLevel="0" collapsed="false">
      <c r="A17" s="15" t="s">
        <v>303</v>
      </c>
      <c r="B17" s="15" t="s">
        <v>2811</v>
      </c>
      <c r="C17" s="15" t="s">
        <v>2806</v>
      </c>
      <c r="D17" s="17" t="n">
        <v>396</v>
      </c>
      <c r="E17" s="17" t="n">
        <v>620</v>
      </c>
      <c r="F17" s="18" t="b">
        <f aca="false">TRUE()</f>
        <v>1</v>
      </c>
    </row>
    <row r="18" customFormat="false" ht="14.25" hidden="false" customHeight="false" outlineLevel="0" collapsed="false">
      <c r="A18" s="15" t="s">
        <v>366</v>
      </c>
      <c r="B18" s="15" t="s">
        <v>2812</v>
      </c>
      <c r="C18" s="15" t="s">
        <v>2806</v>
      </c>
      <c r="D18" s="17" t="n">
        <v>1075</v>
      </c>
      <c r="E18" s="17" t="n">
        <v>2510</v>
      </c>
      <c r="F18" s="18" t="b">
        <f aca="false">FALSE()</f>
        <v>0</v>
      </c>
    </row>
    <row r="19" customFormat="false" ht="14.25" hidden="false" customHeight="false" outlineLevel="0" collapsed="false">
      <c r="A19" s="15" t="s">
        <v>670</v>
      </c>
      <c r="B19" s="15" t="s">
        <v>2813</v>
      </c>
      <c r="C19" s="15" t="s">
        <v>2806</v>
      </c>
      <c r="D19" s="17" t="n">
        <v>2629</v>
      </c>
      <c r="E19" s="17" t="n">
        <v>3560</v>
      </c>
      <c r="F19" s="18" t="b">
        <f aca="false">TRUE()</f>
        <v>1</v>
      </c>
    </row>
    <row r="20" customFormat="false" ht="14.25" hidden="false" customHeight="false" outlineLevel="0" collapsed="false">
      <c r="A20" s="15" t="s">
        <v>178</v>
      </c>
      <c r="B20" s="15" t="s">
        <v>2814</v>
      </c>
      <c r="C20" s="15" t="s">
        <v>2806</v>
      </c>
      <c r="D20" s="17" t="n">
        <v>1173</v>
      </c>
      <c r="E20" s="17" t="n">
        <v>2480</v>
      </c>
      <c r="F20" s="18" t="b">
        <f aca="false">TRUE()</f>
        <v>1</v>
      </c>
    </row>
    <row r="21" customFormat="false" ht="14.25" hidden="false" customHeight="false" outlineLevel="0" collapsed="false">
      <c r="A21" s="15" t="s">
        <v>102</v>
      </c>
      <c r="B21" s="15" t="s">
        <v>2815</v>
      </c>
      <c r="C21" s="15" t="s">
        <v>2806</v>
      </c>
      <c r="D21" s="17" t="n">
        <v>391</v>
      </c>
      <c r="E21" s="17" t="n">
        <v>820</v>
      </c>
      <c r="F21" s="18" t="b">
        <f aca="false">TRUE()</f>
        <v>1</v>
      </c>
    </row>
    <row r="22" customFormat="false" ht="14.25" hidden="false" customHeight="false" outlineLevel="0" collapsed="false">
      <c r="A22" s="15" t="s">
        <v>211</v>
      </c>
      <c r="B22" s="15" t="s">
        <v>2816</v>
      </c>
      <c r="C22" s="15" t="s">
        <v>2817</v>
      </c>
      <c r="D22" s="17" t="n">
        <v>1435</v>
      </c>
      <c r="E22" s="17" t="n">
        <v>2760</v>
      </c>
      <c r="F22" s="18" t="b">
        <f aca="false">TRUE()</f>
        <v>1</v>
      </c>
    </row>
    <row r="23" customFormat="false" ht="14.25" hidden="false" customHeight="false" outlineLevel="0" collapsed="false">
      <c r="A23" s="15" t="s">
        <v>256</v>
      </c>
      <c r="B23" s="15" t="s">
        <v>2818</v>
      </c>
      <c r="C23" s="15" t="s">
        <v>2817</v>
      </c>
      <c r="D23" s="17" t="n">
        <v>1412</v>
      </c>
      <c r="E23" s="17" t="n">
        <v>2270</v>
      </c>
      <c r="F23" s="18" t="b">
        <f aca="false">TRUE()</f>
        <v>1</v>
      </c>
    </row>
    <row r="24" customFormat="false" ht="14.25" hidden="false" customHeight="false" outlineLevel="0" collapsed="false">
      <c r="A24" s="15" t="s">
        <v>378</v>
      </c>
      <c r="B24" s="15" t="s">
        <v>2819</v>
      </c>
      <c r="C24" s="15" t="s">
        <v>2817</v>
      </c>
      <c r="D24" s="17" t="n">
        <v>1182</v>
      </c>
      <c r="E24" s="17" t="n">
        <v>2380</v>
      </c>
      <c r="F24" s="18" t="b">
        <f aca="false">TRUE()</f>
        <v>1</v>
      </c>
    </row>
    <row r="25" customFormat="false" ht="14.25" hidden="false" customHeight="false" outlineLevel="0" collapsed="false">
      <c r="A25" s="15" t="s">
        <v>142</v>
      </c>
      <c r="B25" s="15" t="s">
        <v>2820</v>
      </c>
      <c r="C25" s="15" t="s">
        <v>2817</v>
      </c>
      <c r="D25" s="17" t="n">
        <v>1203</v>
      </c>
      <c r="E25" s="17" t="n">
        <v>2270</v>
      </c>
      <c r="F25" s="18" t="b">
        <f aca="false">TRUE()</f>
        <v>1</v>
      </c>
    </row>
    <row r="26" customFormat="false" ht="14.25" hidden="false" customHeight="false" outlineLevel="0" collapsed="false">
      <c r="A26" s="15" t="s">
        <v>362</v>
      </c>
      <c r="B26" s="15" t="s">
        <v>2821</v>
      </c>
      <c r="C26" s="15" t="s">
        <v>2817</v>
      </c>
      <c r="D26" s="17" t="n">
        <v>2911</v>
      </c>
      <c r="E26" s="17" t="n">
        <v>4060</v>
      </c>
      <c r="F26" s="18" t="b">
        <f aca="false">TRUE()</f>
        <v>1</v>
      </c>
    </row>
    <row r="27" customFormat="false" ht="14.25" hidden="false" customHeight="false" outlineLevel="0" collapsed="false">
      <c r="A27" s="15" t="s">
        <v>275</v>
      </c>
      <c r="B27" s="15" t="s">
        <v>2822</v>
      </c>
      <c r="C27" s="15" t="s">
        <v>2817</v>
      </c>
      <c r="D27" s="17" t="n">
        <v>2027</v>
      </c>
      <c r="E27" s="17" t="n">
        <v>4070</v>
      </c>
      <c r="F27" s="18" t="b">
        <f aca="false">TRUE()</f>
        <v>1</v>
      </c>
    </row>
    <row r="28" customFormat="false" ht="14.25" hidden="false" customHeight="false" outlineLevel="0" collapsed="false">
      <c r="A28" s="15" t="s">
        <v>245</v>
      </c>
      <c r="B28" s="15" t="s">
        <v>2823</v>
      </c>
      <c r="C28" s="15" t="s">
        <v>2817</v>
      </c>
      <c r="D28" s="17" t="n">
        <v>2436</v>
      </c>
      <c r="E28" s="17" t="n">
        <v>3780</v>
      </c>
      <c r="F28" s="18" t="b">
        <f aca="false">TRUE()</f>
        <v>1</v>
      </c>
    </row>
    <row r="29" customFormat="false" ht="14.25" hidden="false" customHeight="false" outlineLevel="0" collapsed="false">
      <c r="A29" s="15" t="s">
        <v>113</v>
      </c>
      <c r="B29" s="15" t="s">
        <v>2824</v>
      </c>
      <c r="C29" s="15" t="s">
        <v>2817</v>
      </c>
      <c r="D29" s="17" t="n">
        <v>2214</v>
      </c>
      <c r="E29" s="17" t="n">
        <v>3660</v>
      </c>
      <c r="F29" s="18" t="b">
        <f aca="false">FALSE()</f>
        <v>0</v>
      </c>
    </row>
    <row r="30" customFormat="false" ht="14.25" hidden="false" customHeight="false" outlineLevel="0" collapsed="false">
      <c r="A30" s="15" t="s">
        <v>349</v>
      </c>
      <c r="B30" s="15" t="s">
        <v>2825</v>
      </c>
      <c r="C30" s="15" t="s">
        <v>2817</v>
      </c>
      <c r="D30" s="17" t="n">
        <v>1010</v>
      </c>
      <c r="E30" s="17" t="n">
        <v>2210</v>
      </c>
      <c r="F30" s="18" t="b">
        <f aca="false">TRUE()</f>
        <v>1</v>
      </c>
    </row>
    <row r="31" customFormat="false" ht="14.25" hidden="false" customHeight="false" outlineLevel="0" collapsed="false">
      <c r="A31" s="15" t="s">
        <v>138</v>
      </c>
      <c r="B31" s="15" t="s">
        <v>2826</v>
      </c>
      <c r="C31" s="15" t="s">
        <v>2817</v>
      </c>
      <c r="D31" s="17" t="n">
        <v>434</v>
      </c>
      <c r="E31" s="17" t="n">
        <v>970</v>
      </c>
      <c r="F31" s="18" t="b">
        <f aca="false">TRUE()</f>
        <v>1</v>
      </c>
    </row>
    <row r="32" customFormat="false" ht="14.25" hidden="false" customHeight="false" outlineLevel="0" collapsed="false">
      <c r="A32" s="15" t="s">
        <v>237</v>
      </c>
      <c r="B32" s="15" t="s">
        <v>2827</v>
      </c>
      <c r="C32" s="15" t="s">
        <v>2828</v>
      </c>
      <c r="D32" s="17" t="n">
        <v>2135</v>
      </c>
      <c r="E32" s="17" t="n">
        <v>3730</v>
      </c>
      <c r="F32" s="18" t="b">
        <f aca="false">TRUE()</f>
        <v>1</v>
      </c>
    </row>
    <row r="33" customFormat="false" ht="14.25" hidden="false" customHeight="false" outlineLevel="0" collapsed="false">
      <c r="A33" s="15" t="s">
        <v>121</v>
      </c>
      <c r="B33" s="15" t="s">
        <v>2829</v>
      </c>
      <c r="C33" s="15" t="s">
        <v>2828</v>
      </c>
      <c r="D33" s="17" t="n">
        <v>288</v>
      </c>
      <c r="E33" s="17" t="n">
        <v>370</v>
      </c>
      <c r="F33" s="18" t="b">
        <f aca="false">TRUE()</f>
        <v>1</v>
      </c>
    </row>
    <row r="34" customFormat="false" ht="14.25" hidden="false" customHeight="false" outlineLevel="0" collapsed="false">
      <c r="A34" s="15" t="s">
        <v>306</v>
      </c>
      <c r="B34" s="15" t="s">
        <v>2830</v>
      </c>
      <c r="C34" s="15" t="s">
        <v>2828</v>
      </c>
      <c r="D34" s="17" t="n">
        <v>1143</v>
      </c>
      <c r="E34" s="17" t="n">
        <v>2030</v>
      </c>
      <c r="F34" s="18" t="b">
        <f aca="false">TRUE()</f>
        <v>1</v>
      </c>
    </row>
    <row r="35" customFormat="false" ht="14.25" hidden="false" customHeight="false" outlineLevel="0" collapsed="false">
      <c r="A35" s="15" t="s">
        <v>454</v>
      </c>
      <c r="B35" s="15" t="s">
        <v>2831</v>
      </c>
      <c r="C35" s="15" t="s">
        <v>2828</v>
      </c>
      <c r="D35" s="17" t="n">
        <v>2459</v>
      </c>
      <c r="E35" s="17" t="n">
        <v>5080</v>
      </c>
      <c r="F35" s="18" t="b">
        <f aca="false">TRUE()</f>
        <v>1</v>
      </c>
    </row>
    <row r="36" customFormat="false" ht="14.25" hidden="false" customHeight="false" outlineLevel="0" collapsed="false">
      <c r="A36" s="15" t="s">
        <v>513</v>
      </c>
      <c r="B36" s="15" t="s">
        <v>2832</v>
      </c>
      <c r="C36" s="15" t="s">
        <v>2828</v>
      </c>
      <c r="D36" s="17" t="n">
        <v>464</v>
      </c>
      <c r="E36" s="17" t="n">
        <v>1090</v>
      </c>
      <c r="F36" s="18" t="b">
        <f aca="false">TRUE()</f>
        <v>1</v>
      </c>
    </row>
    <row r="37" customFormat="false" ht="14.25" hidden="false" customHeight="false" outlineLevel="0" collapsed="false">
      <c r="A37" s="15" t="s">
        <v>154</v>
      </c>
      <c r="B37" s="15" t="s">
        <v>2833</v>
      </c>
      <c r="C37" s="15" t="s">
        <v>2828</v>
      </c>
      <c r="D37" s="17" t="n">
        <v>1556</v>
      </c>
      <c r="E37" s="17" t="n">
        <v>3250</v>
      </c>
      <c r="F37" s="18" t="b">
        <f aca="false">TRUE()</f>
        <v>1</v>
      </c>
    </row>
    <row r="38" customFormat="false" ht="14.25" hidden="false" customHeight="false" outlineLevel="0" collapsed="false">
      <c r="A38" s="15" t="s">
        <v>214</v>
      </c>
      <c r="B38" s="15" t="s">
        <v>2834</v>
      </c>
      <c r="C38" s="15" t="s">
        <v>2828</v>
      </c>
      <c r="D38" s="17" t="n">
        <v>329</v>
      </c>
      <c r="E38" s="17" t="n">
        <v>660</v>
      </c>
      <c r="F38" s="18" t="b">
        <f aca="false">TRUE()</f>
        <v>1</v>
      </c>
    </row>
    <row r="39" customFormat="false" ht="14.25" hidden="false" customHeight="false" outlineLevel="0" collapsed="false">
      <c r="A39" s="15" t="s">
        <v>135</v>
      </c>
      <c r="B39" s="15" t="s">
        <v>2835</v>
      </c>
      <c r="C39" s="15" t="s">
        <v>2828</v>
      </c>
      <c r="D39" s="17" t="n">
        <v>2549</v>
      </c>
      <c r="E39" s="17" t="n">
        <v>5490</v>
      </c>
      <c r="F39" s="18" t="b">
        <f aca="false">TRUE()</f>
        <v>1</v>
      </c>
    </row>
    <row r="40" customFormat="false" ht="14.25" hidden="false" customHeight="false" outlineLevel="0" collapsed="false">
      <c r="A40" s="15" t="s">
        <v>281</v>
      </c>
      <c r="B40" s="15" t="s">
        <v>2836</v>
      </c>
      <c r="C40" s="15" t="s">
        <v>2828</v>
      </c>
      <c r="D40" s="17" t="n">
        <v>1850</v>
      </c>
      <c r="E40" s="17" t="n">
        <v>4610</v>
      </c>
      <c r="F40" s="18" t="b">
        <f aca="false">TRUE()</f>
        <v>1</v>
      </c>
    </row>
    <row r="41" customFormat="false" ht="14.25" hidden="false" customHeight="false" outlineLevel="0" collapsed="false">
      <c r="A41" s="15" t="s">
        <v>175</v>
      </c>
      <c r="B41" s="15" t="s">
        <v>2837</v>
      </c>
      <c r="C41" s="15" t="s">
        <v>2828</v>
      </c>
      <c r="D41" s="17" t="n">
        <v>519</v>
      </c>
      <c r="E41" s="17" t="n">
        <v>1080</v>
      </c>
      <c r="F41" s="18" t="b">
        <f aca="false">TRUE()</f>
        <v>1</v>
      </c>
    </row>
    <row r="42" customFormat="false" ht="14.25" hidden="false" customHeight="false" outlineLevel="0" collapsed="false">
      <c r="A42" s="15" t="s">
        <v>270</v>
      </c>
      <c r="B42" s="15" t="s">
        <v>2838</v>
      </c>
      <c r="C42" s="15" t="s">
        <v>2839</v>
      </c>
      <c r="D42" s="17" t="n">
        <v>647</v>
      </c>
      <c r="E42" s="17" t="n">
        <v>1540</v>
      </c>
      <c r="F42" s="18" t="b">
        <f aca="false">FALSE()</f>
        <v>0</v>
      </c>
    </row>
    <row r="43" customFormat="false" ht="14.25" hidden="false" customHeight="false" outlineLevel="0" collapsed="false">
      <c r="A43" s="15" t="s">
        <v>397</v>
      </c>
      <c r="B43" s="15" t="s">
        <v>2840</v>
      </c>
      <c r="C43" s="15" t="s">
        <v>2839</v>
      </c>
      <c r="D43" s="17" t="n">
        <v>1219</v>
      </c>
      <c r="E43" s="17" t="n">
        <v>2290</v>
      </c>
      <c r="F43" s="18" t="b">
        <f aca="false">TRUE()</f>
        <v>1</v>
      </c>
    </row>
    <row r="44" customFormat="false" ht="14.25" hidden="false" customHeight="false" outlineLevel="0" collapsed="false">
      <c r="A44" s="15" t="s">
        <v>190</v>
      </c>
      <c r="B44" s="15" t="s">
        <v>2841</v>
      </c>
      <c r="C44" s="15" t="s">
        <v>2839</v>
      </c>
      <c r="D44" s="17" t="n">
        <v>1728</v>
      </c>
      <c r="E44" s="17" t="n">
        <v>3350</v>
      </c>
      <c r="F44" s="18" t="b">
        <f aca="false">TRUE()</f>
        <v>1</v>
      </c>
    </row>
    <row r="45" customFormat="false" ht="14.25" hidden="false" customHeight="false" outlineLevel="0" collapsed="false">
      <c r="A45" s="15" t="s">
        <v>187</v>
      </c>
      <c r="B45" s="15" t="s">
        <v>2842</v>
      </c>
      <c r="C45" s="15" t="s">
        <v>2839</v>
      </c>
      <c r="D45" s="17" t="n">
        <v>1222</v>
      </c>
      <c r="E45" s="17" t="n">
        <v>1650</v>
      </c>
      <c r="F45" s="18" t="b">
        <f aca="false">TRUE()</f>
        <v>1</v>
      </c>
    </row>
    <row r="46" customFormat="false" ht="14.25" hidden="false" customHeight="false" outlineLevel="0" collapsed="false">
      <c r="A46" s="15" t="s">
        <v>287</v>
      </c>
      <c r="B46" s="15" t="s">
        <v>2843</v>
      </c>
      <c r="C46" s="15" t="s">
        <v>2839</v>
      </c>
      <c r="D46" s="17" t="n">
        <v>1626</v>
      </c>
      <c r="E46" s="17" t="n">
        <v>3020</v>
      </c>
      <c r="F46" s="18" t="b">
        <f aca="false">TRUE()</f>
        <v>1</v>
      </c>
    </row>
    <row r="47" customFormat="false" ht="14.25" hidden="false" customHeight="false" outlineLevel="0" collapsed="false">
      <c r="A47" s="15" t="s">
        <v>195</v>
      </c>
      <c r="B47" s="15" t="s">
        <v>2844</v>
      </c>
      <c r="C47" s="15" t="s">
        <v>2839</v>
      </c>
      <c r="D47" s="17" t="n">
        <v>2768</v>
      </c>
      <c r="E47" s="17" t="n">
        <v>4880</v>
      </c>
      <c r="F47" s="18" t="b">
        <f aca="false">TRUE()</f>
        <v>1</v>
      </c>
    </row>
    <row r="48" customFormat="false" ht="14.25" hidden="false" customHeight="false" outlineLevel="0" collapsed="false">
      <c r="A48" s="15" t="s">
        <v>168</v>
      </c>
      <c r="B48" s="15" t="s">
        <v>2845</v>
      </c>
      <c r="C48" s="15" t="s">
        <v>2839</v>
      </c>
      <c r="D48" s="17" t="n">
        <v>2420</v>
      </c>
      <c r="E48" s="17" t="n">
        <v>3450</v>
      </c>
      <c r="F48" s="18" t="b">
        <f aca="false">TRUE()</f>
        <v>1</v>
      </c>
    </row>
    <row r="49" customFormat="false" ht="14.25" hidden="false" customHeight="false" outlineLevel="0" collapsed="false">
      <c r="A49" s="15" t="s">
        <v>202</v>
      </c>
      <c r="B49" s="15" t="s">
        <v>2846</v>
      </c>
      <c r="C49" s="15" t="s">
        <v>2839</v>
      </c>
      <c r="D49" s="17" t="n">
        <v>2237</v>
      </c>
      <c r="E49" s="17" t="n">
        <v>5100</v>
      </c>
      <c r="F49" s="18" t="b">
        <f aca="false">TRUE()</f>
        <v>1</v>
      </c>
    </row>
    <row r="50" customFormat="false" ht="14.25" hidden="false" customHeight="false" outlineLevel="0" collapsed="false">
      <c r="A50" s="15" t="s">
        <v>391</v>
      </c>
      <c r="B50" s="15" t="s">
        <v>2847</v>
      </c>
      <c r="C50" s="15" t="s">
        <v>2839</v>
      </c>
      <c r="D50" s="17" t="n">
        <v>675</v>
      </c>
      <c r="E50" s="17" t="n">
        <v>960</v>
      </c>
      <c r="F50" s="18" t="b">
        <f aca="false">TRUE()</f>
        <v>1</v>
      </c>
    </row>
    <row r="51" customFormat="false" ht="14.25" hidden="false" customHeight="false" outlineLevel="0" collapsed="false">
      <c r="A51" s="15" t="s">
        <v>252</v>
      </c>
      <c r="B51" s="15" t="s">
        <v>2848</v>
      </c>
      <c r="C51" s="15" t="s">
        <v>2839</v>
      </c>
      <c r="D51" s="17" t="n">
        <v>2617</v>
      </c>
      <c r="E51" s="17" t="n">
        <v>6080</v>
      </c>
      <c r="F51" s="18" t="b">
        <f aca="false">TRUE()</f>
        <v>1</v>
      </c>
    </row>
    <row r="52" customFormat="false" ht="14.25" hidden="false" customHeight="false" outlineLevel="0" collapsed="false">
      <c r="A52" s="15" t="s">
        <v>172</v>
      </c>
      <c r="B52" s="15" t="s">
        <v>2849</v>
      </c>
      <c r="C52" s="15" t="s">
        <v>2850</v>
      </c>
      <c r="D52" s="17" t="n">
        <v>2467</v>
      </c>
      <c r="E52" s="17" t="n">
        <v>3450</v>
      </c>
      <c r="F52" s="18" t="b">
        <f aca="false">TRUE()</f>
        <v>1</v>
      </c>
    </row>
    <row r="53" customFormat="false" ht="14.25" hidden="false" customHeight="false" outlineLevel="0" collapsed="false">
      <c r="A53" s="15" t="s">
        <v>371</v>
      </c>
      <c r="B53" s="15" t="s">
        <v>2851</v>
      </c>
      <c r="C53" s="15" t="s">
        <v>2850</v>
      </c>
      <c r="D53" s="17" t="n">
        <v>2265</v>
      </c>
      <c r="E53" s="17" t="n">
        <v>5410</v>
      </c>
      <c r="F53" s="18" t="b">
        <f aca="false">TRUE()</f>
        <v>1</v>
      </c>
    </row>
    <row r="54" customFormat="false" ht="14.25" hidden="false" customHeight="false" outlineLevel="0" collapsed="false">
      <c r="A54" s="15" t="s">
        <v>108</v>
      </c>
      <c r="B54" s="15" t="s">
        <v>2852</v>
      </c>
      <c r="C54" s="15" t="s">
        <v>2850</v>
      </c>
      <c r="D54" s="17" t="n">
        <v>302</v>
      </c>
      <c r="E54" s="17" t="n">
        <v>470</v>
      </c>
      <c r="F54" s="18" t="b">
        <f aca="false">FALSE()</f>
        <v>0</v>
      </c>
    </row>
    <row r="55" customFormat="false" ht="14.25" hidden="false" customHeight="false" outlineLevel="0" collapsed="false">
      <c r="A55" s="15" t="s">
        <v>193</v>
      </c>
      <c r="B55" s="15" t="s">
        <v>2853</v>
      </c>
      <c r="C55" s="15" t="s">
        <v>2850</v>
      </c>
      <c r="D55" s="17" t="n">
        <v>516</v>
      </c>
      <c r="E55" s="17" t="n">
        <v>1010</v>
      </c>
      <c r="F55" s="18" t="b">
        <f aca="false">TRUE()</f>
        <v>1</v>
      </c>
    </row>
    <row r="56" customFormat="false" ht="14.25" hidden="false" customHeight="false" outlineLevel="0" collapsed="false">
      <c r="A56" s="15" t="s">
        <v>206</v>
      </c>
      <c r="B56" s="15" t="s">
        <v>2854</v>
      </c>
      <c r="C56" s="15" t="s">
        <v>2850</v>
      </c>
      <c r="D56" s="17" t="n">
        <v>2028</v>
      </c>
      <c r="E56" s="17" t="n">
        <v>2860</v>
      </c>
      <c r="F56" s="18" t="b">
        <f aca="false">TRUE()</f>
        <v>1</v>
      </c>
    </row>
    <row r="57" customFormat="false" ht="14.25" hidden="false" customHeight="false" outlineLevel="0" collapsed="false">
      <c r="A57" s="15" t="s">
        <v>526</v>
      </c>
      <c r="B57" s="15" t="s">
        <v>2855</v>
      </c>
      <c r="C57" s="15" t="s">
        <v>2850</v>
      </c>
      <c r="D57" s="17" t="n">
        <v>2827</v>
      </c>
      <c r="E57" s="17" t="n">
        <v>6940</v>
      </c>
      <c r="F57" s="18" t="b">
        <f aca="false">TRUE()</f>
        <v>1</v>
      </c>
    </row>
    <row r="58" customFormat="false" ht="14.25" hidden="false" customHeight="false" outlineLevel="0" collapsed="false">
      <c r="A58" s="15" t="s">
        <v>126</v>
      </c>
      <c r="B58" s="15" t="s">
        <v>2856</v>
      </c>
      <c r="C58" s="15" t="s">
        <v>2850</v>
      </c>
      <c r="D58" s="17" t="n">
        <v>705</v>
      </c>
      <c r="E58" s="17" t="n">
        <v>960</v>
      </c>
      <c r="F58" s="18" t="b">
        <f aca="false">TRUE()</f>
        <v>1</v>
      </c>
    </row>
    <row r="59" customFormat="false" ht="14.25" hidden="false" customHeight="false" outlineLevel="0" collapsed="false">
      <c r="A59" s="15" t="s">
        <v>162</v>
      </c>
      <c r="B59" s="15" t="s">
        <v>2857</v>
      </c>
      <c r="C59" s="15" t="s">
        <v>2850</v>
      </c>
      <c r="D59" s="17" t="n">
        <v>974</v>
      </c>
      <c r="E59" s="17" t="n">
        <v>2400</v>
      </c>
      <c r="F59" s="18" t="b">
        <f aca="false">TRUE()</f>
        <v>1</v>
      </c>
    </row>
    <row r="60" customFormat="false" ht="14.25" hidden="false" customHeight="false" outlineLevel="0" collapsed="false">
      <c r="A60" s="15" t="s">
        <v>472</v>
      </c>
      <c r="B60" s="15" t="s">
        <v>2858</v>
      </c>
      <c r="C60" s="15" t="s">
        <v>2850</v>
      </c>
      <c r="D60" s="17" t="n">
        <v>1860</v>
      </c>
      <c r="E60" s="17" t="n">
        <v>3780</v>
      </c>
      <c r="F60" s="18" t="b">
        <f aca="false">TRUE()</f>
        <v>1</v>
      </c>
    </row>
    <row r="61" customFormat="false" ht="14.25" hidden="false" customHeight="false" outlineLevel="0" collapsed="false">
      <c r="A61" s="15" t="s">
        <v>158</v>
      </c>
      <c r="B61" s="15" t="s">
        <v>2859</v>
      </c>
      <c r="C61" s="15" t="s">
        <v>2850</v>
      </c>
      <c r="D61" s="17" t="n">
        <v>147</v>
      </c>
      <c r="E61" s="17" t="n">
        <v>190</v>
      </c>
      <c r="F61" s="18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4.25" hidden="false" customHeight="false" outlineLevel="0" collapsed="false">
      <c r="A1" s="7" t="s">
        <v>2860</v>
      </c>
      <c r="B1" s="7" t="s">
        <v>2861</v>
      </c>
      <c r="C1" s="7" t="s">
        <v>2862</v>
      </c>
      <c r="D1" s="7" t="s">
        <v>2863</v>
      </c>
      <c r="E1" s="7" t="s">
        <v>2864</v>
      </c>
    </row>
    <row r="2" customFormat="false" ht="14.25" hidden="false" customHeight="false" outlineLevel="0" collapsed="false">
      <c r="A2" s="15" t="s">
        <v>226</v>
      </c>
      <c r="B2" s="15" t="s">
        <v>2865</v>
      </c>
      <c r="C2" s="15" t="s">
        <v>2866</v>
      </c>
      <c r="D2" s="16" t="n">
        <v>44207</v>
      </c>
      <c r="E2" s="15"/>
    </row>
    <row r="3" customFormat="false" ht="14.25" hidden="false" customHeight="false" outlineLevel="0" collapsed="false">
      <c r="A3" s="15" t="s">
        <v>308</v>
      </c>
      <c r="B3" s="15" t="s">
        <v>2867</v>
      </c>
      <c r="C3" s="15" t="s">
        <v>2866</v>
      </c>
      <c r="D3" s="16" t="n">
        <v>44028</v>
      </c>
      <c r="E3" s="15"/>
    </row>
    <row r="4" customFormat="false" ht="14.25" hidden="false" customHeight="false" outlineLevel="0" collapsed="false">
      <c r="A4" s="15" t="s">
        <v>159</v>
      </c>
      <c r="B4" s="15" t="s">
        <v>2868</v>
      </c>
      <c r="C4" s="15" t="s">
        <v>2866</v>
      </c>
      <c r="D4" s="16" t="n">
        <v>43651</v>
      </c>
      <c r="E4" s="15"/>
    </row>
    <row r="5" customFormat="false" ht="14.25" hidden="false" customHeight="false" outlineLevel="0" collapsed="false">
      <c r="A5" s="15" t="s">
        <v>150</v>
      </c>
      <c r="B5" s="15" t="s">
        <v>2869</v>
      </c>
      <c r="C5" s="15" t="s">
        <v>2866</v>
      </c>
      <c r="D5" s="16" t="n">
        <v>44907</v>
      </c>
      <c r="E5" s="15"/>
    </row>
    <row r="6" customFormat="false" ht="14.25" hidden="false" customHeight="false" outlineLevel="0" collapsed="false">
      <c r="A6" s="15" t="s">
        <v>103</v>
      </c>
      <c r="B6" s="15" t="s">
        <v>2870</v>
      </c>
      <c r="C6" s="15" t="s">
        <v>2866</v>
      </c>
      <c r="D6" s="16" t="n">
        <v>43588</v>
      </c>
      <c r="E6" s="15" t="s">
        <v>226</v>
      </c>
    </row>
    <row r="7" customFormat="false" ht="14.25" hidden="false" customHeight="false" outlineLevel="0" collapsed="false">
      <c r="A7" s="15" t="s">
        <v>114</v>
      </c>
      <c r="B7" s="15" t="s">
        <v>2784</v>
      </c>
      <c r="C7" s="15" t="s">
        <v>2866</v>
      </c>
      <c r="D7" s="16" t="n">
        <v>44131</v>
      </c>
      <c r="E7" s="15" t="s">
        <v>226</v>
      </c>
    </row>
    <row r="8" customFormat="false" ht="14.25" hidden="false" customHeight="false" outlineLevel="0" collapsed="false">
      <c r="A8" s="15" t="s">
        <v>97</v>
      </c>
      <c r="B8" s="15" t="s">
        <v>2871</v>
      </c>
      <c r="C8" s="15" t="s">
        <v>2866</v>
      </c>
      <c r="D8" s="16" t="n">
        <v>43493</v>
      </c>
      <c r="E8" s="15" t="s">
        <v>226</v>
      </c>
    </row>
    <row r="9" customFormat="false" ht="14.25" hidden="false" customHeight="false" outlineLevel="0" collapsed="false">
      <c r="A9" s="15" t="s">
        <v>118</v>
      </c>
      <c r="B9" s="15" t="s">
        <v>2773</v>
      </c>
      <c r="C9" s="15" t="s">
        <v>2866</v>
      </c>
      <c r="D9" s="16" t="n">
        <v>44693</v>
      </c>
      <c r="E9" s="15" t="s">
        <v>226</v>
      </c>
    </row>
    <row r="10" customFormat="false" ht="14.25" hidden="false" customHeight="false" outlineLevel="0" collapsed="false">
      <c r="A10" s="15" t="s">
        <v>215</v>
      </c>
      <c r="B10" s="15" t="s">
        <v>2872</v>
      </c>
      <c r="C10" s="15" t="s">
        <v>2873</v>
      </c>
      <c r="D10" s="16" t="n">
        <v>44804</v>
      </c>
      <c r="E10" s="15" t="s">
        <v>308</v>
      </c>
    </row>
    <row r="11" customFormat="false" ht="14.25" hidden="false" customHeight="false" outlineLevel="0" collapsed="false">
      <c r="A11" s="15" t="s">
        <v>143</v>
      </c>
      <c r="B11" s="15" t="s">
        <v>2874</v>
      </c>
      <c r="C11" s="15" t="s">
        <v>2873</v>
      </c>
      <c r="D11" s="16" t="n">
        <v>43904</v>
      </c>
      <c r="E11" s="15" t="s">
        <v>308</v>
      </c>
    </row>
    <row r="12" customFormat="false" ht="14.25" hidden="false" customHeight="false" outlineLevel="0" collapsed="false">
      <c r="A12" s="15" t="s">
        <v>284</v>
      </c>
      <c r="B12" s="15" t="s">
        <v>2875</v>
      </c>
      <c r="C12" s="15" t="s">
        <v>2873</v>
      </c>
      <c r="D12" s="16" t="n">
        <v>44622</v>
      </c>
      <c r="E12" s="15" t="s">
        <v>308</v>
      </c>
    </row>
    <row r="13" customFormat="false" ht="14.25" hidden="false" customHeight="false" outlineLevel="0" collapsed="false">
      <c r="A13" s="15" t="s">
        <v>336</v>
      </c>
      <c r="B13" s="15" t="s">
        <v>2876</v>
      </c>
      <c r="C13" s="15" t="s">
        <v>2873</v>
      </c>
      <c r="D13" s="16" t="n">
        <v>44890</v>
      </c>
      <c r="E13" s="15" t="s">
        <v>308</v>
      </c>
    </row>
    <row r="14" customFormat="false" ht="14.25" hidden="false" customHeight="false" outlineLevel="0" collapsed="false">
      <c r="A14" s="15" t="s">
        <v>263</v>
      </c>
      <c r="B14" s="15" t="s">
        <v>2877</v>
      </c>
      <c r="C14" s="15" t="s">
        <v>2873</v>
      </c>
      <c r="D14" s="16" t="n">
        <v>45215</v>
      </c>
      <c r="E14" s="15" t="s">
        <v>308</v>
      </c>
    </row>
    <row r="15" customFormat="false" ht="14.25" hidden="false" customHeight="false" outlineLevel="0" collapsed="false">
      <c r="A15" s="15" t="s">
        <v>109</v>
      </c>
      <c r="B15" s="15" t="s">
        <v>2878</v>
      </c>
      <c r="C15" s="15" t="s">
        <v>2873</v>
      </c>
      <c r="D15" s="16" t="n">
        <v>44469</v>
      </c>
      <c r="E15" s="15" t="s">
        <v>308</v>
      </c>
    </row>
    <row r="16" customFormat="false" ht="14.25" hidden="false" customHeight="false" outlineLevel="0" collapsed="false">
      <c r="A16" s="15" t="s">
        <v>199</v>
      </c>
      <c r="B16" s="15" t="s">
        <v>2879</v>
      </c>
      <c r="C16" s="15" t="s">
        <v>2873</v>
      </c>
      <c r="D16" s="16" t="n">
        <v>45231</v>
      </c>
      <c r="E16" s="15" t="s">
        <v>308</v>
      </c>
    </row>
    <row r="17" customFormat="false" ht="14.25" hidden="false" customHeight="false" outlineLevel="0" collapsed="false">
      <c r="A17" s="15" t="s">
        <v>357</v>
      </c>
      <c r="B17" s="15" t="s">
        <v>2880</v>
      </c>
      <c r="C17" s="15" t="s">
        <v>2873</v>
      </c>
      <c r="D17" s="16" t="n">
        <v>43614</v>
      </c>
      <c r="E17" s="15" t="s">
        <v>308</v>
      </c>
    </row>
    <row r="18" customFormat="false" ht="14.25" hidden="false" customHeight="false" outlineLevel="0" collapsed="false">
      <c r="A18" s="15" t="s">
        <v>249</v>
      </c>
      <c r="B18" s="15" t="s">
        <v>2881</v>
      </c>
      <c r="C18" s="15" t="s">
        <v>2882</v>
      </c>
      <c r="D18" s="16" t="n">
        <v>43685</v>
      </c>
      <c r="E18" s="15" t="s">
        <v>159</v>
      </c>
    </row>
    <row r="19" customFormat="false" ht="14.25" hidden="false" customHeight="false" outlineLevel="0" collapsed="false">
      <c r="A19" s="15" t="s">
        <v>314</v>
      </c>
      <c r="B19" s="15" t="s">
        <v>2883</v>
      </c>
      <c r="C19" s="15" t="s">
        <v>2882</v>
      </c>
      <c r="D19" s="16" t="n">
        <v>43428</v>
      </c>
      <c r="E19" s="15" t="s">
        <v>159</v>
      </c>
    </row>
    <row r="20" customFormat="false" ht="14.25" hidden="false" customHeight="false" outlineLevel="0" collapsed="false">
      <c r="A20" s="15" t="s">
        <v>132</v>
      </c>
      <c r="B20" s="15" t="s">
        <v>2884</v>
      </c>
      <c r="C20" s="15" t="s">
        <v>2882</v>
      </c>
      <c r="D20" s="16" t="n">
        <v>43576</v>
      </c>
      <c r="E20" s="15" t="s">
        <v>159</v>
      </c>
    </row>
    <row r="21" customFormat="false" ht="14.25" hidden="false" customHeight="false" outlineLevel="0" collapsed="false">
      <c r="A21" s="15" t="s">
        <v>203</v>
      </c>
      <c r="B21" s="15" t="s">
        <v>2885</v>
      </c>
      <c r="C21" s="15" t="s">
        <v>2882</v>
      </c>
      <c r="D21" s="16" t="n">
        <v>43254</v>
      </c>
      <c r="E21" s="15" t="s">
        <v>159</v>
      </c>
    </row>
    <row r="22" customFormat="false" ht="14.25" hidden="false" customHeight="false" outlineLevel="0" collapsed="false">
      <c r="A22" s="15" t="s">
        <v>169</v>
      </c>
      <c r="B22" s="15" t="s">
        <v>2886</v>
      </c>
      <c r="C22" s="15" t="s">
        <v>2882</v>
      </c>
      <c r="D22" s="16" t="n">
        <v>43260</v>
      </c>
      <c r="E22" s="15" t="s">
        <v>159</v>
      </c>
    </row>
    <row r="23" customFormat="false" ht="14.25" hidden="false" customHeight="false" outlineLevel="0" collapsed="false">
      <c r="A23" s="15" t="s">
        <v>296</v>
      </c>
      <c r="B23" s="15" t="s">
        <v>2887</v>
      </c>
      <c r="C23" s="15" t="s">
        <v>2882</v>
      </c>
      <c r="D23" s="16" t="n">
        <v>43146</v>
      </c>
      <c r="E23" s="15" t="s">
        <v>159</v>
      </c>
    </row>
    <row r="24" customFormat="false" ht="14.25" hidden="false" customHeight="false" outlineLevel="0" collapsed="false">
      <c r="A24" s="15" t="s">
        <v>165</v>
      </c>
      <c r="B24" s="15" t="s">
        <v>2888</v>
      </c>
      <c r="C24" s="15" t="s">
        <v>2882</v>
      </c>
      <c r="D24" s="16" t="n">
        <v>44777</v>
      </c>
      <c r="E24" s="15" t="s">
        <v>159</v>
      </c>
    </row>
    <row r="25" customFormat="false" ht="14.25" hidden="false" customHeight="false" outlineLevel="0" collapsed="false">
      <c r="A25" s="15" t="s">
        <v>127</v>
      </c>
      <c r="B25" s="15" t="s">
        <v>2889</v>
      </c>
      <c r="C25" s="15" t="s">
        <v>2890</v>
      </c>
      <c r="D25" s="16" t="n">
        <v>43371</v>
      </c>
      <c r="E25" s="15" t="s">
        <v>150</v>
      </c>
    </row>
    <row r="26" customFormat="false" ht="14.25" hidden="false" customHeight="false" outlineLevel="0" collapsed="false">
      <c r="A26" s="15" t="s">
        <v>122</v>
      </c>
      <c r="B26" s="15" t="s">
        <v>2891</v>
      </c>
      <c r="C26" s="15" t="s">
        <v>2890</v>
      </c>
      <c r="D26" s="16" t="n">
        <v>43781</v>
      </c>
      <c r="E26" s="15" t="s">
        <v>150</v>
      </c>
    </row>
    <row r="27" customFormat="false" ht="14.25" hidden="false" customHeight="false" outlineLevel="0" collapsed="false">
      <c r="A27" s="15" t="s">
        <v>212</v>
      </c>
      <c r="B27" s="15" t="s">
        <v>2892</v>
      </c>
      <c r="C27" s="15" t="s">
        <v>2890</v>
      </c>
      <c r="D27" s="16" t="n">
        <v>43570</v>
      </c>
      <c r="E27" s="15" t="s">
        <v>150</v>
      </c>
    </row>
    <row r="28" customFormat="false" ht="14.25" hidden="false" customHeight="false" outlineLevel="0" collapsed="false">
      <c r="A28" s="15" t="s">
        <v>354</v>
      </c>
      <c r="B28" s="15" t="s">
        <v>2893</v>
      </c>
      <c r="C28" s="15" t="s">
        <v>2890</v>
      </c>
      <c r="D28" s="16" t="n">
        <v>45199</v>
      </c>
      <c r="E28" s="15" t="s">
        <v>150</v>
      </c>
    </row>
    <row r="29" customFormat="false" ht="14.25" hidden="false" customHeight="false" outlineLevel="0" collapsed="false">
      <c r="A29" s="15" t="s">
        <v>139</v>
      </c>
      <c r="B29" s="15" t="s">
        <v>2894</v>
      </c>
      <c r="C29" s="15" t="s">
        <v>2890</v>
      </c>
      <c r="D29" s="16" t="n">
        <v>44898</v>
      </c>
      <c r="E29" s="15" t="s">
        <v>150</v>
      </c>
    </row>
    <row r="30" customFormat="false" ht="14.25" hidden="false" customHeight="false" outlineLevel="0" collapsed="false">
      <c r="A30" s="15" t="s">
        <v>240</v>
      </c>
      <c r="B30" s="15" t="s">
        <v>2895</v>
      </c>
      <c r="C30" s="15" t="s">
        <v>2890</v>
      </c>
      <c r="D30" s="16" t="n">
        <v>45191</v>
      </c>
      <c r="E30" s="15" t="s">
        <v>150</v>
      </c>
    </row>
    <row r="31" customFormat="false" ht="14.25" hidden="false" customHeight="false" outlineLevel="0" collapsed="false">
      <c r="A31" s="15" t="s">
        <v>181</v>
      </c>
      <c r="B31" s="15" t="s">
        <v>2896</v>
      </c>
      <c r="C31" s="15" t="s">
        <v>2890</v>
      </c>
      <c r="D31" s="16" t="n">
        <v>44506</v>
      </c>
      <c r="E31" s="15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3" min="1" style="0" width="8"/>
  </cols>
  <sheetData>
    <row r="1" customFormat="false" ht="14.25" hidden="false" customHeight="false" outlineLevel="0" collapsed="false">
      <c r="A1" s="7" t="s">
        <v>2860</v>
      </c>
      <c r="B1" s="7" t="s">
        <v>2897</v>
      </c>
      <c r="C1" s="7" t="s">
        <v>2898</v>
      </c>
      <c r="D1" s="7" t="s">
        <v>2899</v>
      </c>
      <c r="E1" s="7" t="s">
        <v>2900</v>
      </c>
      <c r="F1" s="7" t="s">
        <v>2901</v>
      </c>
      <c r="G1" s="7" t="s">
        <v>2902</v>
      </c>
      <c r="H1" s="7" t="s">
        <v>2903</v>
      </c>
      <c r="I1" s="7" t="s">
        <v>2904</v>
      </c>
      <c r="J1" s="7" t="s">
        <v>2905</v>
      </c>
      <c r="K1" s="7" t="s">
        <v>2906</v>
      </c>
      <c r="L1" s="7" t="s">
        <v>2907</v>
      </c>
      <c r="M1" s="7" t="s">
        <v>2908</v>
      </c>
    </row>
    <row r="2" customFormat="false" ht="14.25" hidden="false" customHeight="false" outlineLevel="0" collapsed="false">
      <c r="A2" s="15" t="s">
        <v>226</v>
      </c>
      <c r="B2" s="17" t="n">
        <v>231324</v>
      </c>
      <c r="C2" s="17" t="n">
        <v>171682</v>
      </c>
      <c r="D2" s="17" t="n">
        <v>234376</v>
      </c>
      <c r="E2" s="17" t="n">
        <v>326967</v>
      </c>
      <c r="F2" s="17" t="n">
        <v>350588</v>
      </c>
      <c r="G2" s="17" t="n">
        <v>385324</v>
      </c>
      <c r="H2" s="17" t="n">
        <v>307980</v>
      </c>
      <c r="I2" s="17" t="n">
        <v>327947</v>
      </c>
      <c r="J2" s="17" t="n">
        <v>181016</v>
      </c>
      <c r="K2" s="17" t="n">
        <v>374039</v>
      </c>
      <c r="L2" s="17" t="n">
        <v>212805</v>
      </c>
      <c r="M2" s="17" t="n">
        <v>405999</v>
      </c>
    </row>
    <row r="3" customFormat="false" ht="14.25" hidden="false" customHeight="false" outlineLevel="0" collapsed="false">
      <c r="A3" s="15" t="s">
        <v>308</v>
      </c>
      <c r="B3" s="17" t="n">
        <v>438126</v>
      </c>
      <c r="C3" s="17" t="n">
        <v>346266</v>
      </c>
      <c r="D3" s="17" t="n">
        <v>329993</v>
      </c>
      <c r="E3" s="17" t="n">
        <v>370744</v>
      </c>
      <c r="F3" s="17" t="n">
        <v>294660</v>
      </c>
      <c r="G3" s="17" t="n">
        <v>341556</v>
      </c>
      <c r="H3" s="17" t="n">
        <v>151934</v>
      </c>
      <c r="I3" s="17" t="n">
        <v>223794</v>
      </c>
      <c r="J3" s="17" t="n">
        <v>438641</v>
      </c>
      <c r="K3" s="17" t="n">
        <v>344308</v>
      </c>
      <c r="L3" s="17" t="n">
        <v>296172</v>
      </c>
      <c r="M3" s="17" t="n">
        <v>304288</v>
      </c>
    </row>
    <row r="4" customFormat="false" ht="14.25" hidden="false" customHeight="false" outlineLevel="0" collapsed="false">
      <c r="A4" s="15" t="s">
        <v>159</v>
      </c>
      <c r="B4" s="17" t="n">
        <v>358703</v>
      </c>
      <c r="C4" s="17" t="n">
        <v>320519</v>
      </c>
      <c r="D4" s="17" t="n">
        <v>327321</v>
      </c>
      <c r="E4" s="17" t="n">
        <v>298753</v>
      </c>
      <c r="F4" s="17" t="n">
        <v>254636</v>
      </c>
      <c r="G4" s="17" t="n">
        <v>351929</v>
      </c>
      <c r="H4" s="17" t="n">
        <v>264723</v>
      </c>
      <c r="I4" s="17" t="n">
        <v>216459</v>
      </c>
      <c r="J4" s="17" t="n">
        <v>391945</v>
      </c>
      <c r="K4" s="17" t="n">
        <v>362426</v>
      </c>
      <c r="L4" s="17" t="n">
        <v>289199</v>
      </c>
      <c r="M4" s="17" t="n">
        <v>301863</v>
      </c>
    </row>
    <row r="5" customFormat="false" ht="14.25" hidden="false" customHeight="false" outlineLevel="0" collapsed="false">
      <c r="A5" s="15" t="s">
        <v>150</v>
      </c>
      <c r="B5" s="17" t="n">
        <v>389594</v>
      </c>
      <c r="C5" s="17" t="n">
        <v>376422</v>
      </c>
      <c r="D5" s="17" t="n">
        <v>324156</v>
      </c>
      <c r="E5" s="17" t="n">
        <v>420255</v>
      </c>
      <c r="F5" s="17" t="n">
        <v>409107</v>
      </c>
      <c r="G5" s="17" t="n">
        <v>269954</v>
      </c>
      <c r="H5" s="17" t="n">
        <v>179097</v>
      </c>
      <c r="I5" s="17" t="n">
        <v>370568</v>
      </c>
      <c r="J5" s="17" t="n">
        <v>387395</v>
      </c>
      <c r="K5" s="17" t="n">
        <v>243454</v>
      </c>
      <c r="L5" s="17" t="n">
        <v>232530</v>
      </c>
      <c r="M5" s="17" t="n">
        <v>201999</v>
      </c>
    </row>
    <row r="6" customFormat="false" ht="14.25" hidden="false" customHeight="false" outlineLevel="0" collapsed="false">
      <c r="A6" s="15" t="s">
        <v>103</v>
      </c>
      <c r="B6" s="17" t="n">
        <v>436862</v>
      </c>
      <c r="C6" s="17" t="n">
        <v>391158</v>
      </c>
      <c r="D6" s="17" t="n">
        <v>340224</v>
      </c>
      <c r="E6" s="17" t="n">
        <v>170548</v>
      </c>
      <c r="F6" s="17" t="n">
        <v>229390</v>
      </c>
      <c r="G6" s="17" t="n">
        <v>349525</v>
      </c>
      <c r="H6" s="17" t="n">
        <v>154683</v>
      </c>
      <c r="I6" s="17" t="n">
        <v>320848</v>
      </c>
      <c r="J6" s="17" t="n">
        <v>354452</v>
      </c>
      <c r="K6" s="17" t="n">
        <v>377180</v>
      </c>
      <c r="L6" s="17" t="n">
        <v>342347</v>
      </c>
      <c r="M6" s="17" t="n">
        <v>183362</v>
      </c>
    </row>
    <row r="7" customFormat="false" ht="14.25" hidden="false" customHeight="false" outlineLevel="0" collapsed="false">
      <c r="A7" s="15" t="s">
        <v>114</v>
      </c>
      <c r="B7" s="17" t="n">
        <v>348734</v>
      </c>
      <c r="C7" s="17" t="n">
        <v>358191</v>
      </c>
      <c r="D7" s="17" t="n">
        <v>250385</v>
      </c>
      <c r="E7" s="17" t="n">
        <v>219657</v>
      </c>
      <c r="F7" s="17" t="n">
        <v>249365</v>
      </c>
      <c r="G7" s="17" t="n">
        <v>435704</v>
      </c>
      <c r="H7" s="17" t="n">
        <v>260892</v>
      </c>
      <c r="I7" s="17" t="n">
        <v>250741</v>
      </c>
      <c r="J7" s="17" t="n">
        <v>358402</v>
      </c>
      <c r="K7" s="17" t="n">
        <v>379858</v>
      </c>
      <c r="L7" s="17" t="n">
        <v>213280</v>
      </c>
      <c r="M7" s="17" t="n">
        <v>224634</v>
      </c>
    </row>
    <row r="8" customFormat="false" ht="14.25" hidden="false" customHeight="false" outlineLevel="0" collapsed="false">
      <c r="A8" s="15" t="s">
        <v>97</v>
      </c>
      <c r="B8" s="17" t="n">
        <v>280057</v>
      </c>
      <c r="C8" s="17" t="n">
        <v>330342</v>
      </c>
      <c r="D8" s="17" t="n">
        <v>336856</v>
      </c>
      <c r="E8" s="17" t="n">
        <v>227425</v>
      </c>
      <c r="F8" s="17" t="n">
        <v>233647</v>
      </c>
      <c r="G8" s="17" t="n">
        <v>307088</v>
      </c>
      <c r="H8" s="17" t="n">
        <v>370724</v>
      </c>
      <c r="I8" s="17" t="n">
        <v>440008</v>
      </c>
      <c r="J8" s="17" t="n">
        <v>406347</v>
      </c>
      <c r="K8" s="17" t="n">
        <v>217357</v>
      </c>
      <c r="L8" s="17" t="n">
        <v>299289</v>
      </c>
      <c r="M8" s="17" t="n">
        <v>214568</v>
      </c>
    </row>
    <row r="9" customFormat="false" ht="14.25" hidden="false" customHeight="false" outlineLevel="0" collapsed="false">
      <c r="A9" s="15" t="s">
        <v>118</v>
      </c>
      <c r="B9" s="17" t="n">
        <v>252886</v>
      </c>
      <c r="C9" s="17" t="n">
        <v>206057</v>
      </c>
      <c r="D9" s="17" t="n">
        <v>318209</v>
      </c>
      <c r="E9" s="17" t="n">
        <v>411230</v>
      </c>
      <c r="F9" s="17" t="n">
        <v>448660</v>
      </c>
      <c r="G9" s="17" t="n">
        <v>171135</v>
      </c>
      <c r="H9" s="17" t="n">
        <v>305339</v>
      </c>
      <c r="I9" s="17" t="n">
        <v>432264</v>
      </c>
      <c r="J9" s="17" t="n">
        <v>294273</v>
      </c>
      <c r="K9" s="17" t="n">
        <v>371409</v>
      </c>
      <c r="L9" s="17" t="n">
        <v>284207</v>
      </c>
      <c r="M9" s="17" t="n">
        <v>437068</v>
      </c>
    </row>
    <row r="10" customFormat="false" ht="14.25" hidden="false" customHeight="false" outlineLevel="0" collapsed="false">
      <c r="A10" s="15" t="s">
        <v>215</v>
      </c>
      <c r="B10" s="17" t="n">
        <v>268752</v>
      </c>
      <c r="C10" s="17" t="n">
        <v>393256</v>
      </c>
      <c r="D10" s="17" t="n">
        <v>310649</v>
      </c>
      <c r="E10" s="17" t="n">
        <v>246237</v>
      </c>
      <c r="F10" s="17" t="n">
        <v>271287</v>
      </c>
      <c r="G10" s="17" t="n">
        <v>314545</v>
      </c>
      <c r="H10" s="17" t="n">
        <v>406506</v>
      </c>
      <c r="I10" s="17" t="n">
        <v>334930</v>
      </c>
      <c r="J10" s="17" t="n">
        <v>348625</v>
      </c>
      <c r="K10" s="17" t="n">
        <v>408928</v>
      </c>
      <c r="L10" s="17" t="n">
        <v>243749</v>
      </c>
      <c r="M10" s="17" t="n">
        <v>418409</v>
      </c>
    </row>
    <row r="11" customFormat="false" ht="14.25" hidden="false" customHeight="false" outlineLevel="0" collapsed="false">
      <c r="A11" s="15" t="s">
        <v>143</v>
      </c>
      <c r="B11" s="17" t="n">
        <v>384734</v>
      </c>
      <c r="C11" s="17" t="n">
        <v>156698</v>
      </c>
      <c r="D11" s="17" t="n">
        <v>283679</v>
      </c>
      <c r="E11" s="17" t="n">
        <v>276085</v>
      </c>
      <c r="F11" s="17" t="n">
        <v>409270</v>
      </c>
      <c r="G11" s="17" t="n">
        <v>285230</v>
      </c>
      <c r="H11" s="17" t="n">
        <v>304233</v>
      </c>
      <c r="I11" s="17" t="n">
        <v>178221</v>
      </c>
      <c r="J11" s="17" t="n">
        <v>284216</v>
      </c>
      <c r="K11" s="17" t="n">
        <v>287373</v>
      </c>
      <c r="L11" s="17" t="n">
        <v>229082</v>
      </c>
      <c r="M11" s="17" t="n">
        <v>298969</v>
      </c>
    </row>
    <row r="12" customFormat="false" ht="14.25" hidden="false" customHeight="false" outlineLevel="0" collapsed="false">
      <c r="A12" s="15" t="s">
        <v>284</v>
      </c>
      <c r="B12" s="17" t="n">
        <v>186029</v>
      </c>
      <c r="C12" s="17" t="n">
        <v>151419</v>
      </c>
      <c r="D12" s="17" t="n">
        <v>253251</v>
      </c>
      <c r="E12" s="17" t="n">
        <v>379757</v>
      </c>
      <c r="F12" s="17" t="n">
        <v>204209</v>
      </c>
      <c r="G12" s="17" t="n">
        <v>179396</v>
      </c>
      <c r="H12" s="17" t="n">
        <v>378008</v>
      </c>
      <c r="I12" s="17" t="n">
        <v>182649</v>
      </c>
      <c r="J12" s="17" t="n">
        <v>267772</v>
      </c>
      <c r="K12" s="17" t="n">
        <v>350352</v>
      </c>
      <c r="L12" s="17" t="n">
        <v>358042</v>
      </c>
      <c r="M12" s="17" t="n">
        <v>359960</v>
      </c>
    </row>
    <row r="13" customFormat="false" ht="14.25" hidden="false" customHeight="false" outlineLevel="0" collapsed="false">
      <c r="A13" s="15" t="s">
        <v>336</v>
      </c>
      <c r="B13" s="17" t="n">
        <v>352158</v>
      </c>
      <c r="C13" s="17" t="n">
        <v>251181</v>
      </c>
      <c r="D13" s="17" t="n">
        <v>321255</v>
      </c>
      <c r="E13" s="17" t="n">
        <v>300863</v>
      </c>
      <c r="F13" s="17" t="n">
        <v>241731</v>
      </c>
      <c r="G13" s="17" t="n">
        <v>393275</v>
      </c>
      <c r="H13" s="17" t="n">
        <v>313561</v>
      </c>
      <c r="I13" s="17" t="n">
        <v>283604</v>
      </c>
      <c r="J13" s="17" t="n">
        <v>429065</v>
      </c>
      <c r="K13" s="17" t="n">
        <v>194420</v>
      </c>
      <c r="L13" s="17" t="n">
        <v>254168</v>
      </c>
      <c r="M13" s="17" t="n">
        <v>389283</v>
      </c>
    </row>
    <row r="14" customFormat="false" ht="14.25" hidden="false" customHeight="false" outlineLevel="0" collapsed="false">
      <c r="A14" s="15" t="s">
        <v>263</v>
      </c>
      <c r="B14" s="17" t="n">
        <v>350003</v>
      </c>
      <c r="C14" s="17" t="n">
        <v>384951</v>
      </c>
      <c r="D14" s="17" t="n">
        <v>424777</v>
      </c>
      <c r="E14" s="17" t="n">
        <v>323282</v>
      </c>
      <c r="F14" s="17" t="n">
        <v>427290</v>
      </c>
      <c r="G14" s="17" t="n">
        <v>363819</v>
      </c>
      <c r="H14" s="17" t="n">
        <v>279496</v>
      </c>
      <c r="I14" s="17" t="n">
        <v>190932</v>
      </c>
      <c r="J14" s="17" t="n">
        <v>347420</v>
      </c>
      <c r="K14" s="17" t="n">
        <v>160215</v>
      </c>
      <c r="L14" s="17" t="n">
        <v>388600</v>
      </c>
      <c r="M14" s="17" t="n">
        <v>437901</v>
      </c>
    </row>
    <row r="15" customFormat="false" ht="14.25" hidden="false" customHeight="false" outlineLevel="0" collapsed="false">
      <c r="A15" s="15" t="s">
        <v>109</v>
      </c>
      <c r="B15" s="17" t="n">
        <v>307327</v>
      </c>
      <c r="C15" s="17" t="n">
        <v>377256</v>
      </c>
      <c r="D15" s="17" t="n">
        <v>236349</v>
      </c>
      <c r="E15" s="17" t="n">
        <v>321223</v>
      </c>
      <c r="F15" s="17" t="n">
        <v>268119</v>
      </c>
      <c r="G15" s="17" t="n">
        <v>294020</v>
      </c>
      <c r="H15" s="17" t="n">
        <v>312180</v>
      </c>
      <c r="I15" s="17" t="n">
        <v>390845</v>
      </c>
      <c r="J15" s="17" t="n">
        <v>432317</v>
      </c>
      <c r="K15" s="17" t="n">
        <v>277613</v>
      </c>
      <c r="L15" s="17" t="n">
        <v>373411</v>
      </c>
      <c r="M15" s="17" t="n">
        <v>214349</v>
      </c>
    </row>
    <row r="16" customFormat="false" ht="14.25" hidden="false" customHeight="false" outlineLevel="0" collapsed="false">
      <c r="A16" s="15" t="s">
        <v>199</v>
      </c>
      <c r="B16" s="17" t="n">
        <v>414207</v>
      </c>
      <c r="C16" s="17" t="n">
        <v>376391</v>
      </c>
      <c r="D16" s="17" t="n">
        <v>192739</v>
      </c>
      <c r="E16" s="17" t="n">
        <v>165892</v>
      </c>
      <c r="F16" s="17" t="n">
        <v>187659</v>
      </c>
      <c r="G16" s="17" t="n">
        <v>283837</v>
      </c>
      <c r="H16" s="17" t="n">
        <v>434871</v>
      </c>
      <c r="I16" s="17" t="n">
        <v>369518</v>
      </c>
      <c r="J16" s="17" t="n">
        <v>171986</v>
      </c>
      <c r="K16" s="17" t="n">
        <v>328460</v>
      </c>
      <c r="L16" s="17" t="n">
        <v>418857</v>
      </c>
      <c r="M16" s="17" t="n">
        <v>159947</v>
      </c>
    </row>
    <row r="17" customFormat="false" ht="14.25" hidden="false" customHeight="false" outlineLevel="0" collapsed="false">
      <c r="A17" s="15" t="s">
        <v>357</v>
      </c>
      <c r="B17" s="17" t="n">
        <v>335614</v>
      </c>
      <c r="C17" s="17" t="n">
        <v>325577</v>
      </c>
      <c r="D17" s="17" t="n">
        <v>217575</v>
      </c>
      <c r="E17" s="17" t="n">
        <v>427851</v>
      </c>
      <c r="F17" s="17" t="n">
        <v>438020</v>
      </c>
      <c r="G17" s="17" t="n">
        <v>276675</v>
      </c>
      <c r="H17" s="17" t="n">
        <v>331096</v>
      </c>
      <c r="I17" s="17" t="n">
        <v>282103</v>
      </c>
      <c r="J17" s="17" t="n">
        <v>321062</v>
      </c>
      <c r="K17" s="17" t="n">
        <v>235137</v>
      </c>
      <c r="L17" s="17" t="n">
        <v>279755</v>
      </c>
      <c r="M17" s="17" t="n">
        <v>230523</v>
      </c>
    </row>
    <row r="18" customFormat="false" ht="14.25" hidden="false" customHeight="false" outlineLevel="0" collapsed="false">
      <c r="A18" s="15" t="s">
        <v>249</v>
      </c>
      <c r="B18" s="17" t="n">
        <v>369725</v>
      </c>
      <c r="C18" s="17" t="n">
        <v>181516</v>
      </c>
      <c r="D18" s="17" t="n">
        <v>233993</v>
      </c>
      <c r="E18" s="17" t="n">
        <v>194261</v>
      </c>
      <c r="F18" s="17" t="n">
        <v>233332</v>
      </c>
      <c r="G18" s="17" t="n">
        <v>359011</v>
      </c>
      <c r="H18" s="17" t="n">
        <v>219264</v>
      </c>
      <c r="I18" s="17" t="n">
        <v>391688</v>
      </c>
      <c r="J18" s="17" t="n">
        <v>191502</v>
      </c>
      <c r="K18" s="17" t="n">
        <v>216536</v>
      </c>
      <c r="L18" s="17" t="n">
        <v>205649</v>
      </c>
      <c r="M18" s="17" t="n">
        <v>285932</v>
      </c>
    </row>
    <row r="19" customFormat="false" ht="14.25" hidden="false" customHeight="false" outlineLevel="0" collapsed="false">
      <c r="A19" s="15" t="s">
        <v>314</v>
      </c>
      <c r="B19" s="17" t="n">
        <v>257718</v>
      </c>
      <c r="C19" s="17" t="n">
        <v>413773</v>
      </c>
      <c r="D19" s="17" t="n">
        <v>202301</v>
      </c>
      <c r="E19" s="17" t="n">
        <v>257477</v>
      </c>
      <c r="F19" s="17" t="n">
        <v>372470</v>
      </c>
      <c r="G19" s="17" t="n">
        <v>371047</v>
      </c>
      <c r="H19" s="17" t="n">
        <v>169457</v>
      </c>
      <c r="I19" s="17" t="n">
        <v>202077</v>
      </c>
      <c r="J19" s="17" t="n">
        <v>406637</v>
      </c>
      <c r="K19" s="17" t="n">
        <v>255393</v>
      </c>
      <c r="L19" s="17" t="n">
        <v>158049</v>
      </c>
      <c r="M19" s="17" t="n">
        <v>317073</v>
      </c>
    </row>
    <row r="20" customFormat="false" ht="14.25" hidden="false" customHeight="false" outlineLevel="0" collapsed="false">
      <c r="A20" s="15" t="s">
        <v>132</v>
      </c>
      <c r="B20" s="17" t="n">
        <v>277098</v>
      </c>
      <c r="C20" s="17" t="n">
        <v>284984</v>
      </c>
      <c r="D20" s="17" t="n">
        <v>164922</v>
      </c>
      <c r="E20" s="17" t="n">
        <v>181579</v>
      </c>
      <c r="F20" s="17" t="n">
        <v>260717</v>
      </c>
      <c r="G20" s="17" t="n">
        <v>414136</v>
      </c>
      <c r="H20" s="17" t="n">
        <v>305447</v>
      </c>
      <c r="I20" s="17" t="n">
        <v>283691</v>
      </c>
      <c r="J20" s="17" t="n">
        <v>359591</v>
      </c>
      <c r="K20" s="17" t="n">
        <v>415531</v>
      </c>
      <c r="L20" s="17" t="n">
        <v>383485</v>
      </c>
      <c r="M20" s="17" t="n">
        <v>154976</v>
      </c>
    </row>
    <row r="21" customFormat="false" ht="14.25" hidden="false" customHeight="false" outlineLevel="0" collapsed="false">
      <c r="A21" s="15" t="s">
        <v>203</v>
      </c>
      <c r="B21" s="17" t="n">
        <v>212521</v>
      </c>
      <c r="C21" s="17" t="n">
        <v>245361</v>
      </c>
      <c r="D21" s="17" t="n">
        <v>402338</v>
      </c>
      <c r="E21" s="17" t="n">
        <v>153034</v>
      </c>
      <c r="F21" s="17" t="n">
        <v>274863</v>
      </c>
      <c r="G21" s="17" t="n">
        <v>238363</v>
      </c>
      <c r="H21" s="17" t="n">
        <v>231270</v>
      </c>
      <c r="I21" s="17" t="n">
        <v>245700</v>
      </c>
      <c r="J21" s="17" t="n">
        <v>368067</v>
      </c>
      <c r="K21" s="17" t="n">
        <v>297022</v>
      </c>
      <c r="L21" s="17" t="n">
        <v>413149</v>
      </c>
      <c r="M21" s="17" t="n">
        <v>156857</v>
      </c>
    </row>
    <row r="22" customFormat="false" ht="14.25" hidden="false" customHeight="false" outlineLevel="0" collapsed="false">
      <c r="A22" s="15" t="s">
        <v>169</v>
      </c>
      <c r="B22" s="17" t="n">
        <v>162799</v>
      </c>
      <c r="C22" s="17" t="n">
        <v>304758</v>
      </c>
      <c r="D22" s="17" t="n">
        <v>405377</v>
      </c>
      <c r="E22" s="17" t="n">
        <v>179658</v>
      </c>
      <c r="F22" s="17" t="n">
        <v>404994</v>
      </c>
      <c r="G22" s="17" t="n">
        <v>193255</v>
      </c>
      <c r="H22" s="17" t="n">
        <v>355444</v>
      </c>
      <c r="I22" s="17" t="n">
        <v>246543</v>
      </c>
      <c r="J22" s="17" t="n">
        <v>329852</v>
      </c>
      <c r="K22" s="17" t="n">
        <v>224665</v>
      </c>
      <c r="L22" s="17" t="n">
        <v>361938</v>
      </c>
      <c r="M22" s="17" t="n">
        <v>165860</v>
      </c>
    </row>
    <row r="23" customFormat="false" ht="14.25" hidden="false" customHeight="false" outlineLevel="0" collapsed="false">
      <c r="A23" s="15" t="s">
        <v>296</v>
      </c>
      <c r="B23" s="17" t="n">
        <v>356537</v>
      </c>
      <c r="C23" s="17" t="n">
        <v>448297</v>
      </c>
      <c r="D23" s="17" t="n">
        <v>156014</v>
      </c>
      <c r="E23" s="17" t="n">
        <v>157667</v>
      </c>
      <c r="F23" s="17" t="n">
        <v>172713</v>
      </c>
      <c r="G23" s="17" t="n">
        <v>196305</v>
      </c>
      <c r="H23" s="17" t="n">
        <v>442484</v>
      </c>
      <c r="I23" s="17" t="n">
        <v>293581</v>
      </c>
      <c r="J23" s="17" t="n">
        <v>280862</v>
      </c>
      <c r="K23" s="17" t="n">
        <v>340676</v>
      </c>
      <c r="L23" s="17" t="n">
        <v>343411</v>
      </c>
      <c r="M23" s="17" t="n">
        <v>437921</v>
      </c>
    </row>
    <row r="24" customFormat="false" ht="14.25" hidden="false" customHeight="false" outlineLevel="0" collapsed="false">
      <c r="A24" s="15" t="s">
        <v>165</v>
      </c>
      <c r="B24" s="17" t="n">
        <v>218099</v>
      </c>
      <c r="C24" s="17" t="n">
        <v>412956</v>
      </c>
      <c r="D24" s="17" t="n">
        <v>438770</v>
      </c>
      <c r="E24" s="17" t="n">
        <v>172679</v>
      </c>
      <c r="F24" s="17" t="n">
        <v>343868</v>
      </c>
      <c r="G24" s="17" t="n">
        <v>390384</v>
      </c>
      <c r="H24" s="17" t="n">
        <v>400933</v>
      </c>
      <c r="I24" s="17" t="n">
        <v>211614</v>
      </c>
      <c r="J24" s="17" t="n">
        <v>201857</v>
      </c>
      <c r="K24" s="17" t="n">
        <v>430835</v>
      </c>
      <c r="L24" s="17" t="n">
        <v>193076</v>
      </c>
      <c r="M24" s="17" t="n">
        <v>372598</v>
      </c>
    </row>
    <row r="25" customFormat="false" ht="14.25" hidden="false" customHeight="false" outlineLevel="0" collapsed="false">
      <c r="A25" s="15" t="s">
        <v>127</v>
      </c>
      <c r="B25" s="17" t="n">
        <v>168635</v>
      </c>
      <c r="C25" s="17" t="n">
        <v>214511</v>
      </c>
      <c r="D25" s="17" t="n">
        <v>169022</v>
      </c>
      <c r="E25" s="17" t="n">
        <v>247159</v>
      </c>
      <c r="F25" s="17" t="n">
        <v>304981</v>
      </c>
      <c r="G25" s="17" t="n">
        <v>387353</v>
      </c>
      <c r="H25" s="17" t="n">
        <v>167057</v>
      </c>
      <c r="I25" s="17" t="n">
        <v>403051</v>
      </c>
      <c r="J25" s="17" t="n">
        <v>184207</v>
      </c>
      <c r="K25" s="17" t="n">
        <v>350145</v>
      </c>
      <c r="L25" s="17" t="n">
        <v>376579</v>
      </c>
      <c r="M25" s="17" t="n">
        <v>364718</v>
      </c>
    </row>
    <row r="26" customFormat="false" ht="14.25" hidden="false" customHeight="false" outlineLevel="0" collapsed="false">
      <c r="A26" s="15" t="s">
        <v>122</v>
      </c>
      <c r="B26" s="17" t="n">
        <v>241742</v>
      </c>
      <c r="C26" s="17" t="n">
        <v>376544</v>
      </c>
      <c r="D26" s="17" t="n">
        <v>289689</v>
      </c>
      <c r="E26" s="17" t="n">
        <v>291365</v>
      </c>
      <c r="F26" s="17" t="n">
        <v>151669</v>
      </c>
      <c r="G26" s="17" t="n">
        <v>237046</v>
      </c>
      <c r="H26" s="17" t="n">
        <v>215592</v>
      </c>
      <c r="I26" s="17" t="n">
        <v>256462</v>
      </c>
      <c r="J26" s="17" t="n">
        <v>219765</v>
      </c>
      <c r="K26" s="17" t="n">
        <v>305885</v>
      </c>
      <c r="L26" s="17" t="n">
        <v>170489</v>
      </c>
      <c r="M26" s="17" t="n">
        <v>328169</v>
      </c>
    </row>
    <row r="27" customFormat="false" ht="14.25" hidden="false" customHeight="false" outlineLevel="0" collapsed="false">
      <c r="A27" s="15" t="s">
        <v>212</v>
      </c>
      <c r="B27" s="17" t="n">
        <v>206632</v>
      </c>
      <c r="C27" s="17" t="n">
        <v>418219</v>
      </c>
      <c r="D27" s="17" t="n">
        <v>218871</v>
      </c>
      <c r="E27" s="17" t="n">
        <v>424496</v>
      </c>
      <c r="F27" s="17" t="n">
        <v>269328</v>
      </c>
      <c r="G27" s="17" t="n">
        <v>261309</v>
      </c>
      <c r="H27" s="17" t="n">
        <v>244265</v>
      </c>
      <c r="I27" s="17" t="n">
        <v>228393</v>
      </c>
      <c r="J27" s="17" t="n">
        <v>410956</v>
      </c>
      <c r="K27" s="17" t="n">
        <v>314259</v>
      </c>
      <c r="L27" s="17" t="n">
        <v>297459</v>
      </c>
      <c r="M27" s="17" t="n">
        <v>251313</v>
      </c>
    </row>
    <row r="28" customFormat="false" ht="14.25" hidden="false" customHeight="false" outlineLevel="0" collapsed="false">
      <c r="A28" s="15" t="s">
        <v>354</v>
      </c>
      <c r="B28" s="17" t="n">
        <v>239781</v>
      </c>
      <c r="C28" s="17" t="n">
        <v>430605</v>
      </c>
      <c r="D28" s="17" t="n">
        <v>190908</v>
      </c>
      <c r="E28" s="17" t="n">
        <v>229129</v>
      </c>
      <c r="F28" s="17" t="n">
        <v>196262</v>
      </c>
      <c r="G28" s="17" t="n">
        <v>377844</v>
      </c>
      <c r="H28" s="17" t="n">
        <v>293147</v>
      </c>
      <c r="I28" s="17" t="n">
        <v>370985</v>
      </c>
      <c r="J28" s="17" t="n">
        <v>420128</v>
      </c>
      <c r="K28" s="17" t="n">
        <v>433140</v>
      </c>
      <c r="L28" s="17" t="n">
        <v>408093</v>
      </c>
      <c r="M28" s="17" t="n">
        <v>255969</v>
      </c>
    </row>
    <row r="29" customFormat="false" ht="14.25" hidden="false" customHeight="false" outlineLevel="0" collapsed="false">
      <c r="A29" s="15" t="s">
        <v>139</v>
      </c>
      <c r="B29" s="17" t="n">
        <v>426872</v>
      </c>
      <c r="C29" s="17" t="n">
        <v>171719</v>
      </c>
      <c r="D29" s="17" t="n">
        <v>169701</v>
      </c>
      <c r="E29" s="17" t="n">
        <v>347987</v>
      </c>
      <c r="F29" s="17" t="n">
        <v>216195</v>
      </c>
      <c r="G29" s="17" t="n">
        <v>412271</v>
      </c>
      <c r="H29" s="17" t="n">
        <v>416393</v>
      </c>
      <c r="I29" s="17" t="n">
        <v>353569</v>
      </c>
      <c r="J29" s="17" t="n">
        <v>323287</v>
      </c>
      <c r="K29" s="17" t="n">
        <v>301789</v>
      </c>
      <c r="L29" s="17" t="n">
        <v>208839</v>
      </c>
      <c r="M29" s="17" t="n">
        <v>369454</v>
      </c>
    </row>
    <row r="30" customFormat="false" ht="14.25" hidden="false" customHeight="false" outlineLevel="0" collapsed="false">
      <c r="A30" s="15" t="s">
        <v>240</v>
      </c>
      <c r="B30" s="17" t="n">
        <v>233369</v>
      </c>
      <c r="C30" s="17" t="n">
        <v>371909</v>
      </c>
      <c r="D30" s="17" t="n">
        <v>355248</v>
      </c>
      <c r="E30" s="17" t="n">
        <v>156409</v>
      </c>
      <c r="F30" s="17" t="n">
        <v>308725</v>
      </c>
      <c r="G30" s="17" t="n">
        <v>192883</v>
      </c>
      <c r="H30" s="17" t="n">
        <v>180902</v>
      </c>
      <c r="I30" s="17" t="n">
        <v>168654</v>
      </c>
      <c r="J30" s="17" t="n">
        <v>256191</v>
      </c>
      <c r="K30" s="17" t="n">
        <v>320737</v>
      </c>
      <c r="L30" s="17" t="n">
        <v>430108</v>
      </c>
      <c r="M30" s="17" t="n">
        <v>307413</v>
      </c>
    </row>
    <row r="31" customFormat="false" ht="14.25" hidden="false" customHeight="false" outlineLevel="0" collapsed="false">
      <c r="A31" s="15" t="s">
        <v>181</v>
      </c>
      <c r="B31" s="17" t="n">
        <v>151584</v>
      </c>
      <c r="C31" s="17" t="n">
        <v>221679</v>
      </c>
      <c r="D31" s="17" t="n">
        <v>385157</v>
      </c>
      <c r="E31" s="17" t="n">
        <v>290386</v>
      </c>
      <c r="F31" s="17" t="n">
        <v>236041</v>
      </c>
      <c r="G31" s="17" t="n">
        <v>407985</v>
      </c>
      <c r="H31" s="17" t="n">
        <v>184446</v>
      </c>
      <c r="I31" s="17" t="n">
        <v>342894</v>
      </c>
      <c r="J31" s="17" t="n">
        <v>180344</v>
      </c>
      <c r="K31" s="17" t="n">
        <v>292917</v>
      </c>
      <c r="L31" s="17" t="n">
        <v>314858</v>
      </c>
      <c r="M31" s="17" t="n">
        <v>364057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7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9.74"/>
  </cols>
  <sheetData>
    <row r="1" customFormat="false" ht="30" hidden="false" customHeight="true" outlineLevel="0" collapsed="false">
      <c r="A1" s="19" t="s">
        <v>2909</v>
      </c>
      <c r="B1" s="19"/>
      <c r="C1" s="19"/>
      <c r="D1" s="19"/>
      <c r="E1" s="19"/>
      <c r="F1" s="19"/>
    </row>
    <row r="2" customFormat="false" ht="14.25" hidden="false" customHeight="false" outlineLevel="0" collapsed="false">
      <c r="A2" s="20" t="s">
        <v>2910</v>
      </c>
      <c r="B2" s="20"/>
      <c r="C2" s="20"/>
      <c r="D2" s="20"/>
      <c r="E2" s="20"/>
      <c r="F2" s="20"/>
    </row>
    <row r="3" customFormat="false" ht="14.25" hidden="false" customHeight="false" outlineLevel="0" collapsed="false">
      <c r="A3" s="21"/>
      <c r="B3" s="21"/>
      <c r="C3" s="21"/>
      <c r="D3" s="21"/>
      <c r="E3" s="21"/>
      <c r="F3" s="21"/>
    </row>
    <row r="4" customFormat="false" ht="24" hidden="false" customHeight="true" outlineLevel="0" collapsed="false">
      <c r="A4" s="22" t="s">
        <v>2911</v>
      </c>
      <c r="B4" s="22" t="s">
        <v>2912</v>
      </c>
      <c r="C4" s="22" t="s">
        <v>21</v>
      </c>
      <c r="D4" s="22" t="s">
        <v>2913</v>
      </c>
      <c r="E4" s="22" t="s">
        <v>2914</v>
      </c>
      <c r="F4" s="22" t="s">
        <v>2915</v>
      </c>
    </row>
    <row r="5" customFormat="false" ht="42" hidden="false" customHeight="true" outlineLevel="0" collapsed="false">
      <c r="A5" s="23" t="s">
        <v>2916</v>
      </c>
      <c r="B5" s="24" t="s">
        <v>2917</v>
      </c>
      <c r="C5" s="25" t="n">
        <v>3</v>
      </c>
      <c r="D5" s="26" t="s">
        <v>2918</v>
      </c>
      <c r="E5" s="27" t="str">
        <f aca="false">VLOOKUP("ORD-00234",Orders!$A:$K,3,FALSE())</f>
        <v>CUST-0173</v>
      </c>
      <c r="F5" s="28" t="s">
        <v>2919</v>
      </c>
    </row>
    <row r="6" customFormat="false" ht="42" hidden="false" customHeight="true" outlineLevel="0" collapsed="false">
      <c r="A6" s="23" t="s">
        <v>2920</v>
      </c>
      <c r="B6" s="24" t="s">
        <v>2921</v>
      </c>
      <c r="C6" s="25" t="n">
        <v>3</v>
      </c>
      <c r="D6" s="26" t="s">
        <v>2922</v>
      </c>
      <c r="E6" s="27" t="str">
        <f aca="false">VLOOKUP(VLOOKUP("ORD-00456",Orders!$A:$K,4,FALSE()),Products!$A:$F,2,FALSE())</f>
        <v>Dumbbells 5kg</v>
      </c>
      <c r="F6" s="28" t="s">
        <v>2923</v>
      </c>
    </row>
    <row r="7" customFormat="false" ht="42" hidden="false" customHeight="true" outlineLevel="0" collapsed="false">
      <c r="A7" s="23" t="s">
        <v>2924</v>
      </c>
      <c r="B7" s="24" t="s">
        <v>2925</v>
      </c>
      <c r="C7" s="25" t="n">
        <v>3</v>
      </c>
      <c r="D7" s="26" t="s">
        <v>2926</v>
      </c>
      <c r="E7" s="27" t="str">
        <f aca="false">INDEX(Sales_Reps!$B:$B,MATCH(INDEX(Orders!$E:$E,MATCH("ORD-00987",Orders!$A:$A,0)),Sales_Reps!$A:$A,0))</f>
        <v>Nisha Menon</v>
      </c>
      <c r="F7" s="28" t="s">
        <v>2923</v>
      </c>
    </row>
    <row r="8" customFormat="false" ht="42" hidden="false" customHeight="true" outlineLevel="0" collapsed="false">
      <c r="A8" s="23" t="s">
        <v>2927</v>
      </c>
      <c r="B8" s="24" t="s">
        <v>2928</v>
      </c>
      <c r="C8" s="25" t="n">
        <v>4</v>
      </c>
      <c r="D8" s="26" t="s">
        <v>2929</v>
      </c>
      <c r="E8" s="29" t="n">
        <f aca="false">INDEX(Targets!$B$2:$M$31,MATCH("R012",Targets!$A$2:$A$31,0),MATCH("Mar-24",Targets!$B$1:$M$1,0))</f>
        <v>321255</v>
      </c>
      <c r="F8" s="28" t="s">
        <v>2930</v>
      </c>
    </row>
    <row r="9" customFormat="false" ht="42" hidden="false" customHeight="true" outlineLevel="0" collapsed="false">
      <c r="A9" s="23" t="s">
        <v>2931</v>
      </c>
      <c r="B9" s="24" t="s">
        <v>2932</v>
      </c>
      <c r="C9" s="25" t="n">
        <v>4</v>
      </c>
      <c r="D9" s="26" t="s">
        <v>2933</v>
      </c>
      <c r="E9" s="27" t="str">
        <f aca="false">VLOOKUP(VLOOKUP("ORD-01500",Orders!$A:$K,4,FALSE()),Products!$A:$F,3,FALSE())</f>
        <v>Electronics</v>
      </c>
      <c r="F9" s="28" t="s">
        <v>2923</v>
      </c>
    </row>
    <row r="10" customFormat="false" ht="42" hidden="false" customHeight="true" outlineLevel="0" collapsed="false">
      <c r="A10" s="23" t="s">
        <v>2934</v>
      </c>
      <c r="B10" s="24" t="s">
        <v>2935</v>
      </c>
      <c r="C10" s="25" t="n">
        <v>3</v>
      </c>
      <c r="D10" s="26" t="s">
        <v>2936</v>
      </c>
      <c r="E10" s="27" t="str">
        <f aca="false">VLOOKUP(VLOOKUP("ORD-00789",Orders!$A:$K,8,FALSE()),$B$18:$C$21,2,TRUE())</f>
        <v>Bronze</v>
      </c>
      <c r="F10" s="28" t="s">
        <v>2923</v>
      </c>
    </row>
    <row r="11" customFormat="false" ht="42" hidden="false" customHeight="true" outlineLevel="0" collapsed="false">
      <c r="A11" s="23" t="s">
        <v>2937</v>
      </c>
      <c r="B11" s="24" t="s">
        <v>2938</v>
      </c>
      <c r="C11" s="25" t="n">
        <v>3</v>
      </c>
      <c r="D11" s="26" t="s">
        <v>2939</v>
      </c>
      <c r="E11" s="27" t="str">
        <f aca="false">INDEX(Sales_Reps!$B:$B,MATCH(INDEX(Orders!$E:$E,MATCH("ORD-01234",Orders!$A:$A,0)),Sales_Reps!$A:$A,0))&amp;" ("&amp;INDEX(Sales_Reps!$C:$C,MATCH(INDEX(Orders!$E:$E,MATCH("ORD-01234",Orders!$A:$A,0)),Sales_Reps!$A:$A,0))&amp;")"</f>
        <v>Sanjay Kapoor (South)</v>
      </c>
      <c r="F11" s="28" t="s">
        <v>2923</v>
      </c>
    </row>
    <row r="12" customFormat="false" ht="42" hidden="false" customHeight="true" outlineLevel="0" collapsed="false">
      <c r="A12" s="23" t="s">
        <v>2940</v>
      </c>
      <c r="B12" s="24" t="s">
        <v>2941</v>
      </c>
      <c r="C12" s="25" t="n">
        <v>2</v>
      </c>
      <c r="D12" s="26" t="s">
        <v>2942</v>
      </c>
      <c r="E12" s="27" t="str">
        <f aca="false">INDEX(Sales_Reps!$B:$B,MATCH(INDEX(Sales_Reps!$E:$E,MATCH("R017",Sales_Reps!$A:$A,0)),Sales_Reps!$A:$A,0))</f>
        <v>Amit Singh</v>
      </c>
      <c r="F12" s="28" t="s">
        <v>2923</v>
      </c>
    </row>
    <row r="15" customFormat="false" ht="14.25" hidden="false" customHeight="false" outlineLevel="0" collapsed="false">
      <c r="B15" s="30" t="s">
        <v>2943</v>
      </c>
    </row>
    <row r="17" customFormat="false" ht="14.25" hidden="false" customHeight="false" outlineLevel="0" collapsed="false">
      <c r="B17" s="31" t="s">
        <v>2944</v>
      </c>
      <c r="C17" s="31" t="s">
        <v>2945</v>
      </c>
    </row>
    <row r="18" customFormat="false" ht="14.25" hidden="false" customHeight="false" outlineLevel="0" collapsed="false">
      <c r="B18" s="32" t="n">
        <v>0</v>
      </c>
      <c r="C18" s="32" t="s">
        <v>2946</v>
      </c>
    </row>
    <row r="19" customFormat="false" ht="14.25" hidden="false" customHeight="false" outlineLevel="0" collapsed="false">
      <c r="B19" s="32" t="n">
        <v>5</v>
      </c>
      <c r="C19" s="32" t="s">
        <v>2947</v>
      </c>
    </row>
    <row r="20" customFormat="false" ht="14.25" hidden="false" customHeight="false" outlineLevel="0" collapsed="false">
      <c r="B20" s="32" t="n">
        <v>15</v>
      </c>
      <c r="C20" s="32" t="s">
        <v>2948</v>
      </c>
    </row>
    <row r="21" customFormat="false" ht="14.25" hidden="false" customHeight="false" outlineLevel="0" collapsed="false">
      <c r="B21" s="32" t="n">
        <v>25</v>
      </c>
      <c r="C21" s="32" t="s">
        <v>2949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9" t="s">
        <v>2950</v>
      </c>
      <c r="B1" s="19"/>
      <c r="C1" s="19"/>
      <c r="D1" s="19"/>
      <c r="E1" s="19"/>
      <c r="F1" s="19"/>
    </row>
    <row r="2" customFormat="false" ht="14.25" hidden="false" customHeight="false" outlineLevel="0" collapsed="false">
      <c r="A2" s="20" t="s">
        <v>2951</v>
      </c>
      <c r="B2" s="20"/>
      <c r="C2" s="20"/>
      <c r="D2" s="20"/>
      <c r="E2" s="20"/>
      <c r="F2" s="20"/>
    </row>
    <row r="3" customFormat="false" ht="14.25" hidden="false" customHeight="false" outlineLevel="0" collapsed="false">
      <c r="A3" s="21"/>
      <c r="B3" s="21"/>
      <c r="C3" s="21"/>
      <c r="D3" s="21"/>
      <c r="E3" s="21"/>
      <c r="F3" s="21"/>
    </row>
    <row r="4" customFormat="false" ht="24" hidden="false" customHeight="true" outlineLevel="0" collapsed="false">
      <c r="A4" s="22" t="s">
        <v>2911</v>
      </c>
      <c r="B4" s="22" t="s">
        <v>2912</v>
      </c>
      <c r="C4" s="22" t="s">
        <v>21</v>
      </c>
      <c r="D4" s="22" t="s">
        <v>2913</v>
      </c>
      <c r="E4" s="22" t="s">
        <v>2914</v>
      </c>
      <c r="F4" s="22" t="s">
        <v>2915</v>
      </c>
    </row>
    <row r="5" customFormat="false" ht="42" hidden="false" customHeight="true" outlineLevel="0" collapsed="false">
      <c r="A5" s="23" t="s">
        <v>2952</v>
      </c>
      <c r="B5" s="24" t="s">
        <v>2953</v>
      </c>
      <c r="C5" s="25" t="n">
        <v>3</v>
      </c>
      <c r="D5" s="26" t="s">
        <v>2954</v>
      </c>
      <c r="E5" s="33" t="n">
        <f aca="false">SUMPRODUCT((COUNTIF(Orders!$A$2:$A$2001,Orders!$A$2:$A$2001)&gt;1)/COUNTIF(Orders!$A$2:$A$2001,Orders!$A$2:$A$2001))</f>
        <v>20</v>
      </c>
      <c r="F5" s="28" t="s">
        <v>2930</v>
      </c>
    </row>
    <row r="6" customFormat="false" ht="42" hidden="false" customHeight="true" outlineLevel="0" collapsed="false">
      <c r="A6" s="23" t="s">
        <v>2955</v>
      </c>
      <c r="B6" s="24" t="s">
        <v>2956</v>
      </c>
      <c r="C6" s="25" t="n">
        <v>3</v>
      </c>
      <c r="D6" s="26" t="s">
        <v>2957</v>
      </c>
      <c r="E6" s="33" t="n">
        <f aca="false">SUMPRODUCT(--(LEN(Customers!$B$2:$B$301)&lt;&gt;LEN(TRIM(Customers!$B$2:$B$301))))</f>
        <v>15</v>
      </c>
      <c r="F6" s="28" t="s">
        <v>2930</v>
      </c>
    </row>
    <row r="7" customFormat="false" ht="42" hidden="false" customHeight="true" outlineLevel="0" collapsed="false">
      <c r="A7" s="23" t="s">
        <v>2958</v>
      </c>
      <c r="B7" s="24" t="s">
        <v>2959</v>
      </c>
      <c r="C7" s="25" t="n">
        <v>3</v>
      </c>
      <c r="D7" s="26" t="s">
        <v>2960</v>
      </c>
      <c r="E7" s="33" t="n">
        <f aca="false">SUMPRODUCT(1/COUNTIF(Customers!$D$2:$D$301,TRIM(Customers!$D$2:$D$301)))</f>
        <v>6</v>
      </c>
      <c r="F7" s="28" t="s">
        <v>2930</v>
      </c>
    </row>
    <row r="8" customFormat="false" ht="42" hidden="false" customHeight="true" outlineLevel="0" collapsed="false">
      <c r="A8" s="23" t="s">
        <v>2961</v>
      </c>
      <c r="B8" s="24" t="s">
        <v>2962</v>
      </c>
      <c r="C8" s="25" t="n">
        <v>4</v>
      </c>
      <c r="D8" s="26" t="s">
        <v>2963</v>
      </c>
      <c r="E8" s="33" t="n">
        <f aca="false">SUMPRODUCT(--ISNA(MATCH(Orders!$C$2:$C$2001,Customers!$A$2:$A$301,0)))</f>
        <v>30</v>
      </c>
      <c r="F8" s="28" t="s">
        <v>2930</v>
      </c>
    </row>
    <row r="9" customFormat="false" ht="42" hidden="false" customHeight="true" outlineLevel="0" collapsed="false">
      <c r="A9" s="23" t="s">
        <v>2964</v>
      </c>
      <c r="B9" s="24" t="s">
        <v>2965</v>
      </c>
      <c r="C9" s="25" t="n">
        <v>3</v>
      </c>
      <c r="D9" s="26" t="s">
        <v>2966</v>
      </c>
      <c r="E9" s="33" t="n">
        <f aca="false">SUMPRODUCT(COUNTIF(Orders!$D$2:$D$2001,Products!$A$2:$A$61)*(Products!$F$2:$F$61=FALSE()))</f>
        <v>174</v>
      </c>
      <c r="F9" s="28" t="s">
        <v>2930</v>
      </c>
    </row>
    <row r="10" customFormat="false" ht="42" hidden="false" customHeight="true" outlineLevel="0" collapsed="false">
      <c r="A10" s="23" t="s">
        <v>2967</v>
      </c>
      <c r="B10" s="24" t="s">
        <v>2968</v>
      </c>
      <c r="C10" s="25" t="n">
        <v>4</v>
      </c>
      <c r="D10" s="26" t="s">
        <v>2969</v>
      </c>
      <c r="E10" s="33" t="n">
        <f aca="false">COUNTIFS(Orders!$J$2:$J$2001,"Cancelled",Orders!$H$2:$H$2001,"&gt;20")</f>
        <v>58</v>
      </c>
      <c r="F10" s="28" t="s">
        <v>2930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30" hidden="false" customHeight="true" outlineLevel="0" collapsed="false">
      <c r="A1" s="34" t="s">
        <v>2970</v>
      </c>
      <c r="B1" s="34"/>
      <c r="C1" s="34"/>
      <c r="D1" s="34"/>
      <c r="E1" s="34"/>
      <c r="F1" s="34"/>
    </row>
    <row r="2" customFormat="false" ht="14.25" hidden="false" customHeight="false" outlineLevel="0" collapsed="false">
      <c r="A2" s="20" t="s">
        <v>2971</v>
      </c>
      <c r="B2" s="20"/>
      <c r="C2" s="20"/>
      <c r="D2" s="20"/>
      <c r="E2" s="20"/>
      <c r="F2" s="20"/>
    </row>
    <row r="3" customFormat="false" ht="14.25" hidden="false" customHeight="false" outlineLevel="0" collapsed="false">
      <c r="A3" s="21"/>
      <c r="B3" s="21"/>
      <c r="C3" s="21"/>
      <c r="D3" s="21"/>
      <c r="E3" s="21"/>
      <c r="F3" s="21"/>
    </row>
    <row r="4" customFormat="false" ht="24" hidden="false" customHeight="true" outlineLevel="0" collapsed="false">
      <c r="A4" s="22" t="s">
        <v>2911</v>
      </c>
      <c r="B4" s="22" t="s">
        <v>2912</v>
      </c>
      <c r="C4" s="22" t="s">
        <v>21</v>
      </c>
      <c r="D4" s="22" t="s">
        <v>2913</v>
      </c>
      <c r="E4" s="22" t="s">
        <v>2914</v>
      </c>
      <c r="F4" s="22" t="s">
        <v>2915</v>
      </c>
    </row>
    <row r="5" customFormat="false" ht="42" hidden="false" customHeight="true" outlineLevel="0" collapsed="false">
      <c r="A5" s="23" t="s">
        <v>2972</v>
      </c>
      <c r="B5" s="24" t="s">
        <v>2973</v>
      </c>
      <c r="C5" s="25" t="n">
        <v>4</v>
      </c>
      <c r="D5" s="26" t="s">
        <v>2974</v>
      </c>
      <c r="E5" s="35" t="n">
        <f aca="false">SUMIFS(Orders!$I$2:$I$2001,Orders!$B$2:$B$2001,"&gt;="&amp;DATE(2024,7,1),Orders!$B$2:$B$2001,"&lt;"&amp;DATE(2024,10,1),Helper!$B$2:$B$2001,"Mumbai")</f>
        <v>1217239.01</v>
      </c>
      <c r="F5" s="28" t="s">
        <v>2975</v>
      </c>
    </row>
    <row r="6" customFormat="false" ht="42" hidden="false" customHeight="true" outlineLevel="0" collapsed="false">
      <c r="A6" s="23" t="s">
        <v>2976</v>
      </c>
      <c r="B6" s="24" t="s">
        <v>2977</v>
      </c>
      <c r="C6" s="25" t="n">
        <v>3</v>
      </c>
      <c r="D6" s="26" t="s">
        <v>2978</v>
      </c>
      <c r="E6" s="33" t="n">
        <f aca="false">COUNTIFS(Orders!$H$2:$H$2001,"&gt;15",Orders!$J$2:$J$2001,"Completed")</f>
        <v>723</v>
      </c>
      <c r="F6" s="28" t="s">
        <v>2930</v>
      </c>
    </row>
    <row r="7" customFormat="false" ht="42" hidden="false" customHeight="true" outlineLevel="0" collapsed="false">
      <c r="A7" s="23" t="s">
        <v>2979</v>
      </c>
      <c r="B7" s="24" t="s">
        <v>2980</v>
      </c>
      <c r="C7" s="25" t="n">
        <v>5</v>
      </c>
      <c r="D7" s="26" t="s">
        <v>2981</v>
      </c>
      <c r="E7" s="35" t="n">
        <f aca="false">AVERAGEIFS(Orders!$I$2:$I$2001,Helper!$C$2:$C$2001,"Electronics",Helper!$D$2:$D$2001,"Corporate")</f>
        <v>13981.4015584416</v>
      </c>
      <c r="F7" s="28" t="s">
        <v>2975</v>
      </c>
    </row>
    <row r="8" customFormat="false" ht="42" hidden="false" customHeight="true" outlineLevel="0" collapsed="false">
      <c r="A8" s="23" t="s">
        <v>2982</v>
      </c>
      <c r="B8" s="24" t="s">
        <v>2983</v>
      </c>
      <c r="C8" s="25" t="n">
        <v>4</v>
      </c>
      <c r="D8" s="26" t="s">
        <v>2984</v>
      </c>
      <c r="E8" s="35" t="n">
        <f aca="false">SUMPRODUCT(LARGE(Helper!$L$2:$L$31,{1,2,3}))</f>
        <v>3342678.55</v>
      </c>
      <c r="F8" s="28" t="s">
        <v>2975</v>
      </c>
    </row>
    <row r="9" customFormat="false" ht="42" hidden="false" customHeight="true" outlineLevel="0" collapsed="false">
      <c r="A9" s="23" t="s">
        <v>2985</v>
      </c>
      <c r="B9" s="24" t="s">
        <v>2986</v>
      </c>
      <c r="C9" s="25" t="n">
        <v>5</v>
      </c>
      <c r="D9" s="26" t="s">
        <v>2987</v>
      </c>
      <c r="E9" s="27" t="str">
        <f aca="false">IF(SUMIFS(Orders!$I$2:$I$2001,Orders!$E$2:$E$2001,"R015",Orders!$B$2:$B$2001,"&gt;="&amp;DATE(2024,11,1),Orders!$B$2:$B$2001,"&lt;"&amp;DATE(2024,12,1))/INDEX(Targets!$B$2:$M$31,MATCH("R015",Targets!$A$2:$A$31,0),MATCH("Nov-24",Targets!$B$1:$M$1,0))&lt;0.8,"Below",IF(SUMIFS(Orders!$I$2:$I$2001,Orders!$E$2:$E$2001,"R015",Orders!$B$2:$B$2001,"&gt;="&amp;DATE(2024,11,1),Orders!$B$2:$B$2001,"&lt;"&amp;DATE(2024,12,1))/INDEX(Targets!$B$2:$M$31,MATCH("R015",Targets!$A$2:$A$31,0),MATCH("Nov-24",Targets!$B$1:$M$1,0))&lt;=1.2,"On Track","Exceeds"))</f>
        <v>Below</v>
      </c>
      <c r="F9" s="28" t="s">
        <v>2923</v>
      </c>
    </row>
    <row r="10" customFormat="false" ht="42" hidden="false" customHeight="true" outlineLevel="0" collapsed="false">
      <c r="A10" s="23" t="s">
        <v>2988</v>
      </c>
      <c r="B10" s="24" t="s">
        <v>2989</v>
      </c>
      <c r="C10" s="25" t="n">
        <v>4</v>
      </c>
      <c r="D10" s="26" t="s">
        <v>2990</v>
      </c>
      <c r="E10" s="35" t="n">
        <f aca="false">SUMIFS(Orders!$I$2:$I$2001,Helper!$D$2:$D$2001,"Corporate",Helper!$E$2:$E$2001,"&gt;=30",Helper!$E$2:$E$2001,"&lt;=40")</f>
        <v>982568.4</v>
      </c>
      <c r="F10" s="28" t="s">
        <v>2975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30" hidden="false" customHeight="true" outlineLevel="0" collapsed="false">
      <c r="A1" s="34" t="s">
        <v>2991</v>
      </c>
      <c r="B1" s="34"/>
      <c r="C1" s="34"/>
      <c r="D1" s="34"/>
      <c r="E1" s="34"/>
      <c r="F1" s="34"/>
    </row>
    <row r="2" customFormat="false" ht="14.25" hidden="false" customHeight="false" outlineLevel="0" collapsed="false">
      <c r="A2" s="36" t="s">
        <v>2992</v>
      </c>
      <c r="B2" s="36"/>
      <c r="C2" s="36"/>
      <c r="D2" s="36"/>
      <c r="E2" s="36"/>
      <c r="F2" s="36"/>
    </row>
    <row r="4" customFormat="false" ht="24" hidden="false" customHeight="true" outlineLevel="0" collapsed="false">
      <c r="A4" s="7" t="s">
        <v>2911</v>
      </c>
      <c r="B4" s="7" t="s">
        <v>2912</v>
      </c>
      <c r="C4" s="7" t="s">
        <v>21</v>
      </c>
      <c r="D4" s="7" t="s">
        <v>2913</v>
      </c>
      <c r="E4" s="7" t="s">
        <v>2914</v>
      </c>
      <c r="F4" s="7" t="s">
        <v>2915</v>
      </c>
    </row>
    <row r="5" customFormat="false" ht="42" hidden="false" customHeight="true" outlineLevel="0" collapsed="false">
      <c r="A5" s="37" t="s">
        <v>2993</v>
      </c>
      <c r="B5" s="38" t="s">
        <v>2994</v>
      </c>
      <c r="C5" s="39" t="n">
        <v>4</v>
      </c>
      <c r="D5" s="40" t="s">
        <v>2995</v>
      </c>
      <c r="E5" s="41" t="n">
        <f aca="false">SUMIFS(Orders!$I$2:$I$2001,Helper!$F$2:$F$2001,"South",Helper!$C$2:$C$2001,"Electronics")</f>
        <v>1314107.39</v>
      </c>
      <c r="F5" s="42" t="s">
        <v>2975</v>
      </c>
    </row>
    <row r="6" customFormat="false" ht="42" hidden="false" customHeight="true" outlineLevel="0" collapsed="false">
      <c r="A6" s="37" t="s">
        <v>2996</v>
      </c>
      <c r="B6" s="38" t="s">
        <v>2997</v>
      </c>
      <c r="C6" s="39" t="n">
        <v>4</v>
      </c>
      <c r="D6" s="40" t="s">
        <v>2998</v>
      </c>
      <c r="E6" s="41" t="n">
        <f aca="false">MAX(Helper!$W$2:$AZ$13)</f>
        <v>216421.52</v>
      </c>
      <c r="F6" s="42" t="s">
        <v>2975</v>
      </c>
    </row>
    <row r="7" customFormat="false" ht="42" hidden="false" customHeight="true" outlineLevel="0" collapsed="false">
      <c r="A7" s="37" t="s">
        <v>2999</v>
      </c>
      <c r="B7" s="38" t="s">
        <v>3000</v>
      </c>
      <c r="C7" s="39" t="n">
        <v>4</v>
      </c>
      <c r="D7" s="40" t="s">
        <v>3001</v>
      </c>
      <c r="E7" s="43" t="n">
        <f aca="false">SUMIFS(Orders!$I$2:$I$2001,Helper!$F$2:$F$2001,"North",Helper!$C$2:$C$2001,"Apparel")/SUMIFS(Orders!$I$2:$I$2001,Helper!$F$2:$F$2001,"North")</f>
        <v>0.140231504719883</v>
      </c>
      <c r="F7" s="42" t="s">
        <v>3002</v>
      </c>
    </row>
    <row r="8" customFormat="false" ht="42" hidden="false" customHeight="true" outlineLevel="0" collapsed="false">
      <c r="A8" s="37" t="s">
        <v>3003</v>
      </c>
      <c r="B8" s="38" t="s">
        <v>3004</v>
      </c>
      <c r="C8" s="39" t="n">
        <v>4</v>
      </c>
      <c r="D8" s="40" t="s">
        <v>3005</v>
      </c>
      <c r="E8" s="41" t="n">
        <f aca="false">SUMIFS(Orders!$I$2:$I$2001,Orders!$B$2:$B$2001,"&gt;="&amp;DATE(2024,10,1),Orders!$B$2:$B$2001,"&lt;"&amp;DATE(2025,1,1))</f>
        <v>6459442.98</v>
      </c>
      <c r="F8" s="42" t="s">
        <v>2975</v>
      </c>
    </row>
    <row r="9" customFormat="false" ht="42" hidden="false" customHeight="true" outlineLevel="0" collapsed="false">
      <c r="A9" s="37" t="s">
        <v>3006</v>
      </c>
      <c r="B9" s="38" t="s">
        <v>3007</v>
      </c>
      <c r="C9" s="39" t="n">
        <v>4</v>
      </c>
      <c r="D9" s="40" t="s">
        <v>3008</v>
      </c>
      <c r="E9" s="43" t="n">
        <f aca="false">AVERAGEIFS(Helper!$H$2:$H$2001,Helper!$B$2:$B$2001,"Delhi")</f>
        <v>0.449038645378162</v>
      </c>
      <c r="F9" s="42" t="s">
        <v>3002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9" activeCellId="0" sqref="F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30" hidden="false" customHeight="true" outlineLevel="0" collapsed="false">
      <c r="A1" s="34" t="s">
        <v>3009</v>
      </c>
      <c r="B1" s="34"/>
      <c r="C1" s="34"/>
      <c r="D1" s="34"/>
      <c r="E1" s="34"/>
      <c r="F1" s="34"/>
    </row>
    <row r="2" customFormat="false" ht="14.25" hidden="false" customHeight="false" outlineLevel="0" collapsed="false">
      <c r="A2" s="36" t="s">
        <v>3010</v>
      </c>
      <c r="B2" s="36"/>
      <c r="C2" s="36"/>
      <c r="D2" s="36"/>
      <c r="E2" s="36"/>
      <c r="F2" s="36"/>
    </row>
    <row r="4" customFormat="false" ht="24" hidden="false" customHeight="true" outlineLevel="0" collapsed="false">
      <c r="A4" s="7" t="s">
        <v>2911</v>
      </c>
      <c r="B4" s="7" t="s">
        <v>2912</v>
      </c>
      <c r="C4" s="7" t="s">
        <v>21</v>
      </c>
      <c r="D4" s="7" t="s">
        <v>2913</v>
      </c>
      <c r="E4" s="7" t="s">
        <v>2914</v>
      </c>
      <c r="F4" s="7" t="s">
        <v>2915</v>
      </c>
    </row>
    <row r="5" customFormat="false" ht="42" hidden="false" customHeight="true" outlineLevel="0" collapsed="false">
      <c r="A5" s="37" t="s">
        <v>3011</v>
      </c>
      <c r="B5" s="38" t="s">
        <v>3012</v>
      </c>
      <c r="C5" s="39" t="n">
        <v>2</v>
      </c>
      <c r="D5" s="40" t="s">
        <v>3013</v>
      </c>
      <c r="E5" s="44" t="str">
        <f aca="false">INDEX(Helper!$K$2:$K$31,MATCH(7,Helper!$M$2:$M$31,0))</f>
        <v>Amit Singh</v>
      </c>
      <c r="F5" s="42" t="s">
        <v>2923</v>
      </c>
    </row>
    <row r="6" customFormat="false" ht="42" hidden="false" customHeight="true" outlineLevel="0" collapsed="false">
      <c r="A6" s="37" t="s">
        <v>3014</v>
      </c>
      <c r="B6" s="38" t="s">
        <v>3015</v>
      </c>
      <c r="C6" s="39" t="n">
        <v>2</v>
      </c>
      <c r="D6" s="40" t="s">
        <v>3016</v>
      </c>
      <c r="E6" s="41" t="n">
        <f aca="false">SUMIFS(Orders!$I$2:$I$2001,Orders!$B$2:$B$2001,"&lt;"&amp;DATE(2024,9,1))</f>
        <v>18050689.6</v>
      </c>
      <c r="F6" s="42" t="s">
        <v>2975</v>
      </c>
    </row>
    <row r="7" customFormat="false" ht="42" hidden="false" customHeight="true" outlineLevel="0" collapsed="false">
      <c r="A7" s="37" t="s">
        <v>3017</v>
      </c>
      <c r="B7" s="38" t="s">
        <v>3018</v>
      </c>
      <c r="C7" s="39" t="n">
        <v>3</v>
      </c>
      <c r="D7" s="40" t="s">
        <v>3019</v>
      </c>
      <c r="E7" s="44" t="str">
        <f aca="false">INDEX(Helper!$S$2:$S$61,MATCH(LARGE(Helper!$T$2:$T$61,2),Helper!$T$2:$T$61,0))</f>
        <v>Smart Watch</v>
      </c>
      <c r="F7" s="42" t="s">
        <v>2923</v>
      </c>
    </row>
    <row r="8" customFormat="false" ht="42" hidden="false" customHeight="true" outlineLevel="0" collapsed="false">
      <c r="A8" s="37" t="s">
        <v>3020</v>
      </c>
      <c r="B8" s="38" t="s">
        <v>3021</v>
      </c>
      <c r="C8" s="39" t="n">
        <v>2</v>
      </c>
      <c r="D8" s="40" t="s">
        <v>3022</v>
      </c>
      <c r="E8" s="44" t="str">
        <f aca="false">_xlfn.TEXTJOIN(" | ",TRUE(),Helper!$P$2:$P$6)</f>
        <v>Neha Desai | Shalini Patel | Deepak Shah | Nisha Menon | Arun Iyer</v>
      </c>
      <c r="F8" s="42" t="s">
        <v>2923</v>
      </c>
    </row>
    <row r="9" customFormat="false" ht="42" hidden="false" customHeight="true" outlineLevel="0" collapsed="false">
      <c r="A9" s="37" t="s">
        <v>3023</v>
      </c>
      <c r="B9" s="38" t="s">
        <v>3024</v>
      </c>
      <c r="C9" s="39" t="n">
        <v>1</v>
      </c>
      <c r="D9" s="40" t="s">
        <v>3025</v>
      </c>
      <c r="E9" s="41" t="n">
        <f aca="false">_xlfn.MAXIFS(Orders!$I$2:$I$2001,Helper!$B$2:$B$2001,"Bengaluru",Helper!$C$2:$C$2001,"Grocery")</f>
        <v>22134</v>
      </c>
      <c r="F9" s="42" t="s">
        <v>2975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2" min="1" style="0" width="16"/>
  </cols>
  <sheetData>
    <row r="1" customFormat="false" ht="15" hidden="false" customHeight="false" outlineLevel="0" collapsed="false">
      <c r="A1" s="45" t="s">
        <v>83</v>
      </c>
      <c r="B1" s="45" t="s">
        <v>3026</v>
      </c>
      <c r="C1" s="45" t="s">
        <v>2791</v>
      </c>
      <c r="D1" s="45" t="s">
        <v>2515</v>
      </c>
      <c r="E1" s="45" t="s">
        <v>2513</v>
      </c>
      <c r="F1" s="45" t="s">
        <v>3027</v>
      </c>
      <c r="G1" s="45" t="s">
        <v>2792</v>
      </c>
      <c r="H1" s="45" t="s">
        <v>3028</v>
      </c>
      <c r="I1" s="45"/>
      <c r="J1" s="45" t="s">
        <v>2860</v>
      </c>
      <c r="K1" s="45" t="s">
        <v>2861</v>
      </c>
      <c r="L1" s="45" t="s">
        <v>3029</v>
      </c>
      <c r="M1" s="45" t="s">
        <v>3030</v>
      </c>
      <c r="N1" s="45"/>
      <c r="O1" s="45" t="s">
        <v>3031</v>
      </c>
      <c r="P1" s="45" t="s">
        <v>3032</v>
      </c>
      <c r="Q1" s="45"/>
      <c r="R1" s="45" t="s">
        <v>86</v>
      </c>
      <c r="S1" s="45" t="s">
        <v>2790</v>
      </c>
      <c r="T1" s="45" t="s">
        <v>3033</v>
      </c>
      <c r="U1" s="45"/>
      <c r="V1" s="45" t="s">
        <v>3034</v>
      </c>
      <c r="W1" s="45" t="str">
        <f aca="false">INDEX(Sales_Reps!$A$2:$A$31,1)</f>
        <v>R001</v>
      </c>
      <c r="X1" s="45" t="str">
        <f aca="false">INDEX(Sales_Reps!$A$2:$A$31,2)</f>
        <v>R002</v>
      </c>
      <c r="Y1" s="45" t="str">
        <f aca="false">INDEX(Sales_Reps!$A$2:$A$31,3)</f>
        <v>R003</v>
      </c>
      <c r="Z1" s="45" t="str">
        <f aca="false">INDEX(Sales_Reps!$A$2:$A$31,4)</f>
        <v>R004</v>
      </c>
      <c r="AA1" s="45" t="str">
        <f aca="false">INDEX(Sales_Reps!$A$2:$A$31,5)</f>
        <v>R005</v>
      </c>
      <c r="AB1" s="45" t="str">
        <f aca="false">INDEX(Sales_Reps!$A$2:$A$31,6)</f>
        <v>R006</v>
      </c>
      <c r="AC1" s="45" t="str">
        <f aca="false">INDEX(Sales_Reps!$A$2:$A$31,7)</f>
        <v>R007</v>
      </c>
      <c r="AD1" s="45" t="str">
        <f aca="false">INDEX(Sales_Reps!$A$2:$A$31,8)</f>
        <v>R008</v>
      </c>
      <c r="AE1" s="45" t="str">
        <f aca="false">INDEX(Sales_Reps!$A$2:$A$31,9)</f>
        <v>R009</v>
      </c>
      <c r="AF1" s="45" t="str">
        <f aca="false">INDEX(Sales_Reps!$A$2:$A$31,10)</f>
        <v>R010</v>
      </c>
      <c r="AG1" s="45" t="str">
        <f aca="false">INDEX(Sales_Reps!$A$2:$A$31,11)</f>
        <v>R011</v>
      </c>
      <c r="AH1" s="45" t="str">
        <f aca="false">INDEX(Sales_Reps!$A$2:$A$31,12)</f>
        <v>R012</v>
      </c>
      <c r="AI1" s="45" t="str">
        <f aca="false">INDEX(Sales_Reps!$A$2:$A$31,13)</f>
        <v>R013</v>
      </c>
      <c r="AJ1" s="45" t="str">
        <f aca="false">INDEX(Sales_Reps!$A$2:$A$31,14)</f>
        <v>R014</v>
      </c>
      <c r="AK1" s="45" t="str">
        <f aca="false">INDEX(Sales_Reps!$A$2:$A$31,15)</f>
        <v>R015</v>
      </c>
      <c r="AL1" s="45" t="str">
        <f aca="false">INDEX(Sales_Reps!$A$2:$A$31,16)</f>
        <v>R016</v>
      </c>
      <c r="AM1" s="45" t="str">
        <f aca="false">INDEX(Sales_Reps!$A$2:$A$31,17)</f>
        <v>R017</v>
      </c>
      <c r="AN1" s="45" t="str">
        <f aca="false">INDEX(Sales_Reps!$A$2:$A$31,18)</f>
        <v>R018</v>
      </c>
      <c r="AO1" s="45" t="str">
        <f aca="false">INDEX(Sales_Reps!$A$2:$A$31,19)</f>
        <v>R019</v>
      </c>
      <c r="AP1" s="45" t="str">
        <f aca="false">INDEX(Sales_Reps!$A$2:$A$31,20)</f>
        <v>R020</v>
      </c>
      <c r="AQ1" s="45" t="str">
        <f aca="false">INDEX(Sales_Reps!$A$2:$A$31,21)</f>
        <v>R021</v>
      </c>
      <c r="AR1" s="45" t="str">
        <f aca="false">INDEX(Sales_Reps!$A$2:$A$31,22)</f>
        <v>R022</v>
      </c>
      <c r="AS1" s="45" t="str">
        <f aca="false">INDEX(Sales_Reps!$A$2:$A$31,23)</f>
        <v>R023</v>
      </c>
      <c r="AT1" s="45" t="str">
        <f aca="false">INDEX(Sales_Reps!$A$2:$A$31,24)</f>
        <v>R024</v>
      </c>
      <c r="AU1" s="45" t="str">
        <f aca="false">INDEX(Sales_Reps!$A$2:$A$31,25)</f>
        <v>R025</v>
      </c>
      <c r="AV1" s="45" t="str">
        <f aca="false">INDEX(Sales_Reps!$A$2:$A$31,26)</f>
        <v>R026</v>
      </c>
      <c r="AW1" s="45" t="str">
        <f aca="false">INDEX(Sales_Reps!$A$2:$A$31,27)</f>
        <v>R027</v>
      </c>
      <c r="AX1" s="45" t="str">
        <f aca="false">INDEX(Sales_Reps!$A$2:$A$31,28)</f>
        <v>R028</v>
      </c>
      <c r="AY1" s="45" t="str">
        <f aca="false">INDEX(Sales_Reps!$A$2:$A$31,29)</f>
        <v>R029</v>
      </c>
      <c r="AZ1" s="45" t="str">
        <f aca="false">INDEX(Sales_Reps!$A$2:$A$31,30)</f>
        <v>R030</v>
      </c>
    </row>
    <row r="2" customFormat="false" ht="15" hidden="false" customHeight="false" outlineLevel="0" collapsed="false">
      <c r="A2" s="46" t="str">
        <f aca="false">Orders!A2</f>
        <v>ORD-00001</v>
      </c>
      <c r="B2" s="46" t="str">
        <f aca="false">PROPER(TRIM(Orders!K2))</f>
        <v>Pune</v>
      </c>
      <c r="C2" s="46" t="str">
        <f aca="false">IFERROR(VLOOKUP(Orders!D2,Products!$A$2:$F$61,3,FALSE()),"Not Found")</f>
        <v>Apparel</v>
      </c>
      <c r="D2" s="46" t="str">
        <f aca="false">IFERROR(VLOOKUP(Orders!C2,Customers!$A$2:$F$301,5,FALSE()),"Not Found")</f>
        <v>SMB</v>
      </c>
      <c r="E2" s="46" t="n">
        <f aca="false">IFERROR(VLOOKUP(Orders!C2,Customers!$A$2:$F$301,3,FALSE()),"Not Found")</f>
        <v>44</v>
      </c>
      <c r="F2" s="46" t="str">
        <f aca="false">IFERROR(VLOOKUP(Orders!E2,Sales_Reps!$A$2:$E$31,3,FALSE()),"Not Found")</f>
        <v>North</v>
      </c>
      <c r="G2" s="46" t="n">
        <f aca="false">IFERROR(VLOOKUP(Orders!D2,Products!$A$2:$F$61,4,FALSE()),"")</f>
        <v>2509</v>
      </c>
      <c r="H2" s="47" t="n">
        <f aca="false">IF(G2="","",(Orders!G2-G2)/Orders!G2)</f>
        <v>0.306906077348066</v>
      </c>
      <c r="I2" s="46"/>
      <c r="J2" s="46" t="str">
        <f aca="false">Sales_Reps!A2</f>
        <v>R001</v>
      </c>
      <c r="K2" s="46" t="str">
        <f aca="false">Sales_Reps!B2</f>
        <v>Rajesh Malhotra</v>
      </c>
      <c r="L2" s="48" t="n">
        <f aca="false">SUMIFS(Orders!$I$2:$I$2001,Orders!$E$2:$E$2001,J2)</f>
        <v>789849.6</v>
      </c>
      <c r="M2" s="46" t="n">
        <f aca="false">RANK(L2,$L$2:$L$31,0)</f>
        <v>23</v>
      </c>
      <c r="N2" s="46"/>
      <c r="O2" s="46" t="n">
        <v>1</v>
      </c>
      <c r="P2" s="46" t="str">
        <f aca="false">INDEX($K$2:$K$31,MATCH(LARGE($L$2:$L$31,O2),$L$2:$L$31,0))</f>
        <v>Neha Desai</v>
      </c>
      <c r="Q2" s="46"/>
      <c r="R2" s="46" t="str">
        <f aca="false">Products!A2</f>
        <v>PROD-001</v>
      </c>
      <c r="S2" s="46" t="str">
        <f aca="false">Products!B2</f>
        <v>Smartphone Pro</v>
      </c>
      <c r="T2" s="48" t="n">
        <f aca="false">SUMIFS(Orders!$I$2:$I$2001,Orders!$D$2:$D$2001,R2,$F$2:$F$2001,"West")</f>
        <v>155358.84</v>
      </c>
      <c r="U2" s="46"/>
      <c r="V2" s="49" t="n">
        <f aca="false">DATE(2024,1,1)</f>
        <v>45292</v>
      </c>
      <c r="W2" s="50" t="n">
        <f aca="false">SUMIFS(Orders!$I$2:$I$2001,Orders!$B$2:$B$2001,"&gt;="&amp;$V2,Orders!$B$2:$B$2001,"&lt;"&amp;EDATE($V2,1),Orders!$E$2:$E$2001,W$1)</f>
        <v>43650.56</v>
      </c>
      <c r="X2" s="50" t="n">
        <f aca="false">SUMIFS(Orders!$I$2:$I$2001,Orders!$B$2:$B$2001,"&gt;="&amp;$V2,Orders!$B$2:$B$2001,"&lt;"&amp;EDATE($V2,1),Orders!$E$2:$E$2001,X$1)</f>
        <v>51707.32</v>
      </c>
      <c r="Y2" s="50" t="n">
        <f aca="false">SUMIFS(Orders!$I$2:$I$2001,Orders!$B$2:$B$2001,"&gt;="&amp;$V2,Orders!$B$2:$B$2001,"&lt;"&amp;EDATE($V2,1),Orders!$E$2:$E$2001,Y$1)</f>
        <v>54307</v>
      </c>
      <c r="Z2" s="50" t="n">
        <f aca="false">SUMIFS(Orders!$I$2:$I$2001,Orders!$B$2:$B$2001,"&gt;="&amp;$V2,Orders!$B$2:$B$2001,"&lt;"&amp;EDATE($V2,1),Orders!$E$2:$E$2001,Z$1)</f>
        <v>57892.11</v>
      </c>
      <c r="AA2" s="50" t="n">
        <f aca="false">SUMIFS(Orders!$I$2:$I$2001,Orders!$B$2:$B$2001,"&gt;="&amp;$V2,Orders!$B$2:$B$2001,"&lt;"&amp;EDATE($V2,1),Orders!$E$2:$E$2001,AA$1)</f>
        <v>70665.51</v>
      </c>
      <c r="AB2" s="50" t="n">
        <f aca="false">SUMIFS(Orders!$I$2:$I$2001,Orders!$B$2:$B$2001,"&gt;="&amp;$V2,Orders!$B$2:$B$2001,"&lt;"&amp;EDATE($V2,1),Orders!$E$2:$E$2001,AB$1)</f>
        <v>84968.56</v>
      </c>
      <c r="AC2" s="50" t="n">
        <f aca="false">SUMIFS(Orders!$I$2:$I$2001,Orders!$B$2:$B$2001,"&gt;="&amp;$V2,Orders!$B$2:$B$2001,"&lt;"&amp;EDATE($V2,1),Orders!$E$2:$E$2001,AC$1)</f>
        <v>92029.91</v>
      </c>
      <c r="AD2" s="50" t="n">
        <f aca="false">SUMIFS(Orders!$I$2:$I$2001,Orders!$B$2:$B$2001,"&gt;="&amp;$V2,Orders!$B$2:$B$2001,"&lt;"&amp;EDATE($V2,1),Orders!$E$2:$E$2001,AD$1)</f>
        <v>61557.02</v>
      </c>
      <c r="AE2" s="50" t="n">
        <f aca="false">SUMIFS(Orders!$I$2:$I$2001,Orders!$B$2:$B$2001,"&gt;="&amp;$V2,Orders!$B$2:$B$2001,"&lt;"&amp;EDATE($V2,1),Orders!$E$2:$E$2001,AE$1)</f>
        <v>125547.54</v>
      </c>
      <c r="AF2" s="50" t="n">
        <f aca="false">SUMIFS(Orders!$I$2:$I$2001,Orders!$B$2:$B$2001,"&gt;="&amp;$V2,Orders!$B$2:$B$2001,"&lt;"&amp;EDATE($V2,1),Orders!$E$2:$E$2001,AF$1)</f>
        <v>43078.21</v>
      </c>
      <c r="AG2" s="50" t="n">
        <f aca="false">SUMIFS(Orders!$I$2:$I$2001,Orders!$B$2:$B$2001,"&gt;="&amp;$V2,Orders!$B$2:$B$2001,"&lt;"&amp;EDATE($V2,1),Orders!$E$2:$E$2001,AG$1)</f>
        <v>88791.72</v>
      </c>
      <c r="AH2" s="50" t="n">
        <f aca="false">SUMIFS(Orders!$I$2:$I$2001,Orders!$B$2:$B$2001,"&gt;="&amp;$V2,Orders!$B$2:$B$2001,"&lt;"&amp;EDATE($V2,1),Orders!$E$2:$E$2001,AH$1)</f>
        <v>70680.03</v>
      </c>
      <c r="AI2" s="50" t="n">
        <f aca="false">SUMIFS(Orders!$I$2:$I$2001,Orders!$B$2:$B$2001,"&gt;="&amp;$V2,Orders!$B$2:$B$2001,"&lt;"&amp;EDATE($V2,1),Orders!$E$2:$E$2001,AI$1)</f>
        <v>51609.12</v>
      </c>
      <c r="AJ2" s="50" t="n">
        <f aca="false">SUMIFS(Orders!$I$2:$I$2001,Orders!$B$2:$B$2001,"&gt;="&amp;$V2,Orders!$B$2:$B$2001,"&lt;"&amp;EDATE($V2,1),Orders!$E$2:$E$2001,AJ$1)</f>
        <v>87497.74</v>
      </c>
      <c r="AK2" s="50" t="n">
        <f aca="false">SUMIFS(Orders!$I$2:$I$2001,Orders!$B$2:$B$2001,"&gt;="&amp;$V2,Orders!$B$2:$B$2001,"&lt;"&amp;EDATE($V2,1),Orders!$E$2:$E$2001,AK$1)</f>
        <v>118901.06</v>
      </c>
      <c r="AL2" s="50" t="n">
        <f aca="false">SUMIFS(Orders!$I$2:$I$2001,Orders!$B$2:$B$2001,"&gt;="&amp;$V2,Orders!$B$2:$B$2001,"&lt;"&amp;EDATE($V2,1),Orders!$E$2:$E$2001,AL$1)</f>
        <v>62195.84</v>
      </c>
      <c r="AM2" s="50" t="n">
        <f aca="false">SUMIFS(Orders!$I$2:$I$2001,Orders!$B$2:$B$2001,"&gt;="&amp;$V2,Orders!$B$2:$B$2001,"&lt;"&amp;EDATE($V2,1),Orders!$E$2:$E$2001,AM$1)</f>
        <v>73856.39</v>
      </c>
      <c r="AN2" s="50" t="n">
        <f aca="false">SUMIFS(Orders!$I$2:$I$2001,Orders!$B$2:$B$2001,"&gt;="&amp;$V2,Orders!$B$2:$B$2001,"&lt;"&amp;EDATE($V2,1),Orders!$E$2:$E$2001,AN$1)</f>
        <v>101638.5</v>
      </c>
      <c r="AO2" s="50" t="n">
        <f aca="false">SUMIFS(Orders!$I$2:$I$2001,Orders!$B$2:$B$2001,"&gt;="&amp;$V2,Orders!$B$2:$B$2001,"&lt;"&amp;EDATE($V2,1),Orders!$E$2:$E$2001,AO$1)</f>
        <v>30895.18</v>
      </c>
      <c r="AP2" s="50" t="n">
        <f aca="false">SUMIFS(Orders!$I$2:$I$2001,Orders!$B$2:$B$2001,"&gt;="&amp;$V2,Orders!$B$2:$B$2001,"&lt;"&amp;EDATE($V2,1),Orders!$E$2:$E$2001,AP$1)</f>
        <v>41744.44</v>
      </c>
      <c r="AQ2" s="50" t="n">
        <f aca="false">SUMIFS(Orders!$I$2:$I$2001,Orders!$B$2:$B$2001,"&gt;="&amp;$V2,Orders!$B$2:$B$2001,"&lt;"&amp;EDATE($V2,1),Orders!$E$2:$E$2001,AQ$1)</f>
        <v>2689.92</v>
      </c>
      <c r="AR2" s="50" t="n">
        <f aca="false">SUMIFS(Orders!$I$2:$I$2001,Orders!$B$2:$B$2001,"&gt;="&amp;$V2,Orders!$B$2:$B$2001,"&lt;"&amp;EDATE($V2,1),Orders!$E$2:$E$2001,AR$1)</f>
        <v>158207.84</v>
      </c>
      <c r="AS2" s="50" t="n">
        <f aca="false">SUMIFS(Orders!$I$2:$I$2001,Orders!$B$2:$B$2001,"&gt;="&amp;$V2,Orders!$B$2:$B$2001,"&lt;"&amp;EDATE($V2,1),Orders!$E$2:$E$2001,AS$1)</f>
        <v>54606.06</v>
      </c>
      <c r="AT2" s="50" t="n">
        <f aca="false">SUMIFS(Orders!$I$2:$I$2001,Orders!$B$2:$B$2001,"&gt;="&amp;$V2,Orders!$B$2:$B$2001,"&lt;"&amp;EDATE($V2,1),Orders!$E$2:$E$2001,AT$1)</f>
        <v>24937.08</v>
      </c>
      <c r="AU2" s="50" t="n">
        <f aca="false">SUMIFS(Orders!$I$2:$I$2001,Orders!$B$2:$B$2001,"&gt;="&amp;$V2,Orders!$B$2:$B$2001,"&lt;"&amp;EDATE($V2,1),Orders!$E$2:$E$2001,AU$1)</f>
        <v>56041.84</v>
      </c>
      <c r="AV2" s="50" t="n">
        <f aca="false">SUMIFS(Orders!$I$2:$I$2001,Orders!$B$2:$B$2001,"&gt;="&amp;$V2,Orders!$B$2:$B$2001,"&lt;"&amp;EDATE($V2,1),Orders!$E$2:$E$2001,AV$1)</f>
        <v>12767.82</v>
      </c>
      <c r="AW2" s="50" t="n">
        <f aca="false">SUMIFS(Orders!$I$2:$I$2001,Orders!$B$2:$B$2001,"&gt;="&amp;$V2,Orders!$B$2:$B$2001,"&lt;"&amp;EDATE($V2,1),Orders!$E$2:$E$2001,AW$1)</f>
        <v>77569.16</v>
      </c>
      <c r="AX2" s="50" t="n">
        <f aca="false">SUMIFS(Orders!$I$2:$I$2001,Orders!$B$2:$B$2001,"&gt;="&amp;$V2,Orders!$B$2:$B$2001,"&lt;"&amp;EDATE($V2,1),Orders!$E$2:$E$2001,AX$1)</f>
        <v>36574</v>
      </c>
      <c r="AY2" s="50" t="n">
        <f aca="false">SUMIFS(Orders!$I$2:$I$2001,Orders!$B$2:$B$2001,"&gt;="&amp;$V2,Orders!$B$2:$B$2001,"&lt;"&amp;EDATE($V2,1),Orders!$E$2:$E$2001,AY$1)</f>
        <v>45369.15</v>
      </c>
      <c r="AZ2" s="50" t="n">
        <f aca="false">SUMIFS(Orders!$I$2:$I$2001,Orders!$B$2:$B$2001,"&gt;="&amp;$V2,Orders!$B$2:$B$2001,"&lt;"&amp;EDATE($V2,1),Orders!$E$2:$E$2001,AZ$1)</f>
        <v>59170.81</v>
      </c>
    </row>
    <row r="3" customFormat="false" ht="15" hidden="false" customHeight="false" outlineLevel="0" collapsed="false">
      <c r="A3" s="46" t="str">
        <f aca="false">Orders!A3</f>
        <v>ORD-00002</v>
      </c>
      <c r="B3" s="46" t="str">
        <f aca="false">PROPER(TRIM(Orders!K3))</f>
        <v>Chennai</v>
      </c>
      <c r="C3" s="46" t="str">
        <f aca="false">IFERROR(VLOOKUP(Orders!D3,Products!$A$2:$F$61,3,FALSE()),"Not Found")</f>
        <v>Apparel</v>
      </c>
      <c r="D3" s="46" t="str">
        <f aca="false">IFERROR(VLOOKUP(Orders!C3,Customers!$A$2:$F$301,5,FALSE()),"Not Found")</f>
        <v>Retail</v>
      </c>
      <c r="E3" s="46" t="n">
        <f aca="false">IFERROR(VLOOKUP(Orders!C3,Customers!$A$2:$F$301,3,FALSE()),"Not Found")</f>
        <v>39</v>
      </c>
      <c r="F3" s="46" t="str">
        <f aca="false">IFERROR(VLOOKUP(Orders!E3,Sales_Reps!$A$2:$E$31,3,FALSE()),"Not Found")</f>
        <v>North</v>
      </c>
      <c r="G3" s="46" t="n">
        <f aca="false">IFERROR(VLOOKUP(Orders!D3,Products!$A$2:$F$61,4,FALSE()),"")</f>
        <v>391</v>
      </c>
      <c r="H3" s="47" t="n">
        <f aca="false">IF(G3="","",(Orders!G3-G3)/Orders!G3)</f>
        <v>0.523170731707317</v>
      </c>
      <c r="I3" s="46"/>
      <c r="J3" s="46" t="str">
        <f aca="false">Sales_Reps!A3</f>
        <v>R002</v>
      </c>
      <c r="K3" s="46" t="str">
        <f aca="false">Sales_Reps!B3</f>
        <v>Sunita Malhotra</v>
      </c>
      <c r="L3" s="48" t="n">
        <f aca="false">SUMIFS(Orders!$I$2:$I$2001,Orders!$E$2:$E$2001,J3)</f>
        <v>980063.66</v>
      </c>
      <c r="M3" s="46" t="n">
        <f aca="false">RANK(L3,$L$2:$L$31,0)</f>
        <v>9</v>
      </c>
      <c r="N3" s="46"/>
      <c r="O3" s="46" t="n">
        <v>2</v>
      </c>
      <c r="P3" s="46" t="str">
        <f aca="false">INDEX($K$2:$K$31,MATCH(LARGE($L$2:$L$31,O3),$L$2:$L$31,0))</f>
        <v>Shalini Patel</v>
      </c>
      <c r="Q3" s="46"/>
      <c r="R3" s="46" t="str">
        <f aca="false">Products!A3</f>
        <v>PROD-002</v>
      </c>
      <c r="S3" s="46" t="str">
        <f aca="false">Products!B3</f>
        <v>Wireless Earbuds</v>
      </c>
      <c r="T3" s="48" t="n">
        <f aca="false">SUMIFS(Orders!$I$2:$I$2001,Orders!$D$2:$D$2001,R3,$F$2:$F$2001,"West")</f>
        <v>105284.4</v>
      </c>
      <c r="U3" s="46"/>
      <c r="V3" s="49" t="n">
        <f aca="false">EDATE(V2,1)</f>
        <v>45323</v>
      </c>
      <c r="W3" s="50" t="n">
        <f aca="false">SUMIFS(Orders!$I$2:$I$2001,Orders!$B$2:$B$2001,"&gt;="&amp;$V3,Orders!$B$2:$B$2001,"&lt;"&amp;EDATE($V3,1),Orders!$E$2:$E$2001,W$1)</f>
        <v>127005.17</v>
      </c>
      <c r="X3" s="50" t="n">
        <f aca="false">SUMIFS(Orders!$I$2:$I$2001,Orders!$B$2:$B$2001,"&gt;="&amp;$V3,Orders!$B$2:$B$2001,"&lt;"&amp;EDATE($V3,1),Orders!$E$2:$E$2001,X$1)</f>
        <v>125187.78</v>
      </c>
      <c r="Y3" s="50" t="n">
        <f aca="false">SUMIFS(Orders!$I$2:$I$2001,Orders!$B$2:$B$2001,"&gt;="&amp;$V3,Orders!$B$2:$B$2001,"&lt;"&amp;EDATE($V3,1),Orders!$E$2:$E$2001,Y$1)</f>
        <v>32452</v>
      </c>
      <c r="Z3" s="50" t="n">
        <f aca="false">SUMIFS(Orders!$I$2:$I$2001,Orders!$B$2:$B$2001,"&gt;="&amp;$V3,Orders!$B$2:$B$2001,"&lt;"&amp;EDATE($V3,1),Orders!$E$2:$E$2001,Z$1)</f>
        <v>58818.56</v>
      </c>
      <c r="AA3" s="50" t="n">
        <f aca="false">SUMIFS(Orders!$I$2:$I$2001,Orders!$B$2:$B$2001,"&gt;="&amp;$V3,Orders!$B$2:$B$2001,"&lt;"&amp;EDATE($V3,1),Orders!$E$2:$E$2001,AA$1)</f>
        <v>57914.81</v>
      </c>
      <c r="AB3" s="50" t="n">
        <f aca="false">SUMIFS(Orders!$I$2:$I$2001,Orders!$B$2:$B$2001,"&gt;="&amp;$V3,Orders!$B$2:$B$2001,"&lt;"&amp;EDATE($V3,1),Orders!$E$2:$E$2001,AB$1)</f>
        <v>34581.99</v>
      </c>
      <c r="AC3" s="50" t="n">
        <f aca="false">SUMIFS(Orders!$I$2:$I$2001,Orders!$B$2:$B$2001,"&gt;="&amp;$V3,Orders!$B$2:$B$2001,"&lt;"&amp;EDATE($V3,1),Orders!$E$2:$E$2001,AC$1)</f>
        <v>130276.04</v>
      </c>
      <c r="AD3" s="50" t="n">
        <f aca="false">SUMIFS(Orders!$I$2:$I$2001,Orders!$B$2:$B$2001,"&gt;="&amp;$V3,Orders!$B$2:$B$2001,"&lt;"&amp;EDATE($V3,1),Orders!$E$2:$E$2001,AD$1)</f>
        <v>23463.3</v>
      </c>
      <c r="AE3" s="50" t="n">
        <f aca="false">SUMIFS(Orders!$I$2:$I$2001,Orders!$B$2:$B$2001,"&gt;="&amp;$V3,Orders!$B$2:$B$2001,"&lt;"&amp;EDATE($V3,1),Orders!$E$2:$E$2001,AE$1)</f>
        <v>25935.55</v>
      </c>
      <c r="AF3" s="50" t="n">
        <f aca="false">SUMIFS(Orders!$I$2:$I$2001,Orders!$B$2:$B$2001,"&gt;="&amp;$V3,Orders!$B$2:$B$2001,"&lt;"&amp;EDATE($V3,1),Orders!$E$2:$E$2001,AF$1)</f>
        <v>74555.64</v>
      </c>
      <c r="AG3" s="50" t="n">
        <f aca="false">SUMIFS(Orders!$I$2:$I$2001,Orders!$B$2:$B$2001,"&gt;="&amp;$V3,Orders!$B$2:$B$2001,"&lt;"&amp;EDATE($V3,1),Orders!$E$2:$E$2001,AG$1)</f>
        <v>112894.06</v>
      </c>
      <c r="AH3" s="50" t="n">
        <f aca="false">SUMIFS(Orders!$I$2:$I$2001,Orders!$B$2:$B$2001,"&gt;="&amp;$V3,Orders!$B$2:$B$2001,"&lt;"&amp;EDATE($V3,1),Orders!$E$2:$E$2001,AH$1)</f>
        <v>110195.46</v>
      </c>
      <c r="AI3" s="50" t="n">
        <f aca="false">SUMIFS(Orders!$I$2:$I$2001,Orders!$B$2:$B$2001,"&gt;="&amp;$V3,Orders!$B$2:$B$2001,"&lt;"&amp;EDATE($V3,1),Orders!$E$2:$E$2001,AI$1)</f>
        <v>139218.08</v>
      </c>
      <c r="AJ3" s="50" t="n">
        <f aca="false">SUMIFS(Orders!$I$2:$I$2001,Orders!$B$2:$B$2001,"&gt;="&amp;$V3,Orders!$B$2:$B$2001,"&lt;"&amp;EDATE($V3,1),Orders!$E$2:$E$2001,AJ$1)</f>
        <v>79488</v>
      </c>
      <c r="AK3" s="50" t="n">
        <f aca="false">SUMIFS(Orders!$I$2:$I$2001,Orders!$B$2:$B$2001,"&gt;="&amp;$V3,Orders!$B$2:$B$2001,"&lt;"&amp;EDATE($V3,1),Orders!$E$2:$E$2001,AK$1)</f>
        <v>89654.68</v>
      </c>
      <c r="AL3" s="50" t="n">
        <f aca="false">SUMIFS(Orders!$I$2:$I$2001,Orders!$B$2:$B$2001,"&gt;="&amp;$V3,Orders!$B$2:$B$2001,"&lt;"&amp;EDATE($V3,1),Orders!$E$2:$E$2001,AL$1)</f>
        <v>90583.24</v>
      </c>
      <c r="AM3" s="50" t="n">
        <f aca="false">SUMIFS(Orders!$I$2:$I$2001,Orders!$B$2:$B$2001,"&gt;="&amp;$V3,Orders!$B$2:$B$2001,"&lt;"&amp;EDATE($V3,1),Orders!$E$2:$E$2001,AM$1)</f>
        <v>27297.84</v>
      </c>
      <c r="AN3" s="50" t="n">
        <f aca="false">SUMIFS(Orders!$I$2:$I$2001,Orders!$B$2:$B$2001,"&gt;="&amp;$V3,Orders!$B$2:$B$2001,"&lt;"&amp;EDATE($V3,1),Orders!$E$2:$E$2001,AN$1)</f>
        <v>121362.44</v>
      </c>
      <c r="AO3" s="50" t="n">
        <f aca="false">SUMIFS(Orders!$I$2:$I$2001,Orders!$B$2:$B$2001,"&gt;="&amp;$V3,Orders!$B$2:$B$2001,"&lt;"&amp;EDATE($V3,1),Orders!$E$2:$E$2001,AO$1)</f>
        <v>97513.34</v>
      </c>
      <c r="AP3" s="50" t="n">
        <f aca="false">SUMIFS(Orders!$I$2:$I$2001,Orders!$B$2:$B$2001,"&gt;="&amp;$V3,Orders!$B$2:$B$2001,"&lt;"&amp;EDATE($V3,1),Orders!$E$2:$E$2001,AP$1)</f>
        <v>13855.82</v>
      </c>
      <c r="AQ3" s="50" t="n">
        <f aca="false">SUMIFS(Orders!$I$2:$I$2001,Orders!$B$2:$B$2001,"&gt;="&amp;$V3,Orders!$B$2:$B$2001,"&lt;"&amp;EDATE($V3,1),Orders!$E$2:$E$2001,AQ$1)</f>
        <v>104662.05</v>
      </c>
      <c r="AR3" s="50" t="n">
        <f aca="false">SUMIFS(Orders!$I$2:$I$2001,Orders!$B$2:$B$2001,"&gt;="&amp;$V3,Orders!$B$2:$B$2001,"&lt;"&amp;EDATE($V3,1),Orders!$E$2:$E$2001,AR$1)</f>
        <v>46819.11</v>
      </c>
      <c r="AS3" s="50" t="n">
        <f aca="false">SUMIFS(Orders!$I$2:$I$2001,Orders!$B$2:$B$2001,"&gt;="&amp;$V3,Orders!$B$2:$B$2001,"&lt;"&amp;EDATE($V3,1),Orders!$E$2:$E$2001,AS$1)</f>
        <v>120382.87</v>
      </c>
      <c r="AT3" s="50" t="n">
        <f aca="false">SUMIFS(Orders!$I$2:$I$2001,Orders!$B$2:$B$2001,"&gt;="&amp;$V3,Orders!$B$2:$B$2001,"&lt;"&amp;EDATE($V3,1),Orders!$E$2:$E$2001,AT$1)</f>
        <v>97833.74</v>
      </c>
      <c r="AU3" s="50" t="n">
        <f aca="false">SUMIFS(Orders!$I$2:$I$2001,Orders!$B$2:$B$2001,"&gt;="&amp;$V3,Orders!$B$2:$B$2001,"&lt;"&amp;EDATE($V3,1),Orders!$E$2:$E$2001,AU$1)</f>
        <v>43978.47</v>
      </c>
      <c r="AV3" s="50" t="n">
        <f aca="false">SUMIFS(Orders!$I$2:$I$2001,Orders!$B$2:$B$2001,"&gt;="&amp;$V3,Orders!$B$2:$B$2001,"&lt;"&amp;EDATE($V3,1),Orders!$E$2:$E$2001,AV$1)</f>
        <v>18592.26</v>
      </c>
      <c r="AW3" s="50" t="n">
        <f aca="false">SUMIFS(Orders!$I$2:$I$2001,Orders!$B$2:$B$2001,"&gt;="&amp;$V3,Orders!$B$2:$B$2001,"&lt;"&amp;EDATE($V3,1),Orders!$E$2:$E$2001,AW$1)</f>
        <v>80384.53</v>
      </c>
      <c r="AX3" s="50" t="n">
        <f aca="false">SUMIFS(Orders!$I$2:$I$2001,Orders!$B$2:$B$2001,"&gt;="&amp;$V3,Orders!$B$2:$B$2001,"&lt;"&amp;EDATE($V3,1),Orders!$E$2:$E$2001,AX$1)</f>
        <v>63178.48</v>
      </c>
      <c r="AY3" s="50" t="n">
        <f aca="false">SUMIFS(Orders!$I$2:$I$2001,Orders!$B$2:$B$2001,"&gt;="&amp;$V3,Orders!$B$2:$B$2001,"&lt;"&amp;EDATE($V3,1),Orders!$E$2:$E$2001,AY$1)</f>
        <v>142134.07</v>
      </c>
      <c r="AZ3" s="50" t="n">
        <f aca="false">SUMIFS(Orders!$I$2:$I$2001,Orders!$B$2:$B$2001,"&gt;="&amp;$V3,Orders!$B$2:$B$2001,"&lt;"&amp;EDATE($V3,1),Orders!$E$2:$E$2001,AZ$1)</f>
        <v>17274.29</v>
      </c>
    </row>
    <row r="4" customFormat="false" ht="15" hidden="false" customHeight="false" outlineLevel="0" collapsed="false">
      <c r="A4" s="46" t="str">
        <f aca="false">Orders!A4</f>
        <v>ORD-00003</v>
      </c>
      <c r="B4" s="46" t="str">
        <f aca="false">PROPER(TRIM(Orders!K4))</f>
        <v>Delhi</v>
      </c>
      <c r="C4" s="46" t="str">
        <f aca="false">IFERROR(VLOOKUP(Orders!D4,Products!$A$2:$F$61,3,FALSE()),"Not Found")</f>
        <v>Sports</v>
      </c>
      <c r="D4" s="46" t="str">
        <f aca="false">IFERROR(VLOOKUP(Orders!C4,Customers!$A$2:$F$301,5,FALSE()),"Not Found")</f>
        <v>Retail</v>
      </c>
      <c r="E4" s="46" t="n">
        <f aca="false">IFERROR(VLOOKUP(Orders!C4,Customers!$A$2:$F$301,3,FALSE()),"Not Found")</f>
        <v>52</v>
      </c>
      <c r="F4" s="46" t="str">
        <f aca="false">IFERROR(VLOOKUP(Orders!E4,Sales_Reps!$A$2:$E$31,3,FALSE()),"Not Found")</f>
        <v>South</v>
      </c>
      <c r="G4" s="46" t="n">
        <f aca="false">IFERROR(VLOOKUP(Orders!D4,Products!$A$2:$F$61,4,FALSE()),"")</f>
        <v>302</v>
      </c>
      <c r="H4" s="47" t="n">
        <f aca="false">IF(G4="","",(Orders!G4-G4)/Orders!G4)</f>
        <v>0.357446808510638</v>
      </c>
      <c r="I4" s="46"/>
      <c r="J4" s="46" t="str">
        <f aca="false">Sales_Reps!A4</f>
        <v>R003</v>
      </c>
      <c r="K4" s="46" t="str">
        <f aca="false">Sales_Reps!B4</f>
        <v>Amit Singh</v>
      </c>
      <c r="L4" s="48" t="n">
        <f aca="false">SUMIFS(Orders!$I$2:$I$2001,Orders!$E$2:$E$2001,J4)</f>
        <v>986692.91</v>
      </c>
      <c r="M4" s="46" t="n">
        <f aca="false">RANK(L4,$L$2:$L$31,0)</f>
        <v>7</v>
      </c>
      <c r="N4" s="46"/>
      <c r="O4" s="46" t="n">
        <v>3</v>
      </c>
      <c r="P4" s="46" t="str">
        <f aca="false">INDEX($K$2:$K$31,MATCH(LARGE($L$2:$L$31,O4),$L$2:$L$31,0))</f>
        <v>Deepak Shah</v>
      </c>
      <c r="Q4" s="46"/>
      <c r="R4" s="46" t="str">
        <f aca="false">Products!A4</f>
        <v>PROD-003</v>
      </c>
      <c r="S4" s="46" t="str">
        <f aca="false">Products!B4</f>
        <v>Smart Watch</v>
      </c>
      <c r="T4" s="48" t="n">
        <f aca="false">SUMIFS(Orders!$I$2:$I$2001,Orders!$D$2:$D$2001,R4,$F$2:$F$2001,"West")</f>
        <v>248025.75</v>
      </c>
      <c r="U4" s="46"/>
      <c r="V4" s="49" t="n">
        <f aca="false">EDATE(V3,1)</f>
        <v>45352</v>
      </c>
      <c r="W4" s="50" t="n">
        <f aca="false">SUMIFS(Orders!$I$2:$I$2001,Orders!$B$2:$B$2001,"&gt;="&amp;$V4,Orders!$B$2:$B$2001,"&lt;"&amp;EDATE($V4,1),Orders!$E$2:$E$2001,W$1)</f>
        <v>58208.49</v>
      </c>
      <c r="X4" s="50" t="n">
        <f aca="false">SUMIFS(Orders!$I$2:$I$2001,Orders!$B$2:$B$2001,"&gt;="&amp;$V4,Orders!$B$2:$B$2001,"&lt;"&amp;EDATE($V4,1),Orders!$E$2:$E$2001,X$1)</f>
        <v>53533</v>
      </c>
      <c r="Y4" s="50" t="n">
        <f aca="false">SUMIFS(Orders!$I$2:$I$2001,Orders!$B$2:$B$2001,"&gt;="&amp;$V4,Orders!$B$2:$B$2001,"&lt;"&amp;EDATE($V4,1),Orders!$E$2:$E$2001,Y$1)</f>
        <v>107489.23</v>
      </c>
      <c r="Z4" s="50" t="n">
        <f aca="false">SUMIFS(Orders!$I$2:$I$2001,Orders!$B$2:$B$2001,"&gt;="&amp;$V4,Orders!$B$2:$B$2001,"&lt;"&amp;EDATE($V4,1),Orders!$E$2:$E$2001,Z$1)</f>
        <v>14394.38</v>
      </c>
      <c r="AA4" s="50" t="n">
        <f aca="false">SUMIFS(Orders!$I$2:$I$2001,Orders!$B$2:$B$2001,"&gt;="&amp;$V4,Orders!$B$2:$B$2001,"&lt;"&amp;EDATE($V4,1),Orders!$E$2:$E$2001,AA$1)</f>
        <v>85853.43</v>
      </c>
      <c r="AB4" s="50" t="n">
        <f aca="false">SUMIFS(Orders!$I$2:$I$2001,Orders!$B$2:$B$2001,"&gt;="&amp;$V4,Orders!$B$2:$B$2001,"&lt;"&amp;EDATE($V4,1),Orders!$E$2:$E$2001,AB$1)</f>
        <v>145435.13</v>
      </c>
      <c r="AC4" s="50" t="n">
        <f aca="false">SUMIFS(Orders!$I$2:$I$2001,Orders!$B$2:$B$2001,"&gt;="&amp;$V4,Orders!$B$2:$B$2001,"&lt;"&amp;EDATE($V4,1),Orders!$E$2:$E$2001,AC$1)</f>
        <v>105489.83</v>
      </c>
      <c r="AD4" s="50" t="n">
        <f aca="false">SUMIFS(Orders!$I$2:$I$2001,Orders!$B$2:$B$2001,"&gt;="&amp;$V4,Orders!$B$2:$B$2001,"&lt;"&amp;EDATE($V4,1),Orders!$E$2:$E$2001,AD$1)</f>
        <v>164615.05</v>
      </c>
      <c r="AE4" s="50" t="n">
        <f aca="false">SUMIFS(Orders!$I$2:$I$2001,Orders!$B$2:$B$2001,"&gt;="&amp;$V4,Orders!$B$2:$B$2001,"&lt;"&amp;EDATE($V4,1),Orders!$E$2:$E$2001,AE$1)</f>
        <v>19130.39</v>
      </c>
      <c r="AF4" s="50" t="n">
        <f aca="false">SUMIFS(Orders!$I$2:$I$2001,Orders!$B$2:$B$2001,"&gt;="&amp;$V4,Orders!$B$2:$B$2001,"&lt;"&amp;EDATE($V4,1),Orders!$E$2:$E$2001,AF$1)</f>
        <v>0</v>
      </c>
      <c r="AG4" s="50" t="n">
        <f aca="false">SUMIFS(Orders!$I$2:$I$2001,Orders!$B$2:$B$2001,"&gt;="&amp;$V4,Orders!$B$2:$B$2001,"&lt;"&amp;EDATE($V4,1),Orders!$E$2:$E$2001,AG$1)</f>
        <v>77891.76</v>
      </c>
      <c r="AH4" s="50" t="n">
        <f aca="false">SUMIFS(Orders!$I$2:$I$2001,Orders!$B$2:$B$2001,"&gt;="&amp;$V4,Orders!$B$2:$B$2001,"&lt;"&amp;EDATE($V4,1),Orders!$E$2:$E$2001,AH$1)</f>
        <v>20450.24</v>
      </c>
      <c r="AI4" s="50" t="n">
        <f aca="false">SUMIFS(Orders!$I$2:$I$2001,Orders!$B$2:$B$2001,"&gt;="&amp;$V4,Orders!$B$2:$B$2001,"&lt;"&amp;EDATE($V4,1),Orders!$E$2:$E$2001,AI$1)</f>
        <v>80024.44</v>
      </c>
      <c r="AJ4" s="50" t="n">
        <f aca="false">SUMIFS(Orders!$I$2:$I$2001,Orders!$B$2:$B$2001,"&gt;="&amp;$V4,Orders!$B$2:$B$2001,"&lt;"&amp;EDATE($V4,1),Orders!$E$2:$E$2001,AJ$1)</f>
        <v>85611.84</v>
      </c>
      <c r="AK4" s="50" t="n">
        <f aca="false">SUMIFS(Orders!$I$2:$I$2001,Orders!$B$2:$B$2001,"&gt;="&amp;$V4,Orders!$B$2:$B$2001,"&lt;"&amp;EDATE($V4,1),Orders!$E$2:$E$2001,AK$1)</f>
        <v>67837.49</v>
      </c>
      <c r="AL4" s="50" t="n">
        <f aca="false">SUMIFS(Orders!$I$2:$I$2001,Orders!$B$2:$B$2001,"&gt;="&amp;$V4,Orders!$B$2:$B$2001,"&lt;"&amp;EDATE($V4,1),Orders!$E$2:$E$2001,AL$1)</f>
        <v>153834.45</v>
      </c>
      <c r="AM4" s="50" t="n">
        <f aca="false">SUMIFS(Orders!$I$2:$I$2001,Orders!$B$2:$B$2001,"&gt;="&amp;$V4,Orders!$B$2:$B$2001,"&lt;"&amp;EDATE($V4,1),Orders!$E$2:$E$2001,AM$1)</f>
        <v>120293.66</v>
      </c>
      <c r="AN4" s="50" t="n">
        <f aca="false">SUMIFS(Orders!$I$2:$I$2001,Orders!$B$2:$B$2001,"&gt;="&amp;$V4,Orders!$B$2:$B$2001,"&lt;"&amp;EDATE($V4,1),Orders!$E$2:$E$2001,AN$1)</f>
        <v>51595.62</v>
      </c>
      <c r="AO4" s="50" t="n">
        <f aca="false">SUMIFS(Orders!$I$2:$I$2001,Orders!$B$2:$B$2001,"&gt;="&amp;$V4,Orders!$B$2:$B$2001,"&lt;"&amp;EDATE($V4,1),Orders!$E$2:$E$2001,AO$1)</f>
        <v>68954.54</v>
      </c>
      <c r="AP4" s="50" t="n">
        <f aca="false">SUMIFS(Orders!$I$2:$I$2001,Orders!$B$2:$B$2001,"&gt;="&amp;$V4,Orders!$B$2:$B$2001,"&lt;"&amp;EDATE($V4,1),Orders!$E$2:$E$2001,AP$1)</f>
        <v>215416.3</v>
      </c>
      <c r="AQ4" s="50" t="n">
        <f aca="false">SUMIFS(Orders!$I$2:$I$2001,Orders!$B$2:$B$2001,"&gt;="&amp;$V4,Orders!$B$2:$B$2001,"&lt;"&amp;EDATE($V4,1),Orders!$E$2:$E$2001,AQ$1)</f>
        <v>100685.62</v>
      </c>
      <c r="AR4" s="50" t="n">
        <f aca="false">SUMIFS(Orders!$I$2:$I$2001,Orders!$B$2:$B$2001,"&gt;="&amp;$V4,Orders!$B$2:$B$2001,"&lt;"&amp;EDATE($V4,1),Orders!$E$2:$E$2001,AR$1)</f>
        <v>51327.36</v>
      </c>
      <c r="AS4" s="50" t="n">
        <f aca="false">SUMIFS(Orders!$I$2:$I$2001,Orders!$B$2:$B$2001,"&gt;="&amp;$V4,Orders!$B$2:$B$2001,"&lt;"&amp;EDATE($V4,1),Orders!$E$2:$E$2001,AS$1)</f>
        <v>82920.6</v>
      </c>
      <c r="AT4" s="50" t="n">
        <f aca="false">SUMIFS(Orders!$I$2:$I$2001,Orders!$B$2:$B$2001,"&gt;="&amp;$V4,Orders!$B$2:$B$2001,"&lt;"&amp;EDATE($V4,1),Orders!$E$2:$E$2001,AT$1)</f>
        <v>63984.05</v>
      </c>
      <c r="AU4" s="50" t="n">
        <f aca="false">SUMIFS(Orders!$I$2:$I$2001,Orders!$B$2:$B$2001,"&gt;="&amp;$V4,Orders!$B$2:$B$2001,"&lt;"&amp;EDATE($V4,1),Orders!$E$2:$E$2001,AU$1)</f>
        <v>130752.95</v>
      </c>
      <c r="AV4" s="50" t="n">
        <f aca="false">SUMIFS(Orders!$I$2:$I$2001,Orders!$B$2:$B$2001,"&gt;="&amp;$V4,Orders!$B$2:$B$2001,"&lt;"&amp;EDATE($V4,1),Orders!$E$2:$E$2001,AV$1)</f>
        <v>66759.36</v>
      </c>
      <c r="AW4" s="50" t="n">
        <f aca="false">SUMIFS(Orders!$I$2:$I$2001,Orders!$B$2:$B$2001,"&gt;="&amp;$V4,Orders!$B$2:$B$2001,"&lt;"&amp;EDATE($V4,1),Orders!$E$2:$E$2001,AW$1)</f>
        <v>36563.8</v>
      </c>
      <c r="AX4" s="50" t="n">
        <f aca="false">SUMIFS(Orders!$I$2:$I$2001,Orders!$B$2:$B$2001,"&gt;="&amp;$V4,Orders!$B$2:$B$2001,"&lt;"&amp;EDATE($V4,1),Orders!$E$2:$E$2001,AX$1)</f>
        <v>65497.58</v>
      </c>
      <c r="AY4" s="50" t="n">
        <f aca="false">SUMIFS(Orders!$I$2:$I$2001,Orders!$B$2:$B$2001,"&gt;="&amp;$V4,Orders!$B$2:$B$2001,"&lt;"&amp;EDATE($V4,1),Orders!$E$2:$E$2001,AY$1)</f>
        <v>63730.97</v>
      </c>
      <c r="AZ4" s="50" t="n">
        <f aca="false">SUMIFS(Orders!$I$2:$I$2001,Orders!$B$2:$B$2001,"&gt;="&amp;$V4,Orders!$B$2:$B$2001,"&lt;"&amp;EDATE($V4,1),Orders!$E$2:$E$2001,AZ$1)</f>
        <v>122041.06</v>
      </c>
    </row>
    <row r="5" customFormat="false" ht="15" hidden="false" customHeight="false" outlineLevel="0" collapsed="false">
      <c r="A5" s="46" t="str">
        <f aca="false">Orders!A5</f>
        <v>ORD-00004</v>
      </c>
      <c r="B5" s="46" t="str">
        <f aca="false">PROPER(TRIM(Orders!K5))</f>
        <v>Delhi</v>
      </c>
      <c r="C5" s="46" t="str">
        <f aca="false">IFERROR(VLOOKUP(Orders!D5,Products!$A$2:$F$61,3,FALSE()),"Not Found")</f>
        <v>Grocery</v>
      </c>
      <c r="D5" s="46" t="str">
        <f aca="false">IFERROR(VLOOKUP(Orders!C5,Customers!$A$2:$F$301,5,FALSE()),"Not Found")</f>
        <v>Corporate</v>
      </c>
      <c r="E5" s="46" t="n">
        <f aca="false">IFERROR(VLOOKUP(Orders!C5,Customers!$A$2:$F$301,3,FALSE()),"Not Found")</f>
        <v>46</v>
      </c>
      <c r="F5" s="46" t="str">
        <f aca="false">IFERROR(VLOOKUP(Orders!E5,Sales_Reps!$A$2:$E$31,3,FALSE()),"Not Found")</f>
        <v>North</v>
      </c>
      <c r="G5" s="46" t="n">
        <f aca="false">IFERROR(VLOOKUP(Orders!D5,Products!$A$2:$F$61,4,FALSE()),"")</f>
        <v>2214</v>
      </c>
      <c r="H5" s="47" t="n">
        <f aca="false">IF(G5="","",(Orders!G5-G5)/Orders!G5)</f>
        <v>0.395081967213115</v>
      </c>
      <c r="I5" s="46"/>
      <c r="J5" s="46" t="str">
        <f aca="false">Sales_Reps!A5</f>
        <v>R004</v>
      </c>
      <c r="K5" s="46" t="str">
        <f aca="false">Sales_Reps!B5</f>
        <v>Priya Singh</v>
      </c>
      <c r="L5" s="48" t="n">
        <f aca="false">SUMIFS(Orders!$I$2:$I$2001,Orders!$E$2:$E$2001,J5)</f>
        <v>589026.29</v>
      </c>
      <c r="M5" s="46" t="n">
        <f aca="false">RANK(L5,$L$2:$L$31,0)</f>
        <v>29</v>
      </c>
      <c r="N5" s="46"/>
      <c r="O5" s="46" t="n">
        <v>4</v>
      </c>
      <c r="P5" s="46" t="str">
        <f aca="false">INDEX($K$2:$K$31,MATCH(LARGE($L$2:$L$31,O5),$L$2:$L$31,0))</f>
        <v>Nisha Menon</v>
      </c>
      <c r="Q5" s="46"/>
      <c r="R5" s="46" t="str">
        <f aca="false">Products!A5</f>
        <v>PROD-004</v>
      </c>
      <c r="S5" s="46" t="str">
        <f aca="false">Products!B5</f>
        <v>Laptop Bag</v>
      </c>
      <c r="T5" s="48" t="n">
        <f aca="false">SUMIFS(Orders!$I$2:$I$2001,Orders!$D$2:$D$2001,R5,$F$2:$F$2001,"West")</f>
        <v>198124.65</v>
      </c>
      <c r="U5" s="46"/>
      <c r="V5" s="49" t="n">
        <f aca="false">EDATE(V4,1)</f>
        <v>45383</v>
      </c>
      <c r="W5" s="50" t="n">
        <f aca="false">SUMIFS(Orders!$I$2:$I$2001,Orders!$B$2:$B$2001,"&gt;="&amp;$V5,Orders!$B$2:$B$2001,"&lt;"&amp;EDATE($V5,1),Orders!$E$2:$E$2001,W$1)</f>
        <v>33643.48</v>
      </c>
      <c r="X5" s="50" t="n">
        <f aca="false">SUMIFS(Orders!$I$2:$I$2001,Orders!$B$2:$B$2001,"&gt;="&amp;$V5,Orders!$B$2:$B$2001,"&lt;"&amp;EDATE($V5,1),Orders!$E$2:$E$2001,X$1)</f>
        <v>46286.92</v>
      </c>
      <c r="Y5" s="50" t="n">
        <f aca="false">SUMIFS(Orders!$I$2:$I$2001,Orders!$B$2:$B$2001,"&gt;="&amp;$V5,Orders!$B$2:$B$2001,"&lt;"&amp;EDATE($V5,1),Orders!$E$2:$E$2001,Y$1)</f>
        <v>96349.86</v>
      </c>
      <c r="Z5" s="50" t="n">
        <f aca="false">SUMIFS(Orders!$I$2:$I$2001,Orders!$B$2:$B$2001,"&gt;="&amp;$V5,Orders!$B$2:$B$2001,"&lt;"&amp;EDATE($V5,1),Orders!$E$2:$E$2001,Z$1)</f>
        <v>23036.54</v>
      </c>
      <c r="AA5" s="50" t="n">
        <f aca="false">SUMIFS(Orders!$I$2:$I$2001,Orders!$B$2:$B$2001,"&gt;="&amp;$V5,Orders!$B$2:$B$2001,"&lt;"&amp;EDATE($V5,1),Orders!$E$2:$E$2001,AA$1)</f>
        <v>46025.56</v>
      </c>
      <c r="AB5" s="50" t="n">
        <f aca="false">SUMIFS(Orders!$I$2:$I$2001,Orders!$B$2:$B$2001,"&gt;="&amp;$V5,Orders!$B$2:$B$2001,"&lt;"&amp;EDATE($V5,1),Orders!$E$2:$E$2001,AB$1)</f>
        <v>170939.91</v>
      </c>
      <c r="AC5" s="50" t="n">
        <f aca="false">SUMIFS(Orders!$I$2:$I$2001,Orders!$B$2:$B$2001,"&gt;="&amp;$V5,Orders!$B$2:$B$2001,"&lt;"&amp;EDATE($V5,1),Orders!$E$2:$E$2001,AC$1)</f>
        <v>48536.18</v>
      </c>
      <c r="AD5" s="50" t="n">
        <f aca="false">SUMIFS(Orders!$I$2:$I$2001,Orders!$B$2:$B$2001,"&gt;="&amp;$V5,Orders!$B$2:$B$2001,"&lt;"&amp;EDATE($V5,1),Orders!$E$2:$E$2001,AD$1)</f>
        <v>12044.56</v>
      </c>
      <c r="AE5" s="50" t="n">
        <f aca="false">SUMIFS(Orders!$I$2:$I$2001,Orders!$B$2:$B$2001,"&gt;="&amp;$V5,Orders!$B$2:$B$2001,"&lt;"&amp;EDATE($V5,1),Orders!$E$2:$E$2001,AE$1)</f>
        <v>74565.16</v>
      </c>
      <c r="AF5" s="50" t="n">
        <f aca="false">SUMIFS(Orders!$I$2:$I$2001,Orders!$B$2:$B$2001,"&gt;="&amp;$V5,Orders!$B$2:$B$2001,"&lt;"&amp;EDATE($V5,1),Orders!$E$2:$E$2001,AF$1)</f>
        <v>41398.06</v>
      </c>
      <c r="AG5" s="50" t="n">
        <f aca="false">SUMIFS(Orders!$I$2:$I$2001,Orders!$B$2:$B$2001,"&gt;="&amp;$V5,Orders!$B$2:$B$2001,"&lt;"&amp;EDATE($V5,1),Orders!$E$2:$E$2001,AG$1)</f>
        <v>30549.1</v>
      </c>
      <c r="AH5" s="50" t="n">
        <f aca="false">SUMIFS(Orders!$I$2:$I$2001,Orders!$B$2:$B$2001,"&gt;="&amp;$V5,Orders!$B$2:$B$2001,"&lt;"&amp;EDATE($V5,1),Orders!$E$2:$E$2001,AH$1)</f>
        <v>24950.8</v>
      </c>
      <c r="AI5" s="50" t="n">
        <f aca="false">SUMIFS(Orders!$I$2:$I$2001,Orders!$B$2:$B$2001,"&gt;="&amp;$V5,Orders!$B$2:$B$2001,"&lt;"&amp;EDATE($V5,1),Orders!$E$2:$E$2001,AI$1)</f>
        <v>41420.61</v>
      </c>
      <c r="AJ5" s="50" t="n">
        <f aca="false">SUMIFS(Orders!$I$2:$I$2001,Orders!$B$2:$B$2001,"&gt;="&amp;$V5,Orders!$B$2:$B$2001,"&lt;"&amp;EDATE($V5,1),Orders!$E$2:$E$2001,AJ$1)</f>
        <v>101517.17</v>
      </c>
      <c r="AK5" s="50" t="n">
        <f aca="false">SUMIFS(Orders!$I$2:$I$2001,Orders!$B$2:$B$2001,"&gt;="&amp;$V5,Orders!$B$2:$B$2001,"&lt;"&amp;EDATE($V5,1),Orders!$E$2:$E$2001,AK$1)</f>
        <v>107626.6</v>
      </c>
      <c r="AL5" s="50" t="n">
        <f aca="false">SUMIFS(Orders!$I$2:$I$2001,Orders!$B$2:$B$2001,"&gt;="&amp;$V5,Orders!$B$2:$B$2001,"&lt;"&amp;EDATE($V5,1),Orders!$E$2:$E$2001,AL$1)</f>
        <v>75094.84</v>
      </c>
      <c r="AM5" s="50" t="n">
        <f aca="false">SUMIFS(Orders!$I$2:$I$2001,Orders!$B$2:$B$2001,"&gt;="&amp;$V5,Orders!$B$2:$B$2001,"&lt;"&amp;EDATE($V5,1),Orders!$E$2:$E$2001,AM$1)</f>
        <v>32212.65</v>
      </c>
      <c r="AN5" s="50" t="n">
        <f aca="false">SUMIFS(Orders!$I$2:$I$2001,Orders!$B$2:$B$2001,"&gt;="&amp;$V5,Orders!$B$2:$B$2001,"&lt;"&amp;EDATE($V5,1),Orders!$E$2:$E$2001,AN$1)</f>
        <v>210613.93</v>
      </c>
      <c r="AO5" s="50" t="n">
        <f aca="false">SUMIFS(Orders!$I$2:$I$2001,Orders!$B$2:$B$2001,"&gt;="&amp;$V5,Orders!$B$2:$B$2001,"&lt;"&amp;EDATE($V5,1),Orders!$E$2:$E$2001,AO$1)</f>
        <v>112510.04</v>
      </c>
      <c r="AP5" s="50" t="n">
        <f aca="false">SUMIFS(Orders!$I$2:$I$2001,Orders!$B$2:$B$2001,"&gt;="&amp;$V5,Orders!$B$2:$B$2001,"&lt;"&amp;EDATE($V5,1),Orders!$E$2:$E$2001,AP$1)</f>
        <v>49921.2</v>
      </c>
      <c r="AQ5" s="50" t="n">
        <f aca="false">SUMIFS(Orders!$I$2:$I$2001,Orders!$B$2:$B$2001,"&gt;="&amp;$V5,Orders!$B$2:$B$2001,"&lt;"&amp;EDATE($V5,1),Orders!$E$2:$E$2001,AQ$1)</f>
        <v>71054.8</v>
      </c>
      <c r="AR5" s="50" t="n">
        <f aca="false">SUMIFS(Orders!$I$2:$I$2001,Orders!$B$2:$B$2001,"&gt;="&amp;$V5,Orders!$B$2:$B$2001,"&lt;"&amp;EDATE($V5,1),Orders!$E$2:$E$2001,AR$1)</f>
        <v>93303.02</v>
      </c>
      <c r="AS5" s="50" t="n">
        <f aca="false">SUMIFS(Orders!$I$2:$I$2001,Orders!$B$2:$B$2001,"&gt;="&amp;$V5,Orders!$B$2:$B$2001,"&lt;"&amp;EDATE($V5,1),Orders!$E$2:$E$2001,AS$1)</f>
        <v>216421.52</v>
      </c>
      <c r="AT5" s="50" t="n">
        <f aca="false">SUMIFS(Orders!$I$2:$I$2001,Orders!$B$2:$B$2001,"&gt;="&amp;$V5,Orders!$B$2:$B$2001,"&lt;"&amp;EDATE($V5,1),Orders!$E$2:$E$2001,AT$1)</f>
        <v>56736.5</v>
      </c>
      <c r="AU5" s="50" t="n">
        <f aca="false">SUMIFS(Orders!$I$2:$I$2001,Orders!$B$2:$B$2001,"&gt;="&amp;$V5,Orders!$B$2:$B$2001,"&lt;"&amp;EDATE($V5,1),Orders!$E$2:$E$2001,AU$1)</f>
        <v>49945.92</v>
      </c>
      <c r="AV5" s="50" t="n">
        <f aca="false">SUMIFS(Orders!$I$2:$I$2001,Orders!$B$2:$B$2001,"&gt;="&amp;$V5,Orders!$B$2:$B$2001,"&lt;"&amp;EDATE($V5,1),Orders!$E$2:$E$2001,AV$1)</f>
        <v>131132.88</v>
      </c>
      <c r="AW5" s="50" t="n">
        <f aca="false">SUMIFS(Orders!$I$2:$I$2001,Orders!$B$2:$B$2001,"&gt;="&amp;$V5,Orders!$B$2:$B$2001,"&lt;"&amp;EDATE($V5,1),Orders!$E$2:$E$2001,AW$1)</f>
        <v>78106.28</v>
      </c>
      <c r="AX5" s="50" t="n">
        <f aca="false">SUMIFS(Orders!$I$2:$I$2001,Orders!$B$2:$B$2001,"&gt;="&amp;$V5,Orders!$B$2:$B$2001,"&lt;"&amp;EDATE($V5,1),Orders!$E$2:$E$2001,AX$1)</f>
        <v>45577.73</v>
      </c>
      <c r="AY5" s="50" t="n">
        <f aca="false">SUMIFS(Orders!$I$2:$I$2001,Orders!$B$2:$B$2001,"&gt;="&amp;$V5,Orders!$B$2:$B$2001,"&lt;"&amp;EDATE($V5,1),Orders!$E$2:$E$2001,AY$1)</f>
        <v>124581.45</v>
      </c>
      <c r="AZ5" s="50" t="n">
        <f aca="false">SUMIFS(Orders!$I$2:$I$2001,Orders!$B$2:$B$2001,"&gt;="&amp;$V5,Orders!$B$2:$B$2001,"&lt;"&amp;EDATE($V5,1),Orders!$E$2:$E$2001,AZ$1)</f>
        <v>36350.86</v>
      </c>
    </row>
    <row r="6" customFormat="false" ht="15" hidden="false" customHeight="false" outlineLevel="0" collapsed="false">
      <c r="A6" s="46" t="str">
        <f aca="false">Orders!A6</f>
        <v>ORD-00005</v>
      </c>
      <c r="B6" s="46" t="str">
        <f aca="false">PROPER(TRIM(Orders!K6))</f>
        <v>Chennai</v>
      </c>
      <c r="C6" s="46" t="str">
        <f aca="false">IFERROR(VLOOKUP(Orders!D6,Products!$A$2:$F$61,3,FALSE()),"Not Found")</f>
        <v>Apparel</v>
      </c>
      <c r="D6" s="46" t="str">
        <f aca="false">IFERROR(VLOOKUP(Orders!C6,Customers!$A$2:$F$301,5,FALSE()),"Not Found")</f>
        <v>Retail</v>
      </c>
      <c r="E6" s="46" t="n">
        <f aca="false">IFERROR(VLOOKUP(Orders!C6,Customers!$A$2:$F$301,3,FALSE()),"Not Found")</f>
        <v>36</v>
      </c>
      <c r="F6" s="46" t="str">
        <f aca="false">IFERROR(VLOOKUP(Orders!E6,Sales_Reps!$A$2:$E$31,3,FALSE()),"Not Found")</f>
        <v>North</v>
      </c>
      <c r="G6" s="46" t="n">
        <f aca="false">IFERROR(VLOOKUP(Orders!D6,Products!$A$2:$F$61,4,FALSE()),"")</f>
        <v>1886</v>
      </c>
      <c r="H6" s="47" t="n">
        <f aca="false">IF(G6="","",(Orders!G6-G6)/Orders!G6)</f>
        <v>0.403164556962025</v>
      </c>
      <c r="I6" s="46"/>
      <c r="J6" s="46" t="str">
        <f aca="false">Sales_Reps!A6</f>
        <v>R005</v>
      </c>
      <c r="K6" s="46" t="str">
        <f aca="false">Sales_Reps!B6</f>
        <v>Vikram Patel</v>
      </c>
      <c r="L6" s="48" t="n">
        <f aca="false">SUMIFS(Orders!$I$2:$I$2001,Orders!$E$2:$E$2001,J6)</f>
        <v>782445.33</v>
      </c>
      <c r="M6" s="46" t="n">
        <f aca="false">RANK(L6,$L$2:$L$31,0)</f>
        <v>24</v>
      </c>
      <c r="N6" s="46"/>
      <c r="O6" s="46" t="n">
        <v>5</v>
      </c>
      <c r="P6" s="46" t="str">
        <f aca="false">INDEX($K$2:$K$31,MATCH(LARGE($L$2:$L$31,O6),$L$2:$L$31,0))</f>
        <v>Arun Iyer</v>
      </c>
      <c r="Q6" s="46"/>
      <c r="R6" s="46" t="str">
        <f aca="false">Products!A6</f>
        <v>PROD-005</v>
      </c>
      <c r="S6" s="46" t="str">
        <f aca="false">Products!B6</f>
        <v>Power Bank</v>
      </c>
      <c r="T6" s="48" t="n">
        <f aca="false">SUMIFS(Orders!$I$2:$I$2001,Orders!$D$2:$D$2001,R6,$F$2:$F$2001,"West")</f>
        <v>7449.9</v>
      </c>
      <c r="U6" s="46"/>
      <c r="V6" s="49" t="n">
        <f aca="false">EDATE(V5,1)</f>
        <v>45413</v>
      </c>
      <c r="W6" s="50" t="n">
        <f aca="false">SUMIFS(Orders!$I$2:$I$2001,Orders!$B$2:$B$2001,"&gt;="&amp;$V6,Orders!$B$2:$B$2001,"&lt;"&amp;EDATE($V6,1),Orders!$E$2:$E$2001,W$1)</f>
        <v>44809.66</v>
      </c>
      <c r="X6" s="50" t="n">
        <f aca="false">SUMIFS(Orders!$I$2:$I$2001,Orders!$B$2:$B$2001,"&gt;="&amp;$V6,Orders!$B$2:$B$2001,"&lt;"&amp;EDATE($V6,1),Orders!$E$2:$E$2001,X$1)</f>
        <v>89794.86</v>
      </c>
      <c r="Y6" s="50" t="n">
        <f aca="false">SUMIFS(Orders!$I$2:$I$2001,Orders!$B$2:$B$2001,"&gt;="&amp;$V6,Orders!$B$2:$B$2001,"&lt;"&amp;EDATE($V6,1),Orders!$E$2:$E$2001,Y$1)</f>
        <v>139257.72</v>
      </c>
      <c r="Z6" s="50" t="n">
        <f aca="false">SUMIFS(Orders!$I$2:$I$2001,Orders!$B$2:$B$2001,"&gt;="&amp;$V6,Orders!$B$2:$B$2001,"&lt;"&amp;EDATE($V6,1),Orders!$E$2:$E$2001,Z$1)</f>
        <v>140739.8</v>
      </c>
      <c r="AA6" s="50" t="n">
        <f aca="false">SUMIFS(Orders!$I$2:$I$2001,Orders!$B$2:$B$2001,"&gt;="&amp;$V6,Orders!$B$2:$B$2001,"&lt;"&amp;EDATE($V6,1),Orders!$E$2:$E$2001,AA$1)</f>
        <v>67702.82</v>
      </c>
      <c r="AB6" s="50" t="n">
        <f aca="false">SUMIFS(Orders!$I$2:$I$2001,Orders!$B$2:$B$2001,"&gt;="&amp;$V6,Orders!$B$2:$B$2001,"&lt;"&amp;EDATE($V6,1),Orders!$E$2:$E$2001,AB$1)</f>
        <v>78322.48</v>
      </c>
      <c r="AC6" s="50" t="n">
        <f aca="false">SUMIFS(Orders!$I$2:$I$2001,Orders!$B$2:$B$2001,"&gt;="&amp;$V6,Orders!$B$2:$B$2001,"&lt;"&amp;EDATE($V6,1),Orders!$E$2:$E$2001,AC$1)</f>
        <v>41157.84</v>
      </c>
      <c r="AD6" s="50" t="n">
        <f aca="false">SUMIFS(Orders!$I$2:$I$2001,Orders!$B$2:$B$2001,"&gt;="&amp;$V6,Orders!$B$2:$B$2001,"&lt;"&amp;EDATE($V6,1),Orders!$E$2:$E$2001,AD$1)</f>
        <v>67200.57</v>
      </c>
      <c r="AE6" s="50" t="n">
        <f aca="false">SUMIFS(Orders!$I$2:$I$2001,Orders!$B$2:$B$2001,"&gt;="&amp;$V6,Orders!$B$2:$B$2001,"&lt;"&amp;EDATE($V6,1),Orders!$E$2:$E$2001,AE$1)</f>
        <v>100231.54</v>
      </c>
      <c r="AF6" s="50" t="n">
        <f aca="false">SUMIFS(Orders!$I$2:$I$2001,Orders!$B$2:$B$2001,"&gt;="&amp;$V6,Orders!$B$2:$B$2001,"&lt;"&amp;EDATE($V6,1),Orders!$E$2:$E$2001,AF$1)</f>
        <v>83732.94</v>
      </c>
      <c r="AG6" s="50" t="n">
        <f aca="false">SUMIFS(Orders!$I$2:$I$2001,Orders!$B$2:$B$2001,"&gt;="&amp;$V6,Orders!$B$2:$B$2001,"&lt;"&amp;EDATE($V6,1),Orders!$E$2:$E$2001,AG$1)</f>
        <v>10392.16</v>
      </c>
      <c r="AH6" s="50" t="n">
        <f aca="false">SUMIFS(Orders!$I$2:$I$2001,Orders!$B$2:$B$2001,"&gt;="&amp;$V6,Orders!$B$2:$B$2001,"&lt;"&amp;EDATE($V6,1),Orders!$E$2:$E$2001,AH$1)</f>
        <v>37183.63</v>
      </c>
      <c r="AI6" s="50" t="n">
        <f aca="false">SUMIFS(Orders!$I$2:$I$2001,Orders!$B$2:$B$2001,"&gt;="&amp;$V6,Orders!$B$2:$B$2001,"&lt;"&amp;EDATE($V6,1),Orders!$E$2:$E$2001,AI$1)</f>
        <v>80787.31</v>
      </c>
      <c r="AJ6" s="50" t="n">
        <f aca="false">SUMIFS(Orders!$I$2:$I$2001,Orders!$B$2:$B$2001,"&gt;="&amp;$V6,Orders!$B$2:$B$2001,"&lt;"&amp;EDATE($V6,1),Orders!$E$2:$E$2001,AJ$1)</f>
        <v>154170.2</v>
      </c>
      <c r="AK6" s="50" t="n">
        <f aca="false">SUMIFS(Orders!$I$2:$I$2001,Orders!$B$2:$B$2001,"&gt;="&amp;$V6,Orders!$B$2:$B$2001,"&lt;"&amp;EDATE($V6,1),Orders!$E$2:$E$2001,AK$1)</f>
        <v>146185.96</v>
      </c>
      <c r="AL6" s="50" t="n">
        <f aca="false">SUMIFS(Orders!$I$2:$I$2001,Orders!$B$2:$B$2001,"&gt;="&amp;$V6,Orders!$B$2:$B$2001,"&lt;"&amp;EDATE($V6,1),Orders!$E$2:$E$2001,AL$1)</f>
        <v>67937.96</v>
      </c>
      <c r="AM6" s="50" t="n">
        <f aca="false">SUMIFS(Orders!$I$2:$I$2001,Orders!$B$2:$B$2001,"&gt;="&amp;$V6,Orders!$B$2:$B$2001,"&lt;"&amp;EDATE($V6,1),Orders!$E$2:$E$2001,AM$1)</f>
        <v>113791.15</v>
      </c>
      <c r="AN6" s="50" t="n">
        <f aca="false">SUMIFS(Orders!$I$2:$I$2001,Orders!$B$2:$B$2001,"&gt;="&amp;$V6,Orders!$B$2:$B$2001,"&lt;"&amp;EDATE($V6,1),Orders!$E$2:$E$2001,AN$1)</f>
        <v>173129.47</v>
      </c>
      <c r="AO6" s="50" t="n">
        <f aca="false">SUMIFS(Orders!$I$2:$I$2001,Orders!$B$2:$B$2001,"&gt;="&amp;$V6,Orders!$B$2:$B$2001,"&lt;"&amp;EDATE($V6,1),Orders!$E$2:$E$2001,AO$1)</f>
        <v>58746.86</v>
      </c>
      <c r="AP6" s="50" t="n">
        <f aca="false">SUMIFS(Orders!$I$2:$I$2001,Orders!$B$2:$B$2001,"&gt;="&amp;$V6,Orders!$B$2:$B$2001,"&lt;"&amp;EDATE($V6,1),Orders!$E$2:$E$2001,AP$1)</f>
        <v>182980.03</v>
      </c>
      <c r="AQ6" s="50" t="n">
        <f aca="false">SUMIFS(Orders!$I$2:$I$2001,Orders!$B$2:$B$2001,"&gt;="&amp;$V6,Orders!$B$2:$B$2001,"&lt;"&amp;EDATE($V6,1),Orders!$E$2:$E$2001,AQ$1)</f>
        <v>56143.78</v>
      </c>
      <c r="AR6" s="50" t="n">
        <f aca="false">SUMIFS(Orders!$I$2:$I$2001,Orders!$B$2:$B$2001,"&gt;="&amp;$V6,Orders!$B$2:$B$2001,"&lt;"&amp;EDATE($V6,1),Orders!$E$2:$E$2001,AR$1)</f>
        <v>8802.79</v>
      </c>
      <c r="AS6" s="50" t="n">
        <f aca="false">SUMIFS(Orders!$I$2:$I$2001,Orders!$B$2:$B$2001,"&gt;="&amp;$V6,Orders!$B$2:$B$2001,"&lt;"&amp;EDATE($V6,1),Orders!$E$2:$E$2001,AS$1)</f>
        <v>40444.23</v>
      </c>
      <c r="AT6" s="50" t="n">
        <f aca="false">SUMIFS(Orders!$I$2:$I$2001,Orders!$B$2:$B$2001,"&gt;="&amp;$V6,Orders!$B$2:$B$2001,"&lt;"&amp;EDATE($V6,1),Orders!$E$2:$E$2001,AT$1)</f>
        <v>125217.67</v>
      </c>
      <c r="AU6" s="50" t="n">
        <f aca="false">SUMIFS(Orders!$I$2:$I$2001,Orders!$B$2:$B$2001,"&gt;="&amp;$V6,Orders!$B$2:$B$2001,"&lt;"&amp;EDATE($V6,1),Orders!$E$2:$E$2001,AU$1)</f>
        <v>59507.42</v>
      </c>
      <c r="AV6" s="50" t="n">
        <f aca="false">SUMIFS(Orders!$I$2:$I$2001,Orders!$B$2:$B$2001,"&gt;="&amp;$V6,Orders!$B$2:$B$2001,"&lt;"&amp;EDATE($V6,1),Orders!$E$2:$E$2001,AV$1)</f>
        <v>30080.4</v>
      </c>
      <c r="AW6" s="50" t="n">
        <f aca="false">SUMIFS(Orders!$I$2:$I$2001,Orders!$B$2:$B$2001,"&gt;="&amp;$V6,Orders!$B$2:$B$2001,"&lt;"&amp;EDATE($V6,1),Orders!$E$2:$E$2001,AW$1)</f>
        <v>85103.46</v>
      </c>
      <c r="AX6" s="50" t="n">
        <f aca="false">SUMIFS(Orders!$I$2:$I$2001,Orders!$B$2:$B$2001,"&gt;="&amp;$V6,Orders!$B$2:$B$2001,"&lt;"&amp;EDATE($V6,1),Orders!$E$2:$E$2001,AX$1)</f>
        <v>68897.65</v>
      </c>
      <c r="AY6" s="50" t="n">
        <f aca="false">SUMIFS(Orders!$I$2:$I$2001,Orders!$B$2:$B$2001,"&gt;="&amp;$V6,Orders!$B$2:$B$2001,"&lt;"&amp;EDATE($V6,1),Orders!$E$2:$E$2001,AY$1)</f>
        <v>180359.49</v>
      </c>
      <c r="AZ6" s="50" t="n">
        <f aca="false">SUMIFS(Orders!$I$2:$I$2001,Orders!$B$2:$B$2001,"&gt;="&amp;$V6,Orders!$B$2:$B$2001,"&lt;"&amp;EDATE($V6,1),Orders!$E$2:$E$2001,AZ$1)</f>
        <v>47579.17</v>
      </c>
    </row>
    <row r="7" customFormat="false" ht="15" hidden="false" customHeight="false" outlineLevel="0" collapsed="false">
      <c r="A7" s="46" t="str">
        <f aca="false">Orders!A7</f>
        <v>ORD-00006</v>
      </c>
      <c r="B7" s="46" t="str">
        <f aca="false">PROPER(TRIM(Orders!K7))</f>
        <v>Mumbai</v>
      </c>
      <c r="C7" s="46" t="str">
        <f aca="false">IFERROR(VLOOKUP(Orders!D7,Products!$A$2:$F$61,3,FALSE()),"Not Found")</f>
        <v>Home</v>
      </c>
      <c r="D7" s="46" t="str">
        <f aca="false">IFERROR(VLOOKUP(Orders!C7,Customers!$A$2:$F$301,5,FALSE()),"Not Found")</f>
        <v>Retail</v>
      </c>
      <c r="E7" s="46" t="n">
        <f aca="false">IFERROR(VLOOKUP(Orders!C7,Customers!$A$2:$F$301,3,FALSE()),"Not Found")</f>
        <v>36</v>
      </c>
      <c r="F7" s="46" t="str">
        <f aca="false">IFERROR(VLOOKUP(Orders!E7,Sales_Reps!$A$2:$E$31,3,FALSE()),"Not Found")</f>
        <v>West</v>
      </c>
      <c r="G7" s="46" t="n">
        <f aca="false">IFERROR(VLOOKUP(Orders!D7,Products!$A$2:$F$61,4,FALSE()),"")</f>
        <v>288</v>
      </c>
      <c r="H7" s="47" t="n">
        <f aca="false">IF(G7="","",(Orders!G7-G7)/Orders!G7)</f>
        <v>0.221621621621622</v>
      </c>
      <c r="I7" s="46"/>
      <c r="J7" s="46" t="str">
        <f aca="false">Sales_Reps!A7</f>
        <v>R006</v>
      </c>
      <c r="K7" s="46" t="str">
        <f aca="false">Sales_Reps!B7</f>
        <v>Neha Desai</v>
      </c>
      <c r="L7" s="48" t="n">
        <f aca="false">SUMIFS(Orders!$I$2:$I$2001,Orders!$E$2:$E$2001,J7)</f>
        <v>1138648.73</v>
      </c>
      <c r="M7" s="46" t="n">
        <f aca="false">RANK(L7,$L$2:$L$31,0)</f>
        <v>1</v>
      </c>
      <c r="N7" s="46"/>
      <c r="O7" s="46"/>
      <c r="P7" s="46"/>
      <c r="Q7" s="46"/>
      <c r="R7" s="46" t="str">
        <f aca="false">Products!A7</f>
        <v>PROD-006</v>
      </c>
      <c r="S7" s="46" t="str">
        <f aca="false">Products!B7</f>
        <v>Bluetooth Speaker</v>
      </c>
      <c r="T7" s="48" t="n">
        <f aca="false">SUMIFS(Orders!$I$2:$I$2001,Orders!$D$2:$D$2001,R7,$F$2:$F$2001,"West")</f>
        <v>100869.76</v>
      </c>
      <c r="U7" s="46"/>
      <c r="V7" s="49" t="n">
        <f aca="false">EDATE(V6,1)</f>
        <v>45444</v>
      </c>
      <c r="W7" s="50" t="n">
        <f aca="false">SUMIFS(Orders!$I$2:$I$2001,Orders!$B$2:$B$2001,"&gt;="&amp;$V7,Orders!$B$2:$B$2001,"&lt;"&amp;EDATE($V7,1),Orders!$E$2:$E$2001,W$1)</f>
        <v>82789.95</v>
      </c>
      <c r="X7" s="50" t="n">
        <f aca="false">SUMIFS(Orders!$I$2:$I$2001,Orders!$B$2:$B$2001,"&gt;="&amp;$V7,Orders!$B$2:$B$2001,"&lt;"&amp;EDATE($V7,1),Orders!$E$2:$E$2001,X$1)</f>
        <v>82753.37</v>
      </c>
      <c r="Y7" s="50" t="n">
        <f aca="false">SUMIFS(Orders!$I$2:$I$2001,Orders!$B$2:$B$2001,"&gt;="&amp;$V7,Orders!$B$2:$B$2001,"&lt;"&amp;EDATE($V7,1),Orders!$E$2:$E$2001,Y$1)</f>
        <v>37966.09</v>
      </c>
      <c r="Z7" s="50" t="n">
        <f aca="false">SUMIFS(Orders!$I$2:$I$2001,Orders!$B$2:$B$2001,"&gt;="&amp;$V7,Orders!$B$2:$B$2001,"&lt;"&amp;EDATE($V7,1),Orders!$E$2:$E$2001,Z$1)</f>
        <v>42388.12</v>
      </c>
      <c r="AA7" s="50" t="n">
        <f aca="false">SUMIFS(Orders!$I$2:$I$2001,Orders!$B$2:$B$2001,"&gt;="&amp;$V7,Orders!$B$2:$B$2001,"&lt;"&amp;EDATE($V7,1),Orders!$E$2:$E$2001,AA$1)</f>
        <v>113205.32</v>
      </c>
      <c r="AB7" s="50" t="n">
        <f aca="false">SUMIFS(Orders!$I$2:$I$2001,Orders!$B$2:$B$2001,"&gt;="&amp;$V7,Orders!$B$2:$B$2001,"&lt;"&amp;EDATE($V7,1),Orders!$E$2:$E$2001,AB$1)</f>
        <v>191251.6</v>
      </c>
      <c r="AC7" s="50" t="n">
        <f aca="false">SUMIFS(Orders!$I$2:$I$2001,Orders!$B$2:$B$2001,"&gt;="&amp;$V7,Orders!$B$2:$B$2001,"&lt;"&amp;EDATE($V7,1),Orders!$E$2:$E$2001,AC$1)</f>
        <v>58895.11</v>
      </c>
      <c r="AD7" s="50" t="n">
        <f aca="false">SUMIFS(Orders!$I$2:$I$2001,Orders!$B$2:$B$2001,"&gt;="&amp;$V7,Orders!$B$2:$B$2001,"&lt;"&amp;EDATE($V7,1),Orders!$E$2:$E$2001,AD$1)</f>
        <v>82481.44</v>
      </c>
      <c r="AE7" s="50" t="n">
        <f aca="false">SUMIFS(Orders!$I$2:$I$2001,Orders!$B$2:$B$2001,"&gt;="&amp;$V7,Orders!$B$2:$B$2001,"&lt;"&amp;EDATE($V7,1),Orders!$E$2:$E$2001,AE$1)</f>
        <v>69794.65</v>
      </c>
      <c r="AF7" s="50" t="n">
        <f aca="false">SUMIFS(Orders!$I$2:$I$2001,Orders!$B$2:$B$2001,"&gt;="&amp;$V7,Orders!$B$2:$B$2001,"&lt;"&amp;EDATE($V7,1),Orders!$E$2:$E$2001,AF$1)</f>
        <v>29458.16</v>
      </c>
      <c r="AG7" s="50" t="n">
        <f aca="false">SUMIFS(Orders!$I$2:$I$2001,Orders!$B$2:$B$2001,"&gt;="&amp;$V7,Orders!$B$2:$B$2001,"&lt;"&amp;EDATE($V7,1),Orders!$E$2:$E$2001,AG$1)</f>
        <v>45625.44</v>
      </c>
      <c r="AH7" s="50" t="n">
        <f aca="false">SUMIFS(Orders!$I$2:$I$2001,Orders!$B$2:$B$2001,"&gt;="&amp;$V7,Orders!$B$2:$B$2001,"&lt;"&amp;EDATE($V7,1),Orders!$E$2:$E$2001,AH$1)</f>
        <v>59218.28</v>
      </c>
      <c r="AI7" s="50" t="n">
        <f aca="false">SUMIFS(Orders!$I$2:$I$2001,Orders!$B$2:$B$2001,"&gt;="&amp;$V7,Orders!$B$2:$B$2001,"&lt;"&amp;EDATE($V7,1),Orders!$E$2:$E$2001,AI$1)</f>
        <v>33836.58</v>
      </c>
      <c r="AJ7" s="50" t="n">
        <f aca="false">SUMIFS(Orders!$I$2:$I$2001,Orders!$B$2:$B$2001,"&gt;="&amp;$V7,Orders!$B$2:$B$2001,"&lt;"&amp;EDATE($V7,1),Orders!$E$2:$E$2001,AJ$1)</f>
        <v>15951.6</v>
      </c>
      <c r="AK7" s="50" t="n">
        <f aca="false">SUMIFS(Orders!$I$2:$I$2001,Orders!$B$2:$B$2001,"&gt;="&amp;$V7,Orders!$B$2:$B$2001,"&lt;"&amp;EDATE($V7,1),Orders!$E$2:$E$2001,AK$1)</f>
        <v>12840.4</v>
      </c>
      <c r="AL7" s="50" t="n">
        <f aca="false">SUMIFS(Orders!$I$2:$I$2001,Orders!$B$2:$B$2001,"&gt;="&amp;$V7,Orders!$B$2:$B$2001,"&lt;"&amp;EDATE($V7,1),Orders!$E$2:$E$2001,AL$1)</f>
        <v>55791.51</v>
      </c>
      <c r="AM7" s="50" t="n">
        <f aca="false">SUMIFS(Orders!$I$2:$I$2001,Orders!$B$2:$B$2001,"&gt;="&amp;$V7,Orders!$B$2:$B$2001,"&lt;"&amp;EDATE($V7,1),Orders!$E$2:$E$2001,AM$1)</f>
        <v>73782.34</v>
      </c>
      <c r="AN7" s="50" t="n">
        <f aca="false">SUMIFS(Orders!$I$2:$I$2001,Orders!$B$2:$B$2001,"&gt;="&amp;$V7,Orders!$B$2:$B$2001,"&lt;"&amp;EDATE($V7,1),Orders!$E$2:$E$2001,AN$1)</f>
        <v>117809.47</v>
      </c>
      <c r="AO7" s="50" t="n">
        <f aca="false">SUMIFS(Orders!$I$2:$I$2001,Orders!$B$2:$B$2001,"&gt;="&amp;$V7,Orders!$B$2:$B$2001,"&lt;"&amp;EDATE($V7,1),Orders!$E$2:$E$2001,AO$1)</f>
        <v>107491.78</v>
      </c>
      <c r="AP7" s="50" t="n">
        <f aca="false">SUMIFS(Orders!$I$2:$I$2001,Orders!$B$2:$B$2001,"&gt;="&amp;$V7,Orders!$B$2:$B$2001,"&lt;"&amp;EDATE($V7,1),Orders!$E$2:$E$2001,AP$1)</f>
        <v>90724.13</v>
      </c>
      <c r="AQ7" s="50" t="n">
        <f aca="false">SUMIFS(Orders!$I$2:$I$2001,Orders!$B$2:$B$2001,"&gt;="&amp;$V7,Orders!$B$2:$B$2001,"&lt;"&amp;EDATE($V7,1),Orders!$E$2:$E$2001,AQ$1)</f>
        <v>65924.82</v>
      </c>
      <c r="AR7" s="50" t="n">
        <f aca="false">SUMIFS(Orders!$I$2:$I$2001,Orders!$B$2:$B$2001,"&gt;="&amp;$V7,Orders!$B$2:$B$2001,"&lt;"&amp;EDATE($V7,1),Orders!$E$2:$E$2001,AR$1)</f>
        <v>61415.64</v>
      </c>
      <c r="AS7" s="50" t="n">
        <f aca="false">SUMIFS(Orders!$I$2:$I$2001,Orders!$B$2:$B$2001,"&gt;="&amp;$V7,Orders!$B$2:$B$2001,"&lt;"&amp;EDATE($V7,1),Orders!$E$2:$E$2001,AS$1)</f>
        <v>102315.15</v>
      </c>
      <c r="AT7" s="50" t="n">
        <f aca="false">SUMIFS(Orders!$I$2:$I$2001,Orders!$B$2:$B$2001,"&gt;="&amp;$V7,Orders!$B$2:$B$2001,"&lt;"&amp;EDATE($V7,1),Orders!$E$2:$E$2001,AT$1)</f>
        <v>53450.71</v>
      </c>
      <c r="AU7" s="50" t="n">
        <f aca="false">SUMIFS(Orders!$I$2:$I$2001,Orders!$B$2:$B$2001,"&gt;="&amp;$V7,Orders!$B$2:$B$2001,"&lt;"&amp;EDATE($V7,1),Orders!$E$2:$E$2001,AU$1)</f>
        <v>66753.66</v>
      </c>
      <c r="AV7" s="50" t="n">
        <f aca="false">SUMIFS(Orders!$I$2:$I$2001,Orders!$B$2:$B$2001,"&gt;="&amp;$V7,Orders!$B$2:$B$2001,"&lt;"&amp;EDATE($V7,1),Orders!$E$2:$E$2001,AV$1)</f>
        <v>19115.52</v>
      </c>
      <c r="AW7" s="50" t="n">
        <f aca="false">SUMIFS(Orders!$I$2:$I$2001,Orders!$B$2:$B$2001,"&gt;="&amp;$V7,Orders!$B$2:$B$2001,"&lt;"&amp;EDATE($V7,1),Orders!$E$2:$E$2001,AW$1)</f>
        <v>49268.73</v>
      </c>
      <c r="AX7" s="50" t="n">
        <f aca="false">SUMIFS(Orders!$I$2:$I$2001,Orders!$B$2:$B$2001,"&gt;="&amp;$V7,Orders!$B$2:$B$2001,"&lt;"&amp;EDATE($V7,1),Orders!$E$2:$E$2001,AX$1)</f>
        <v>47140.72</v>
      </c>
      <c r="AY7" s="50" t="n">
        <f aca="false">SUMIFS(Orders!$I$2:$I$2001,Orders!$B$2:$B$2001,"&gt;="&amp;$V7,Orders!$B$2:$B$2001,"&lt;"&amp;EDATE($V7,1),Orders!$E$2:$E$2001,AY$1)</f>
        <v>29011.88</v>
      </c>
      <c r="AZ7" s="50" t="n">
        <f aca="false">SUMIFS(Orders!$I$2:$I$2001,Orders!$B$2:$B$2001,"&gt;="&amp;$V7,Orders!$B$2:$B$2001,"&lt;"&amp;EDATE($V7,1),Orders!$E$2:$E$2001,AZ$1)</f>
        <v>67486.9</v>
      </c>
    </row>
    <row r="8" customFormat="false" ht="15" hidden="false" customHeight="false" outlineLevel="0" collapsed="false">
      <c r="A8" s="46" t="str">
        <f aca="false">Orders!A8</f>
        <v>ORD-00007</v>
      </c>
      <c r="B8" s="46" t="str">
        <f aca="false">PROPER(TRIM(Orders!K8))</f>
        <v>Bengaluru</v>
      </c>
      <c r="C8" s="46" t="str">
        <f aca="false">IFERROR(VLOOKUP(Orders!D8,Products!$A$2:$F$61,3,FALSE()),"Not Found")</f>
        <v>Sports</v>
      </c>
      <c r="D8" s="46" t="str">
        <f aca="false">IFERROR(VLOOKUP(Orders!C8,Customers!$A$2:$F$301,5,FALSE()),"Not Found")</f>
        <v>Retail</v>
      </c>
      <c r="E8" s="46" t="n">
        <f aca="false">IFERROR(VLOOKUP(Orders!C8,Customers!$A$2:$F$301,3,FALSE()),"Not Found")</f>
        <v>27</v>
      </c>
      <c r="F8" s="46" t="str">
        <f aca="false">IFERROR(VLOOKUP(Orders!E8,Sales_Reps!$A$2:$E$31,3,FALSE()),"Not Found")</f>
        <v>West</v>
      </c>
      <c r="G8" s="46" t="n">
        <f aca="false">IFERROR(VLOOKUP(Orders!D8,Products!$A$2:$F$61,4,FALSE()),"")</f>
        <v>705</v>
      </c>
      <c r="H8" s="47" t="n">
        <f aca="false">IF(G8="","",(Orders!G8-G8)/Orders!G8)</f>
        <v>0.265625</v>
      </c>
      <c r="I8" s="46"/>
      <c r="J8" s="46" t="str">
        <f aca="false">Sales_Reps!A8</f>
        <v>R007</v>
      </c>
      <c r="K8" s="46" t="str">
        <f aca="false">Sales_Reps!B8</f>
        <v>Suresh Menon</v>
      </c>
      <c r="L8" s="48" t="n">
        <f aca="false">SUMIFS(Orders!$I$2:$I$2001,Orders!$E$2:$E$2001,J8)</f>
        <v>855749.68</v>
      </c>
      <c r="M8" s="46" t="n">
        <f aca="false">RANK(L8,$L$2:$L$31,0)</f>
        <v>19</v>
      </c>
      <c r="N8" s="46"/>
      <c r="O8" s="46"/>
      <c r="P8" s="46"/>
      <c r="Q8" s="46"/>
      <c r="R8" s="46" t="str">
        <f aca="false">Products!A8</f>
        <v>PROD-007</v>
      </c>
      <c r="S8" s="46" t="str">
        <f aca="false">Products!B8</f>
        <v>USB-C Cable</v>
      </c>
      <c r="T8" s="48" t="n">
        <f aca="false">SUMIFS(Orders!$I$2:$I$2001,Orders!$D$2:$D$2001,R8,$F$2:$F$2001,"West")</f>
        <v>38531.35</v>
      </c>
      <c r="U8" s="46"/>
      <c r="V8" s="49" t="n">
        <f aca="false">EDATE(V7,1)</f>
        <v>45474</v>
      </c>
      <c r="W8" s="50" t="n">
        <f aca="false">SUMIFS(Orders!$I$2:$I$2001,Orders!$B$2:$B$2001,"&gt;="&amp;$V8,Orders!$B$2:$B$2001,"&lt;"&amp;EDATE($V8,1),Orders!$E$2:$E$2001,W$1)</f>
        <v>28761.2</v>
      </c>
      <c r="X8" s="50" t="n">
        <f aca="false">SUMIFS(Orders!$I$2:$I$2001,Orders!$B$2:$B$2001,"&gt;="&amp;$V8,Orders!$B$2:$B$2001,"&lt;"&amp;EDATE($V8,1),Orders!$E$2:$E$2001,X$1)</f>
        <v>62949.74</v>
      </c>
      <c r="Y8" s="50" t="n">
        <f aca="false">SUMIFS(Orders!$I$2:$I$2001,Orders!$B$2:$B$2001,"&gt;="&amp;$V8,Orders!$B$2:$B$2001,"&lt;"&amp;EDATE($V8,1),Orders!$E$2:$E$2001,Y$1)</f>
        <v>185921.75</v>
      </c>
      <c r="Z8" s="50" t="n">
        <f aca="false">SUMIFS(Orders!$I$2:$I$2001,Orders!$B$2:$B$2001,"&gt;="&amp;$V8,Orders!$B$2:$B$2001,"&lt;"&amp;EDATE($V8,1),Orders!$E$2:$E$2001,Z$1)</f>
        <v>7823.48</v>
      </c>
      <c r="AA8" s="50" t="n">
        <f aca="false">SUMIFS(Orders!$I$2:$I$2001,Orders!$B$2:$B$2001,"&gt;="&amp;$V8,Orders!$B$2:$B$2001,"&lt;"&amp;EDATE($V8,1),Orders!$E$2:$E$2001,AA$1)</f>
        <v>20649.35</v>
      </c>
      <c r="AB8" s="50" t="n">
        <f aca="false">SUMIFS(Orders!$I$2:$I$2001,Orders!$B$2:$B$2001,"&gt;="&amp;$V8,Orders!$B$2:$B$2001,"&lt;"&amp;EDATE($V8,1),Orders!$E$2:$E$2001,AB$1)</f>
        <v>38479.32</v>
      </c>
      <c r="AC8" s="50" t="n">
        <f aca="false">SUMIFS(Orders!$I$2:$I$2001,Orders!$B$2:$B$2001,"&gt;="&amp;$V8,Orders!$B$2:$B$2001,"&lt;"&amp;EDATE($V8,1),Orders!$E$2:$E$2001,AC$1)</f>
        <v>11528.24</v>
      </c>
      <c r="AD8" s="50" t="n">
        <f aca="false">SUMIFS(Orders!$I$2:$I$2001,Orders!$B$2:$B$2001,"&gt;="&amp;$V8,Orders!$B$2:$B$2001,"&lt;"&amp;EDATE($V8,1),Orders!$E$2:$E$2001,AD$1)</f>
        <v>75853.47</v>
      </c>
      <c r="AE8" s="50" t="n">
        <f aca="false">SUMIFS(Orders!$I$2:$I$2001,Orders!$B$2:$B$2001,"&gt;="&amp;$V8,Orders!$B$2:$B$2001,"&lt;"&amp;EDATE($V8,1),Orders!$E$2:$E$2001,AE$1)</f>
        <v>99012.62</v>
      </c>
      <c r="AF8" s="50" t="n">
        <f aca="false">SUMIFS(Orders!$I$2:$I$2001,Orders!$B$2:$B$2001,"&gt;="&amp;$V8,Orders!$B$2:$B$2001,"&lt;"&amp;EDATE($V8,1),Orders!$E$2:$E$2001,AF$1)</f>
        <v>96008.48</v>
      </c>
      <c r="AG8" s="50" t="n">
        <f aca="false">SUMIFS(Orders!$I$2:$I$2001,Orders!$B$2:$B$2001,"&gt;="&amp;$V8,Orders!$B$2:$B$2001,"&lt;"&amp;EDATE($V8,1),Orders!$E$2:$E$2001,AG$1)</f>
        <v>31373.22</v>
      </c>
      <c r="AH8" s="50" t="n">
        <f aca="false">SUMIFS(Orders!$I$2:$I$2001,Orders!$B$2:$B$2001,"&gt;="&amp;$V8,Orders!$B$2:$B$2001,"&lt;"&amp;EDATE($V8,1),Orders!$E$2:$E$2001,AH$1)</f>
        <v>75017.78</v>
      </c>
      <c r="AI8" s="50" t="n">
        <f aca="false">SUMIFS(Orders!$I$2:$I$2001,Orders!$B$2:$B$2001,"&gt;="&amp;$V8,Orders!$B$2:$B$2001,"&lt;"&amp;EDATE($V8,1),Orders!$E$2:$E$2001,AI$1)</f>
        <v>32733.74</v>
      </c>
      <c r="AJ8" s="50" t="n">
        <f aca="false">SUMIFS(Orders!$I$2:$I$2001,Orders!$B$2:$B$2001,"&gt;="&amp;$V8,Orders!$B$2:$B$2001,"&lt;"&amp;EDATE($V8,1),Orders!$E$2:$E$2001,AJ$1)</f>
        <v>74760.15</v>
      </c>
      <c r="AK8" s="50" t="n">
        <f aca="false">SUMIFS(Orders!$I$2:$I$2001,Orders!$B$2:$B$2001,"&gt;="&amp;$V8,Orders!$B$2:$B$2001,"&lt;"&amp;EDATE($V8,1),Orders!$E$2:$E$2001,AK$1)</f>
        <v>51083.42</v>
      </c>
      <c r="AL8" s="50" t="n">
        <f aca="false">SUMIFS(Orders!$I$2:$I$2001,Orders!$B$2:$B$2001,"&gt;="&amp;$V8,Orders!$B$2:$B$2001,"&lt;"&amp;EDATE($V8,1),Orders!$E$2:$E$2001,AL$1)</f>
        <v>70547.11</v>
      </c>
      <c r="AM8" s="50" t="n">
        <f aca="false">SUMIFS(Orders!$I$2:$I$2001,Orders!$B$2:$B$2001,"&gt;="&amp;$V8,Orders!$B$2:$B$2001,"&lt;"&amp;EDATE($V8,1),Orders!$E$2:$E$2001,AM$1)</f>
        <v>4516.7</v>
      </c>
      <c r="AN8" s="50" t="n">
        <f aca="false">SUMIFS(Orders!$I$2:$I$2001,Orders!$B$2:$B$2001,"&gt;="&amp;$V8,Orders!$B$2:$B$2001,"&lt;"&amp;EDATE($V8,1),Orders!$E$2:$E$2001,AN$1)</f>
        <v>41039.88</v>
      </c>
      <c r="AO8" s="50" t="n">
        <f aca="false">SUMIFS(Orders!$I$2:$I$2001,Orders!$B$2:$B$2001,"&gt;="&amp;$V8,Orders!$B$2:$B$2001,"&lt;"&amp;EDATE($V8,1),Orders!$E$2:$E$2001,AO$1)</f>
        <v>72372.48</v>
      </c>
      <c r="AP8" s="50" t="n">
        <f aca="false">SUMIFS(Orders!$I$2:$I$2001,Orders!$B$2:$B$2001,"&gt;="&amp;$V8,Orders!$B$2:$B$2001,"&lt;"&amp;EDATE($V8,1),Orders!$E$2:$E$2001,AP$1)</f>
        <v>28955.71</v>
      </c>
      <c r="AQ8" s="50" t="n">
        <f aca="false">SUMIFS(Orders!$I$2:$I$2001,Orders!$B$2:$B$2001,"&gt;="&amp;$V8,Orders!$B$2:$B$2001,"&lt;"&amp;EDATE($V8,1),Orders!$E$2:$E$2001,AQ$1)</f>
        <v>72167.3</v>
      </c>
      <c r="AR8" s="50" t="n">
        <f aca="false">SUMIFS(Orders!$I$2:$I$2001,Orders!$B$2:$B$2001,"&gt;="&amp;$V8,Orders!$B$2:$B$2001,"&lt;"&amp;EDATE($V8,1),Orders!$E$2:$E$2001,AR$1)</f>
        <v>210918.24</v>
      </c>
      <c r="AS8" s="50" t="n">
        <f aca="false">SUMIFS(Orders!$I$2:$I$2001,Orders!$B$2:$B$2001,"&gt;="&amp;$V8,Orders!$B$2:$B$2001,"&lt;"&amp;EDATE($V8,1),Orders!$E$2:$E$2001,AS$1)</f>
        <v>89062.99</v>
      </c>
      <c r="AT8" s="50" t="n">
        <f aca="false">SUMIFS(Orders!$I$2:$I$2001,Orders!$B$2:$B$2001,"&gt;="&amp;$V8,Orders!$B$2:$B$2001,"&lt;"&amp;EDATE($V8,1),Orders!$E$2:$E$2001,AT$1)</f>
        <v>58773.84</v>
      </c>
      <c r="AU8" s="50" t="n">
        <f aca="false">SUMIFS(Orders!$I$2:$I$2001,Orders!$B$2:$B$2001,"&gt;="&amp;$V8,Orders!$B$2:$B$2001,"&lt;"&amp;EDATE($V8,1),Orders!$E$2:$E$2001,AU$1)</f>
        <v>140235.22</v>
      </c>
      <c r="AV8" s="50" t="n">
        <f aca="false">SUMIFS(Orders!$I$2:$I$2001,Orders!$B$2:$B$2001,"&gt;="&amp;$V8,Orders!$B$2:$B$2001,"&lt;"&amp;EDATE($V8,1),Orders!$E$2:$E$2001,AV$1)</f>
        <v>13927.63</v>
      </c>
      <c r="AW8" s="50" t="n">
        <f aca="false">SUMIFS(Orders!$I$2:$I$2001,Orders!$B$2:$B$2001,"&gt;="&amp;$V8,Orders!$B$2:$B$2001,"&lt;"&amp;EDATE($V8,1),Orders!$E$2:$E$2001,AW$1)</f>
        <v>32250.52</v>
      </c>
      <c r="AX8" s="50" t="n">
        <f aca="false">SUMIFS(Orders!$I$2:$I$2001,Orders!$B$2:$B$2001,"&gt;="&amp;$V8,Orders!$B$2:$B$2001,"&lt;"&amp;EDATE($V8,1),Orders!$E$2:$E$2001,AX$1)</f>
        <v>88182.8</v>
      </c>
      <c r="AY8" s="50" t="n">
        <f aca="false">SUMIFS(Orders!$I$2:$I$2001,Orders!$B$2:$B$2001,"&gt;="&amp;$V8,Orders!$B$2:$B$2001,"&lt;"&amp;EDATE($V8,1),Orders!$E$2:$E$2001,AY$1)</f>
        <v>60836.13</v>
      </c>
      <c r="AZ8" s="50" t="n">
        <f aca="false">SUMIFS(Orders!$I$2:$I$2001,Orders!$B$2:$B$2001,"&gt;="&amp;$V8,Orders!$B$2:$B$2001,"&lt;"&amp;EDATE($V8,1),Orders!$E$2:$E$2001,AZ$1)</f>
        <v>89271.18</v>
      </c>
    </row>
    <row r="9" customFormat="false" ht="15" hidden="false" customHeight="false" outlineLevel="0" collapsed="false">
      <c r="A9" s="46" t="str">
        <f aca="false">Orders!A9</f>
        <v>ORD-00008</v>
      </c>
      <c r="B9" s="46" t="str">
        <f aca="false">PROPER(TRIM(Orders!K9))</f>
        <v>Bengaluru</v>
      </c>
      <c r="C9" s="46" t="str">
        <f aca="false">IFERROR(VLOOKUP(Orders!D9,Products!$A$2:$F$61,3,FALSE()),"Not Found")</f>
        <v>Electronics</v>
      </c>
      <c r="D9" s="46" t="str">
        <f aca="false">IFERROR(VLOOKUP(Orders!C9,Customers!$A$2:$F$301,5,FALSE()),"Not Found")</f>
        <v>Corporate</v>
      </c>
      <c r="E9" s="46" t="n">
        <f aca="false">IFERROR(VLOOKUP(Orders!C9,Customers!$A$2:$F$301,3,FALSE()),"Not Found")</f>
        <v>57</v>
      </c>
      <c r="F9" s="46" t="str">
        <f aca="false">IFERROR(VLOOKUP(Orders!E9,Sales_Reps!$A$2:$E$31,3,FALSE()),"Not Found")</f>
        <v>East</v>
      </c>
      <c r="G9" s="46" t="n">
        <f aca="false">IFERROR(VLOOKUP(Orders!D9,Products!$A$2:$F$61,4,FALSE()),"")</f>
        <v>861</v>
      </c>
      <c r="H9" s="47" t="n">
        <f aca="false">IF(G9="","",(Orders!G9-G9)/Orders!G9)</f>
        <v>0.397902097902098</v>
      </c>
      <c r="I9" s="46"/>
      <c r="J9" s="46" t="str">
        <f aca="false">Sales_Reps!A9</f>
        <v>R008</v>
      </c>
      <c r="K9" s="46" t="str">
        <f aca="false">Sales_Reps!B9</f>
        <v>Kavita Patel</v>
      </c>
      <c r="L9" s="48" t="n">
        <f aca="false">SUMIFS(Orders!$I$2:$I$2001,Orders!$E$2:$E$2001,J9)</f>
        <v>861553.33</v>
      </c>
      <c r="M9" s="46" t="n">
        <f aca="false">RANK(L9,$L$2:$L$31,0)</f>
        <v>18</v>
      </c>
      <c r="N9" s="46"/>
      <c r="O9" s="46"/>
      <c r="P9" s="46"/>
      <c r="Q9" s="46"/>
      <c r="R9" s="46" t="str">
        <f aca="false">Products!A9</f>
        <v>PROD-008</v>
      </c>
      <c r="S9" s="46" t="str">
        <f aca="false">Products!B9</f>
        <v>Wireless Mouse</v>
      </c>
      <c r="T9" s="48" t="n">
        <f aca="false">SUMIFS(Orders!$I$2:$I$2001,Orders!$D$2:$D$2001,R9,$F$2:$F$2001,"West")</f>
        <v>7807.1</v>
      </c>
      <c r="U9" s="46"/>
      <c r="V9" s="49" t="n">
        <f aca="false">EDATE(V8,1)</f>
        <v>45505</v>
      </c>
      <c r="W9" s="50" t="n">
        <f aca="false">SUMIFS(Orders!$I$2:$I$2001,Orders!$B$2:$B$2001,"&gt;="&amp;$V9,Orders!$B$2:$B$2001,"&lt;"&amp;EDATE($V9,1),Orders!$E$2:$E$2001,W$1)</f>
        <v>92676.92</v>
      </c>
      <c r="X9" s="50" t="n">
        <f aca="false">SUMIFS(Orders!$I$2:$I$2001,Orders!$B$2:$B$2001,"&gt;="&amp;$V9,Orders!$B$2:$B$2001,"&lt;"&amp;EDATE($V9,1),Orders!$E$2:$E$2001,X$1)</f>
        <v>134500.5</v>
      </c>
      <c r="Y9" s="50" t="n">
        <f aca="false">SUMIFS(Orders!$I$2:$I$2001,Orders!$B$2:$B$2001,"&gt;="&amp;$V9,Orders!$B$2:$B$2001,"&lt;"&amp;EDATE($V9,1),Orders!$E$2:$E$2001,Y$1)</f>
        <v>114656.27</v>
      </c>
      <c r="Z9" s="50" t="n">
        <f aca="false">SUMIFS(Orders!$I$2:$I$2001,Orders!$B$2:$B$2001,"&gt;="&amp;$V9,Orders!$B$2:$B$2001,"&lt;"&amp;EDATE($V9,1),Orders!$E$2:$E$2001,Z$1)</f>
        <v>55975.34</v>
      </c>
      <c r="AA9" s="50" t="n">
        <f aca="false">SUMIFS(Orders!$I$2:$I$2001,Orders!$B$2:$B$2001,"&gt;="&amp;$V9,Orders!$B$2:$B$2001,"&lt;"&amp;EDATE($V9,1),Orders!$E$2:$E$2001,AA$1)</f>
        <v>15060.28</v>
      </c>
      <c r="AB9" s="50" t="n">
        <f aca="false">SUMIFS(Orders!$I$2:$I$2001,Orders!$B$2:$B$2001,"&gt;="&amp;$V9,Orders!$B$2:$B$2001,"&lt;"&amp;EDATE($V9,1),Orders!$E$2:$E$2001,AB$1)</f>
        <v>61857.9</v>
      </c>
      <c r="AC9" s="50" t="n">
        <f aca="false">SUMIFS(Orders!$I$2:$I$2001,Orders!$B$2:$B$2001,"&gt;="&amp;$V9,Orders!$B$2:$B$2001,"&lt;"&amp;EDATE($V9,1),Orders!$E$2:$E$2001,AC$1)</f>
        <v>70196.8</v>
      </c>
      <c r="AD9" s="50" t="n">
        <f aca="false">SUMIFS(Orders!$I$2:$I$2001,Orders!$B$2:$B$2001,"&gt;="&amp;$V9,Orders!$B$2:$B$2001,"&lt;"&amp;EDATE($V9,1),Orders!$E$2:$E$2001,AD$1)</f>
        <v>61043.44</v>
      </c>
      <c r="AE9" s="50" t="n">
        <f aca="false">SUMIFS(Orders!$I$2:$I$2001,Orders!$B$2:$B$2001,"&gt;="&amp;$V9,Orders!$B$2:$B$2001,"&lt;"&amp;EDATE($V9,1),Orders!$E$2:$E$2001,AE$1)</f>
        <v>116575.85</v>
      </c>
      <c r="AF9" s="50" t="n">
        <f aca="false">SUMIFS(Orders!$I$2:$I$2001,Orders!$B$2:$B$2001,"&gt;="&amp;$V9,Orders!$B$2:$B$2001,"&lt;"&amp;EDATE($V9,1),Orders!$E$2:$E$2001,AF$1)</f>
        <v>111335.79</v>
      </c>
      <c r="AG9" s="50" t="n">
        <f aca="false">SUMIFS(Orders!$I$2:$I$2001,Orders!$B$2:$B$2001,"&gt;="&amp;$V9,Orders!$B$2:$B$2001,"&lt;"&amp;EDATE($V9,1),Orders!$E$2:$E$2001,AG$1)</f>
        <v>129473.96</v>
      </c>
      <c r="AH9" s="50" t="n">
        <f aca="false">SUMIFS(Orders!$I$2:$I$2001,Orders!$B$2:$B$2001,"&gt;="&amp;$V9,Orders!$B$2:$B$2001,"&lt;"&amp;EDATE($V9,1),Orders!$E$2:$E$2001,AH$1)</f>
        <v>115185.59</v>
      </c>
      <c r="AI9" s="50" t="n">
        <f aca="false">SUMIFS(Orders!$I$2:$I$2001,Orders!$B$2:$B$2001,"&gt;="&amp;$V9,Orders!$B$2:$B$2001,"&lt;"&amp;EDATE($V9,1),Orders!$E$2:$E$2001,AI$1)</f>
        <v>70557.86</v>
      </c>
      <c r="AJ9" s="50" t="n">
        <f aca="false">SUMIFS(Orders!$I$2:$I$2001,Orders!$B$2:$B$2001,"&gt;="&amp;$V9,Orders!$B$2:$B$2001,"&lt;"&amp;EDATE($V9,1),Orders!$E$2:$E$2001,AJ$1)</f>
        <v>113977.94</v>
      </c>
      <c r="AK9" s="50" t="n">
        <f aca="false">SUMIFS(Orders!$I$2:$I$2001,Orders!$B$2:$B$2001,"&gt;="&amp;$V9,Orders!$B$2:$B$2001,"&lt;"&amp;EDATE($V9,1),Orders!$E$2:$E$2001,AK$1)</f>
        <v>114985.86</v>
      </c>
      <c r="AL9" s="50" t="n">
        <f aca="false">SUMIFS(Orders!$I$2:$I$2001,Orders!$B$2:$B$2001,"&gt;="&amp;$V9,Orders!$B$2:$B$2001,"&lt;"&amp;EDATE($V9,1),Orders!$E$2:$E$2001,AL$1)</f>
        <v>119357.27</v>
      </c>
      <c r="AM9" s="50" t="n">
        <f aca="false">SUMIFS(Orders!$I$2:$I$2001,Orders!$B$2:$B$2001,"&gt;="&amp;$V9,Orders!$B$2:$B$2001,"&lt;"&amp;EDATE($V9,1),Orders!$E$2:$E$2001,AM$1)</f>
        <v>88015.95</v>
      </c>
      <c r="AN9" s="50" t="n">
        <f aca="false">SUMIFS(Orders!$I$2:$I$2001,Orders!$B$2:$B$2001,"&gt;="&amp;$V9,Orders!$B$2:$B$2001,"&lt;"&amp;EDATE($V9,1),Orders!$E$2:$E$2001,AN$1)</f>
        <v>26814.3</v>
      </c>
      <c r="AO9" s="50" t="n">
        <f aca="false">SUMIFS(Orders!$I$2:$I$2001,Orders!$B$2:$B$2001,"&gt;="&amp;$V9,Orders!$B$2:$B$2001,"&lt;"&amp;EDATE($V9,1),Orders!$E$2:$E$2001,AO$1)</f>
        <v>20666.8</v>
      </c>
      <c r="AP9" s="50" t="n">
        <f aca="false">SUMIFS(Orders!$I$2:$I$2001,Orders!$B$2:$B$2001,"&gt;="&amp;$V9,Orders!$B$2:$B$2001,"&lt;"&amp;EDATE($V9,1),Orders!$E$2:$E$2001,AP$1)</f>
        <v>107718.33</v>
      </c>
      <c r="AQ9" s="50" t="n">
        <f aca="false">SUMIFS(Orders!$I$2:$I$2001,Orders!$B$2:$B$2001,"&gt;="&amp;$V9,Orders!$B$2:$B$2001,"&lt;"&amp;EDATE($V9,1),Orders!$E$2:$E$2001,AQ$1)</f>
        <v>44212.2</v>
      </c>
      <c r="AR9" s="50" t="n">
        <f aca="false">SUMIFS(Orders!$I$2:$I$2001,Orders!$B$2:$B$2001,"&gt;="&amp;$V9,Orders!$B$2:$B$2001,"&lt;"&amp;EDATE($V9,1),Orders!$E$2:$E$2001,AR$1)</f>
        <v>81133.64</v>
      </c>
      <c r="AS9" s="50" t="n">
        <f aca="false">SUMIFS(Orders!$I$2:$I$2001,Orders!$B$2:$B$2001,"&gt;="&amp;$V9,Orders!$B$2:$B$2001,"&lt;"&amp;EDATE($V9,1),Orders!$E$2:$E$2001,AS$1)</f>
        <v>50585.6</v>
      </c>
      <c r="AT9" s="50" t="n">
        <f aca="false">SUMIFS(Orders!$I$2:$I$2001,Orders!$B$2:$B$2001,"&gt;="&amp;$V9,Orders!$B$2:$B$2001,"&lt;"&amp;EDATE($V9,1),Orders!$E$2:$E$2001,AT$1)</f>
        <v>66015.24</v>
      </c>
      <c r="AU9" s="50" t="n">
        <f aca="false">SUMIFS(Orders!$I$2:$I$2001,Orders!$B$2:$B$2001,"&gt;="&amp;$V9,Orders!$B$2:$B$2001,"&lt;"&amp;EDATE($V9,1),Orders!$E$2:$E$2001,AU$1)</f>
        <v>61143.74</v>
      </c>
      <c r="AV9" s="50" t="n">
        <f aca="false">SUMIFS(Orders!$I$2:$I$2001,Orders!$B$2:$B$2001,"&gt;="&amp;$V9,Orders!$B$2:$B$2001,"&lt;"&amp;EDATE($V9,1),Orders!$E$2:$E$2001,AV$1)</f>
        <v>89359.82</v>
      </c>
      <c r="AW9" s="50" t="n">
        <f aca="false">SUMIFS(Orders!$I$2:$I$2001,Orders!$B$2:$B$2001,"&gt;="&amp;$V9,Orders!$B$2:$B$2001,"&lt;"&amp;EDATE($V9,1),Orders!$E$2:$E$2001,AW$1)</f>
        <v>18606.83</v>
      </c>
      <c r="AX9" s="50" t="n">
        <f aca="false">SUMIFS(Orders!$I$2:$I$2001,Orders!$B$2:$B$2001,"&gt;="&amp;$V9,Orders!$B$2:$B$2001,"&lt;"&amp;EDATE($V9,1),Orders!$E$2:$E$2001,AX$1)</f>
        <v>168231.25</v>
      </c>
      <c r="AY9" s="50" t="n">
        <f aca="false">SUMIFS(Orders!$I$2:$I$2001,Orders!$B$2:$B$2001,"&gt;="&amp;$V9,Orders!$B$2:$B$2001,"&lt;"&amp;EDATE($V9,1),Orders!$E$2:$E$2001,AY$1)</f>
        <v>134005.79</v>
      </c>
      <c r="AZ9" s="50" t="n">
        <f aca="false">SUMIFS(Orders!$I$2:$I$2001,Orders!$B$2:$B$2001,"&gt;="&amp;$V9,Orders!$B$2:$B$2001,"&lt;"&amp;EDATE($V9,1),Orders!$E$2:$E$2001,AZ$1)</f>
        <v>74000.9</v>
      </c>
    </row>
    <row r="10" customFormat="false" ht="15" hidden="false" customHeight="false" outlineLevel="0" collapsed="false">
      <c r="A10" s="46" t="str">
        <f aca="false">Orders!A10</f>
        <v>ORD-00009</v>
      </c>
      <c r="B10" s="46" t="str">
        <f aca="false">PROPER(TRIM(Orders!K10))</f>
        <v>Bengaluru</v>
      </c>
      <c r="C10" s="46" t="str">
        <f aca="false">IFERROR(VLOOKUP(Orders!D10,Products!$A$2:$F$61,3,FALSE()),"Not Found")</f>
        <v>Home</v>
      </c>
      <c r="D10" s="46" t="str">
        <f aca="false">IFERROR(VLOOKUP(Orders!C10,Customers!$A$2:$F$301,5,FALSE()),"Not Found")</f>
        <v>Retail</v>
      </c>
      <c r="E10" s="46" t="n">
        <f aca="false">IFERROR(VLOOKUP(Orders!C10,Customers!$A$2:$F$301,3,FALSE()),"Not Found")</f>
        <v>42</v>
      </c>
      <c r="F10" s="46" t="str">
        <f aca="false">IFERROR(VLOOKUP(Orders!E10,Sales_Reps!$A$2:$E$31,3,FALSE()),"Not Found")</f>
        <v>North</v>
      </c>
      <c r="G10" s="46" t="n">
        <f aca="false">IFERROR(VLOOKUP(Orders!D10,Products!$A$2:$F$61,4,FALSE()),"")</f>
        <v>2549</v>
      </c>
      <c r="H10" s="47" t="n">
        <f aca="false">IF(G10="","",(Orders!G10-G10)/Orders!G10)</f>
        <v>0.535701275045537</v>
      </c>
      <c r="I10" s="46"/>
      <c r="J10" s="46" t="str">
        <f aca="false">Sales_Reps!A10</f>
        <v>R009</v>
      </c>
      <c r="K10" s="46" t="str">
        <f aca="false">Sales_Reps!B10</f>
        <v>Manoj Patel</v>
      </c>
      <c r="L10" s="48" t="n">
        <f aca="false">SUMIFS(Orders!$I$2:$I$2001,Orders!$E$2:$E$2001,J10)</f>
        <v>914554.72</v>
      </c>
      <c r="M10" s="46" t="n">
        <f aca="false">RANK(L10,$L$2:$L$31,0)</f>
        <v>12</v>
      </c>
      <c r="N10" s="46"/>
      <c r="O10" s="46"/>
      <c r="P10" s="46"/>
      <c r="Q10" s="46"/>
      <c r="R10" s="46" t="str">
        <f aca="false">Products!A10</f>
        <v>PROD-009</v>
      </c>
      <c r="S10" s="46" t="str">
        <f aca="false">Products!B10</f>
        <v>Mechanical Keyboard</v>
      </c>
      <c r="T10" s="48" t="n">
        <f aca="false">SUMIFS(Orders!$I$2:$I$2001,Orders!$D$2:$D$2001,R10,$F$2:$F$2001,"West")</f>
        <v>64207.38</v>
      </c>
      <c r="U10" s="46"/>
      <c r="V10" s="49" t="n">
        <f aca="false">EDATE(V9,1)</f>
        <v>45536</v>
      </c>
      <c r="W10" s="50" t="n">
        <f aca="false">SUMIFS(Orders!$I$2:$I$2001,Orders!$B$2:$B$2001,"&gt;="&amp;$V10,Orders!$B$2:$B$2001,"&lt;"&amp;EDATE($V10,1),Orders!$E$2:$E$2001,W$1)</f>
        <v>88884.34</v>
      </c>
      <c r="X10" s="50" t="n">
        <f aca="false">SUMIFS(Orders!$I$2:$I$2001,Orders!$B$2:$B$2001,"&gt;="&amp;$V10,Orders!$B$2:$B$2001,"&lt;"&amp;EDATE($V10,1),Orders!$E$2:$E$2001,X$1)</f>
        <v>91647.29</v>
      </c>
      <c r="Y10" s="50" t="n">
        <f aca="false">SUMIFS(Orders!$I$2:$I$2001,Orders!$B$2:$B$2001,"&gt;="&amp;$V10,Orders!$B$2:$B$2001,"&lt;"&amp;EDATE($V10,1),Orders!$E$2:$E$2001,Y$1)</f>
        <v>69896.72</v>
      </c>
      <c r="Z10" s="50" t="n">
        <f aca="false">SUMIFS(Orders!$I$2:$I$2001,Orders!$B$2:$B$2001,"&gt;="&amp;$V10,Orders!$B$2:$B$2001,"&lt;"&amp;EDATE($V10,1),Orders!$E$2:$E$2001,Z$1)</f>
        <v>46944.28</v>
      </c>
      <c r="AA10" s="50" t="n">
        <f aca="false">SUMIFS(Orders!$I$2:$I$2001,Orders!$B$2:$B$2001,"&gt;="&amp;$V10,Orders!$B$2:$B$2001,"&lt;"&amp;EDATE($V10,1),Orders!$E$2:$E$2001,AA$1)</f>
        <v>81963.69</v>
      </c>
      <c r="AB10" s="50" t="n">
        <f aca="false">SUMIFS(Orders!$I$2:$I$2001,Orders!$B$2:$B$2001,"&gt;="&amp;$V10,Orders!$B$2:$B$2001,"&lt;"&amp;EDATE($V10,1),Orders!$E$2:$E$2001,AB$1)</f>
        <v>76627.83</v>
      </c>
      <c r="AC10" s="50" t="n">
        <f aca="false">SUMIFS(Orders!$I$2:$I$2001,Orders!$B$2:$B$2001,"&gt;="&amp;$V10,Orders!$B$2:$B$2001,"&lt;"&amp;EDATE($V10,1),Orders!$E$2:$E$2001,AC$1)</f>
        <v>52194.15</v>
      </c>
      <c r="AD10" s="50" t="n">
        <f aca="false">SUMIFS(Orders!$I$2:$I$2001,Orders!$B$2:$B$2001,"&gt;="&amp;$V10,Orders!$B$2:$B$2001,"&lt;"&amp;EDATE($V10,1),Orders!$E$2:$E$2001,AD$1)</f>
        <v>49404.64</v>
      </c>
      <c r="AE10" s="50" t="n">
        <f aca="false">SUMIFS(Orders!$I$2:$I$2001,Orders!$B$2:$B$2001,"&gt;="&amp;$V10,Orders!$B$2:$B$2001,"&lt;"&amp;EDATE($V10,1),Orders!$E$2:$E$2001,AE$1)</f>
        <v>98466.52</v>
      </c>
      <c r="AF10" s="50" t="n">
        <f aca="false">SUMIFS(Orders!$I$2:$I$2001,Orders!$B$2:$B$2001,"&gt;="&amp;$V10,Orders!$B$2:$B$2001,"&lt;"&amp;EDATE($V10,1),Orders!$E$2:$E$2001,AF$1)</f>
        <v>146100.57</v>
      </c>
      <c r="AG10" s="50" t="n">
        <f aca="false">SUMIFS(Orders!$I$2:$I$2001,Orders!$B$2:$B$2001,"&gt;="&amp;$V10,Orders!$B$2:$B$2001,"&lt;"&amp;EDATE($V10,1),Orders!$E$2:$E$2001,AG$1)</f>
        <v>88472.06</v>
      </c>
      <c r="AH10" s="50" t="n">
        <f aca="false">SUMIFS(Orders!$I$2:$I$2001,Orders!$B$2:$B$2001,"&gt;="&amp;$V10,Orders!$B$2:$B$2001,"&lt;"&amp;EDATE($V10,1),Orders!$E$2:$E$2001,AH$1)</f>
        <v>104717.03</v>
      </c>
      <c r="AI10" s="50" t="n">
        <f aca="false">SUMIFS(Orders!$I$2:$I$2001,Orders!$B$2:$B$2001,"&gt;="&amp;$V10,Orders!$B$2:$B$2001,"&lt;"&amp;EDATE($V10,1),Orders!$E$2:$E$2001,AI$1)</f>
        <v>63389.33</v>
      </c>
      <c r="AJ10" s="50" t="n">
        <f aca="false">SUMIFS(Orders!$I$2:$I$2001,Orders!$B$2:$B$2001,"&gt;="&amp;$V10,Orders!$B$2:$B$2001,"&lt;"&amp;EDATE($V10,1),Orders!$E$2:$E$2001,AJ$1)</f>
        <v>45673.51</v>
      </c>
      <c r="AK10" s="50" t="n">
        <f aca="false">SUMIFS(Orders!$I$2:$I$2001,Orders!$B$2:$B$2001,"&gt;="&amp;$V10,Orders!$B$2:$B$2001,"&lt;"&amp;EDATE($V10,1),Orders!$E$2:$E$2001,AK$1)</f>
        <v>92815.3</v>
      </c>
      <c r="AL10" s="50" t="n">
        <f aca="false">SUMIFS(Orders!$I$2:$I$2001,Orders!$B$2:$B$2001,"&gt;="&amp;$V10,Orders!$B$2:$B$2001,"&lt;"&amp;EDATE($V10,1),Orders!$E$2:$E$2001,AL$1)</f>
        <v>34105.56</v>
      </c>
      <c r="AM10" s="50" t="n">
        <f aca="false">SUMIFS(Orders!$I$2:$I$2001,Orders!$B$2:$B$2001,"&gt;="&amp;$V10,Orders!$B$2:$B$2001,"&lt;"&amp;EDATE($V10,1),Orders!$E$2:$E$2001,AM$1)</f>
        <v>75893.02</v>
      </c>
      <c r="AN10" s="50" t="n">
        <f aca="false">SUMIFS(Orders!$I$2:$I$2001,Orders!$B$2:$B$2001,"&gt;="&amp;$V10,Orders!$B$2:$B$2001,"&lt;"&amp;EDATE($V10,1),Orders!$E$2:$E$2001,AN$1)</f>
        <v>29070.76</v>
      </c>
      <c r="AO10" s="50" t="n">
        <f aca="false">SUMIFS(Orders!$I$2:$I$2001,Orders!$B$2:$B$2001,"&gt;="&amp;$V10,Orders!$B$2:$B$2001,"&lt;"&amp;EDATE($V10,1),Orders!$E$2:$E$2001,AO$1)</f>
        <v>34590.78</v>
      </c>
      <c r="AP10" s="50" t="n">
        <f aca="false">SUMIFS(Orders!$I$2:$I$2001,Orders!$B$2:$B$2001,"&gt;="&amp;$V10,Orders!$B$2:$B$2001,"&lt;"&amp;EDATE($V10,1),Orders!$E$2:$E$2001,AP$1)</f>
        <v>57555.72</v>
      </c>
      <c r="AQ10" s="50" t="n">
        <f aca="false">SUMIFS(Orders!$I$2:$I$2001,Orders!$B$2:$B$2001,"&gt;="&amp;$V10,Orders!$B$2:$B$2001,"&lt;"&amp;EDATE($V10,1),Orders!$E$2:$E$2001,AQ$1)</f>
        <v>108409.59</v>
      </c>
      <c r="AR10" s="50" t="n">
        <f aca="false">SUMIFS(Orders!$I$2:$I$2001,Orders!$B$2:$B$2001,"&gt;="&amp;$V10,Orders!$B$2:$B$2001,"&lt;"&amp;EDATE($V10,1),Orders!$E$2:$E$2001,AR$1)</f>
        <v>87991.22</v>
      </c>
      <c r="AS10" s="50" t="n">
        <f aca="false">SUMIFS(Orders!$I$2:$I$2001,Orders!$B$2:$B$2001,"&gt;="&amp;$V10,Orders!$B$2:$B$2001,"&lt;"&amp;EDATE($V10,1),Orders!$E$2:$E$2001,AS$1)</f>
        <v>50462.58</v>
      </c>
      <c r="AT10" s="50" t="n">
        <f aca="false">SUMIFS(Orders!$I$2:$I$2001,Orders!$B$2:$B$2001,"&gt;="&amp;$V10,Orders!$B$2:$B$2001,"&lt;"&amp;EDATE($V10,1),Orders!$E$2:$E$2001,AT$1)</f>
        <v>16909.74</v>
      </c>
      <c r="AU10" s="50" t="n">
        <f aca="false">SUMIFS(Orders!$I$2:$I$2001,Orders!$B$2:$B$2001,"&gt;="&amp;$V10,Orders!$B$2:$B$2001,"&lt;"&amp;EDATE($V10,1),Orders!$E$2:$E$2001,AU$1)</f>
        <v>121716.58</v>
      </c>
      <c r="AV10" s="50" t="n">
        <f aca="false">SUMIFS(Orders!$I$2:$I$2001,Orders!$B$2:$B$2001,"&gt;="&amp;$V10,Orders!$B$2:$B$2001,"&lt;"&amp;EDATE($V10,1),Orders!$E$2:$E$2001,AV$1)</f>
        <v>26249.42</v>
      </c>
      <c r="AW10" s="50" t="n">
        <f aca="false">SUMIFS(Orders!$I$2:$I$2001,Orders!$B$2:$B$2001,"&gt;="&amp;$V10,Orders!$B$2:$B$2001,"&lt;"&amp;EDATE($V10,1),Orders!$E$2:$E$2001,AW$1)</f>
        <v>133645.8</v>
      </c>
      <c r="AX10" s="50" t="n">
        <f aca="false">SUMIFS(Orders!$I$2:$I$2001,Orders!$B$2:$B$2001,"&gt;="&amp;$V10,Orders!$B$2:$B$2001,"&lt;"&amp;EDATE($V10,1),Orders!$E$2:$E$2001,AX$1)</f>
        <v>44209.14</v>
      </c>
      <c r="AY10" s="50" t="n">
        <f aca="false">SUMIFS(Orders!$I$2:$I$2001,Orders!$B$2:$B$2001,"&gt;="&amp;$V10,Orders!$B$2:$B$2001,"&lt;"&amp;EDATE($V10,1),Orders!$E$2:$E$2001,AY$1)</f>
        <v>18360.24</v>
      </c>
      <c r="AZ10" s="50" t="n">
        <f aca="false">SUMIFS(Orders!$I$2:$I$2001,Orders!$B$2:$B$2001,"&gt;="&amp;$V10,Orders!$B$2:$B$2001,"&lt;"&amp;EDATE($V10,1),Orders!$E$2:$E$2001,AZ$1)</f>
        <v>26448.21</v>
      </c>
    </row>
    <row r="11" customFormat="false" ht="15" hidden="false" customHeight="false" outlineLevel="0" collapsed="false">
      <c r="A11" s="46" t="str">
        <f aca="false">Orders!A11</f>
        <v>ORD-00010</v>
      </c>
      <c r="B11" s="46" t="str">
        <f aca="false">PROPER(TRIM(Orders!K11))</f>
        <v>Pune</v>
      </c>
      <c r="C11" s="46" t="str">
        <f aca="false">IFERROR(VLOOKUP(Orders!D11,Products!$A$2:$F$61,3,FALSE()),"Not Found")</f>
        <v>Grocery</v>
      </c>
      <c r="D11" s="46" t="str">
        <f aca="false">IFERROR(VLOOKUP(Orders!C11,Customers!$A$2:$F$301,5,FALSE()),"Not Found")</f>
        <v>Retail</v>
      </c>
      <c r="E11" s="46" t="n">
        <f aca="false">IFERROR(VLOOKUP(Orders!C11,Customers!$A$2:$F$301,3,FALSE()),"Not Found")</f>
        <v>56</v>
      </c>
      <c r="F11" s="46" t="str">
        <f aca="false">IFERROR(VLOOKUP(Orders!E11,Sales_Reps!$A$2:$E$31,3,FALSE()),"Not Found")</f>
        <v>West</v>
      </c>
      <c r="G11" s="46" t="n">
        <f aca="false">IFERROR(VLOOKUP(Orders!D11,Products!$A$2:$F$61,4,FALSE()),"")</f>
        <v>434</v>
      </c>
      <c r="H11" s="47" t="n">
        <f aca="false">IF(G11="","",(Orders!G11-G11)/Orders!G11)</f>
        <v>0.552577319587629</v>
      </c>
      <c r="I11" s="46"/>
      <c r="J11" s="46" t="str">
        <f aca="false">Sales_Reps!A11</f>
        <v>R010</v>
      </c>
      <c r="K11" s="46" t="str">
        <f aca="false">Sales_Reps!B11</f>
        <v>Divya Rao</v>
      </c>
      <c r="L11" s="48" t="n">
        <f aca="false">SUMIFS(Orders!$I$2:$I$2001,Orders!$E$2:$E$2001,J11)</f>
        <v>880345.2</v>
      </c>
      <c r="M11" s="46" t="n">
        <f aca="false">RANK(L11,$L$2:$L$31,0)</f>
        <v>17</v>
      </c>
      <c r="N11" s="46"/>
      <c r="O11" s="46"/>
      <c r="P11" s="46"/>
      <c r="Q11" s="46"/>
      <c r="R11" s="46" t="str">
        <f aca="false">Products!A11</f>
        <v>PROD-010</v>
      </c>
      <c r="S11" s="46" t="str">
        <f aca="false">Products!B11</f>
        <v>Tablet Stand</v>
      </c>
      <c r="T11" s="48" t="n">
        <f aca="false">SUMIFS(Orders!$I$2:$I$2001,Orders!$D$2:$D$2001,R11,$F$2:$F$2001,"West")</f>
        <v>67393.92</v>
      </c>
      <c r="U11" s="46"/>
      <c r="V11" s="49" t="n">
        <f aca="false">EDATE(V10,1)</f>
        <v>45566</v>
      </c>
      <c r="W11" s="50" t="n">
        <f aca="false">SUMIFS(Orders!$I$2:$I$2001,Orders!$B$2:$B$2001,"&gt;="&amp;$V11,Orders!$B$2:$B$2001,"&lt;"&amp;EDATE($V11,1),Orders!$E$2:$E$2001,W$1)</f>
        <v>37753.9</v>
      </c>
      <c r="X11" s="50" t="n">
        <f aca="false">SUMIFS(Orders!$I$2:$I$2001,Orders!$B$2:$B$2001,"&gt;="&amp;$V11,Orders!$B$2:$B$2001,"&lt;"&amp;EDATE($V11,1),Orders!$E$2:$E$2001,X$1)</f>
        <v>35751.81</v>
      </c>
      <c r="Y11" s="50" t="n">
        <f aca="false">SUMIFS(Orders!$I$2:$I$2001,Orders!$B$2:$B$2001,"&gt;="&amp;$V11,Orders!$B$2:$B$2001,"&lt;"&amp;EDATE($V11,1),Orders!$E$2:$E$2001,Y$1)</f>
        <v>29309.98</v>
      </c>
      <c r="Z11" s="50" t="n">
        <f aca="false">SUMIFS(Orders!$I$2:$I$2001,Orders!$B$2:$B$2001,"&gt;="&amp;$V11,Orders!$B$2:$B$2001,"&lt;"&amp;EDATE($V11,1),Orders!$E$2:$E$2001,Z$1)</f>
        <v>43456.18</v>
      </c>
      <c r="AA11" s="50" t="n">
        <f aca="false">SUMIFS(Orders!$I$2:$I$2001,Orders!$B$2:$B$2001,"&gt;="&amp;$V11,Orders!$B$2:$B$2001,"&lt;"&amp;EDATE($V11,1),Orders!$E$2:$E$2001,AA$1)</f>
        <v>99252.77</v>
      </c>
      <c r="AB11" s="50" t="n">
        <f aca="false">SUMIFS(Orders!$I$2:$I$2001,Orders!$B$2:$B$2001,"&gt;="&amp;$V11,Orders!$B$2:$B$2001,"&lt;"&amp;EDATE($V11,1),Orders!$E$2:$E$2001,AB$1)</f>
        <v>52942.27</v>
      </c>
      <c r="AC11" s="50" t="n">
        <f aca="false">SUMIFS(Orders!$I$2:$I$2001,Orders!$B$2:$B$2001,"&gt;="&amp;$V11,Orders!$B$2:$B$2001,"&lt;"&amp;EDATE($V11,1),Orders!$E$2:$E$2001,AC$1)</f>
        <v>57313.75</v>
      </c>
      <c r="AD11" s="50" t="n">
        <f aca="false">SUMIFS(Orders!$I$2:$I$2001,Orders!$B$2:$B$2001,"&gt;="&amp;$V11,Orders!$B$2:$B$2001,"&lt;"&amp;EDATE($V11,1),Orders!$E$2:$E$2001,AD$1)</f>
        <v>26620.46</v>
      </c>
      <c r="AE11" s="50" t="n">
        <f aca="false">SUMIFS(Orders!$I$2:$I$2001,Orders!$B$2:$B$2001,"&gt;="&amp;$V11,Orders!$B$2:$B$2001,"&lt;"&amp;EDATE($V11,1),Orders!$E$2:$E$2001,AE$1)</f>
        <v>107648.92</v>
      </c>
      <c r="AF11" s="50" t="n">
        <f aca="false">SUMIFS(Orders!$I$2:$I$2001,Orders!$B$2:$B$2001,"&gt;="&amp;$V11,Orders!$B$2:$B$2001,"&lt;"&amp;EDATE($V11,1),Orders!$E$2:$E$2001,AF$1)</f>
        <v>64630.99</v>
      </c>
      <c r="AG11" s="50" t="n">
        <f aca="false">SUMIFS(Orders!$I$2:$I$2001,Orders!$B$2:$B$2001,"&gt;="&amp;$V11,Orders!$B$2:$B$2001,"&lt;"&amp;EDATE($V11,1),Orders!$E$2:$E$2001,AG$1)</f>
        <v>55503.48</v>
      </c>
      <c r="AH11" s="50" t="n">
        <f aca="false">SUMIFS(Orders!$I$2:$I$2001,Orders!$B$2:$B$2001,"&gt;="&amp;$V11,Orders!$B$2:$B$2001,"&lt;"&amp;EDATE($V11,1),Orders!$E$2:$E$2001,AH$1)</f>
        <v>89150.85</v>
      </c>
      <c r="AI11" s="50" t="n">
        <f aca="false">SUMIFS(Orders!$I$2:$I$2001,Orders!$B$2:$B$2001,"&gt;="&amp;$V11,Orders!$B$2:$B$2001,"&lt;"&amp;EDATE($V11,1),Orders!$E$2:$E$2001,AI$1)</f>
        <v>46714.58</v>
      </c>
      <c r="AJ11" s="50" t="n">
        <f aca="false">SUMIFS(Orders!$I$2:$I$2001,Orders!$B$2:$B$2001,"&gt;="&amp;$V11,Orders!$B$2:$B$2001,"&lt;"&amp;EDATE($V11,1),Orders!$E$2:$E$2001,AJ$1)</f>
        <v>80097.18</v>
      </c>
      <c r="AK11" s="50" t="n">
        <f aca="false">SUMIFS(Orders!$I$2:$I$2001,Orders!$B$2:$B$2001,"&gt;="&amp;$V11,Orders!$B$2:$B$2001,"&lt;"&amp;EDATE($V11,1),Orders!$E$2:$E$2001,AK$1)</f>
        <v>119179.18</v>
      </c>
      <c r="AL11" s="50" t="n">
        <f aca="false">SUMIFS(Orders!$I$2:$I$2001,Orders!$B$2:$B$2001,"&gt;="&amp;$V11,Orders!$B$2:$B$2001,"&lt;"&amp;EDATE($V11,1),Orders!$E$2:$E$2001,AL$1)</f>
        <v>55604.09</v>
      </c>
      <c r="AM11" s="50" t="n">
        <f aca="false">SUMIFS(Orders!$I$2:$I$2001,Orders!$B$2:$B$2001,"&gt;="&amp;$V11,Orders!$B$2:$B$2001,"&lt;"&amp;EDATE($V11,1),Orders!$E$2:$E$2001,AM$1)</f>
        <v>75670.28</v>
      </c>
      <c r="AN11" s="50" t="n">
        <f aca="false">SUMIFS(Orders!$I$2:$I$2001,Orders!$B$2:$B$2001,"&gt;="&amp;$V11,Orders!$B$2:$B$2001,"&lt;"&amp;EDATE($V11,1),Orders!$E$2:$E$2001,AN$1)</f>
        <v>109087.31</v>
      </c>
      <c r="AO11" s="50" t="n">
        <f aca="false">SUMIFS(Orders!$I$2:$I$2001,Orders!$B$2:$B$2001,"&gt;="&amp;$V11,Orders!$B$2:$B$2001,"&lt;"&amp;EDATE($V11,1),Orders!$E$2:$E$2001,AO$1)</f>
        <v>152548.56</v>
      </c>
      <c r="AP11" s="50" t="n">
        <f aca="false">SUMIFS(Orders!$I$2:$I$2001,Orders!$B$2:$B$2001,"&gt;="&amp;$V11,Orders!$B$2:$B$2001,"&lt;"&amp;EDATE($V11,1),Orders!$E$2:$E$2001,AP$1)</f>
        <v>23378.26</v>
      </c>
      <c r="AQ11" s="50" t="n">
        <f aca="false">SUMIFS(Orders!$I$2:$I$2001,Orders!$B$2:$B$2001,"&gt;="&amp;$V11,Orders!$B$2:$B$2001,"&lt;"&amp;EDATE($V11,1),Orders!$E$2:$E$2001,AQ$1)</f>
        <v>42203.75</v>
      </c>
      <c r="AR11" s="50" t="n">
        <f aca="false">SUMIFS(Orders!$I$2:$I$2001,Orders!$B$2:$B$2001,"&gt;="&amp;$V11,Orders!$B$2:$B$2001,"&lt;"&amp;EDATE($V11,1),Orders!$E$2:$E$2001,AR$1)</f>
        <v>73388.56</v>
      </c>
      <c r="AS11" s="50" t="n">
        <f aca="false">SUMIFS(Orders!$I$2:$I$2001,Orders!$B$2:$B$2001,"&gt;="&amp;$V11,Orders!$B$2:$B$2001,"&lt;"&amp;EDATE($V11,1),Orders!$E$2:$E$2001,AS$1)</f>
        <v>13975.5</v>
      </c>
      <c r="AT11" s="50" t="n">
        <f aca="false">SUMIFS(Orders!$I$2:$I$2001,Orders!$B$2:$B$2001,"&gt;="&amp;$V11,Orders!$B$2:$B$2001,"&lt;"&amp;EDATE($V11,1),Orders!$E$2:$E$2001,AT$1)</f>
        <v>82877.57</v>
      </c>
      <c r="AU11" s="50" t="n">
        <f aca="false">SUMIFS(Orders!$I$2:$I$2001,Orders!$B$2:$B$2001,"&gt;="&amp;$V11,Orders!$B$2:$B$2001,"&lt;"&amp;EDATE($V11,1),Orders!$E$2:$E$2001,AU$1)</f>
        <v>8289.03</v>
      </c>
      <c r="AV11" s="50" t="n">
        <f aca="false">SUMIFS(Orders!$I$2:$I$2001,Orders!$B$2:$B$2001,"&gt;="&amp;$V11,Orders!$B$2:$B$2001,"&lt;"&amp;EDATE($V11,1),Orders!$E$2:$E$2001,AV$1)</f>
        <v>79217.4</v>
      </c>
      <c r="AW11" s="50" t="n">
        <f aca="false">SUMIFS(Orders!$I$2:$I$2001,Orders!$B$2:$B$2001,"&gt;="&amp;$V11,Orders!$B$2:$B$2001,"&lt;"&amp;EDATE($V11,1),Orders!$E$2:$E$2001,AW$1)</f>
        <v>110709.75</v>
      </c>
      <c r="AX11" s="50" t="n">
        <f aca="false">SUMIFS(Orders!$I$2:$I$2001,Orders!$B$2:$B$2001,"&gt;="&amp;$V11,Orders!$B$2:$B$2001,"&lt;"&amp;EDATE($V11,1),Orders!$E$2:$E$2001,AX$1)</f>
        <v>137494.43</v>
      </c>
      <c r="AY11" s="50" t="n">
        <f aca="false">SUMIFS(Orders!$I$2:$I$2001,Orders!$B$2:$B$2001,"&gt;="&amp;$V11,Orders!$B$2:$B$2001,"&lt;"&amp;EDATE($V11,1),Orders!$E$2:$E$2001,AY$1)</f>
        <v>27441.88</v>
      </c>
      <c r="AZ11" s="50" t="n">
        <f aca="false">SUMIFS(Orders!$I$2:$I$2001,Orders!$B$2:$B$2001,"&gt;="&amp;$V11,Orders!$B$2:$B$2001,"&lt;"&amp;EDATE($V11,1),Orders!$E$2:$E$2001,AZ$1)</f>
        <v>40669.76</v>
      </c>
    </row>
    <row r="12" customFormat="false" ht="15" hidden="false" customHeight="false" outlineLevel="0" collapsed="false">
      <c r="A12" s="46" t="str">
        <f aca="false">Orders!A12</f>
        <v>ORD-00011</v>
      </c>
      <c r="B12" s="46" t="str">
        <f aca="false">PROPER(TRIM(Orders!K12))</f>
        <v>Hyderabad</v>
      </c>
      <c r="C12" s="46" t="str">
        <f aca="false">IFERROR(VLOOKUP(Orders!D12,Products!$A$2:$F$61,3,FALSE()),"Not Found")</f>
        <v>Grocery</v>
      </c>
      <c r="D12" s="46" t="str">
        <f aca="false">IFERROR(VLOOKUP(Orders!C12,Customers!$A$2:$F$301,5,FALSE()),"Not Found")</f>
        <v>Retail</v>
      </c>
      <c r="E12" s="46" t="n">
        <f aca="false">IFERROR(VLOOKUP(Orders!C12,Customers!$A$2:$F$301,3,FALSE()),"Not Found")</f>
        <v>60</v>
      </c>
      <c r="F12" s="46" t="str">
        <f aca="false">IFERROR(VLOOKUP(Orders!E12,Sales_Reps!$A$2:$E$31,3,FALSE()),"Not Found")</f>
        <v>South</v>
      </c>
      <c r="G12" s="46" t="n">
        <f aca="false">IFERROR(VLOOKUP(Orders!D12,Products!$A$2:$F$61,4,FALSE()),"")</f>
        <v>1203</v>
      </c>
      <c r="H12" s="47" t="n">
        <f aca="false">IF(G12="","",(Orders!G12-G12)/Orders!G12)</f>
        <v>0.470044052863436</v>
      </c>
      <c r="I12" s="46"/>
      <c r="J12" s="46" t="str">
        <f aca="false">Sales_Reps!A12</f>
        <v>R011</v>
      </c>
      <c r="K12" s="46" t="str">
        <f aca="false">Sales_Reps!B12</f>
        <v>Anil Verma</v>
      </c>
      <c r="L12" s="48" t="n">
        <f aca="false">SUMIFS(Orders!$I$2:$I$2001,Orders!$E$2:$E$2001,J12)</f>
        <v>735207.76</v>
      </c>
      <c r="M12" s="46" t="n">
        <f aca="false">RANK(L12,$L$2:$L$31,0)</f>
        <v>28</v>
      </c>
      <c r="N12" s="46"/>
      <c r="O12" s="46"/>
      <c r="P12" s="46"/>
      <c r="Q12" s="46"/>
      <c r="R12" s="46" t="str">
        <f aca="false">Products!A12</f>
        <v>PROD-011</v>
      </c>
      <c r="S12" s="46" t="str">
        <f aca="false">Products!B12</f>
        <v>Cotton T-Shirt</v>
      </c>
      <c r="T12" s="48" t="n">
        <f aca="false">SUMIFS(Orders!$I$2:$I$2001,Orders!$D$2:$D$2001,R12,$F$2:$F$2001,"West")</f>
        <v>145224.3</v>
      </c>
      <c r="U12" s="46"/>
      <c r="V12" s="49" t="n">
        <f aca="false">EDATE(V11,1)</f>
        <v>45597</v>
      </c>
      <c r="W12" s="50" t="n">
        <f aca="false">SUMIFS(Orders!$I$2:$I$2001,Orders!$B$2:$B$2001,"&gt;="&amp;$V12,Orders!$B$2:$B$2001,"&lt;"&amp;EDATE($V12,1),Orders!$E$2:$E$2001,W$1)</f>
        <v>72215.41</v>
      </c>
      <c r="X12" s="50" t="n">
        <f aca="false">SUMIFS(Orders!$I$2:$I$2001,Orders!$B$2:$B$2001,"&gt;="&amp;$V12,Orders!$B$2:$B$2001,"&lt;"&amp;EDATE($V12,1),Orders!$E$2:$E$2001,X$1)</f>
        <v>158277.82</v>
      </c>
      <c r="Y12" s="50" t="n">
        <f aca="false">SUMIFS(Orders!$I$2:$I$2001,Orders!$B$2:$B$2001,"&gt;="&amp;$V12,Orders!$B$2:$B$2001,"&lt;"&amp;EDATE($V12,1),Orders!$E$2:$E$2001,Y$1)</f>
        <v>106760.75</v>
      </c>
      <c r="Z12" s="50" t="n">
        <f aca="false">SUMIFS(Orders!$I$2:$I$2001,Orders!$B$2:$B$2001,"&gt;="&amp;$V12,Orders!$B$2:$B$2001,"&lt;"&amp;EDATE($V12,1),Orders!$E$2:$E$2001,Z$1)</f>
        <v>38491.18</v>
      </c>
      <c r="AA12" s="50" t="n">
        <f aca="false">SUMIFS(Orders!$I$2:$I$2001,Orders!$B$2:$B$2001,"&gt;="&amp;$V12,Orders!$B$2:$B$2001,"&lt;"&amp;EDATE($V12,1),Orders!$E$2:$E$2001,AA$1)</f>
        <v>55570.99</v>
      </c>
      <c r="AB12" s="50" t="n">
        <f aca="false">SUMIFS(Orders!$I$2:$I$2001,Orders!$B$2:$B$2001,"&gt;="&amp;$V12,Orders!$B$2:$B$2001,"&lt;"&amp;EDATE($V12,1),Orders!$E$2:$E$2001,AB$1)</f>
        <v>81500.24</v>
      </c>
      <c r="AC12" s="50" t="n">
        <f aca="false">SUMIFS(Orders!$I$2:$I$2001,Orders!$B$2:$B$2001,"&gt;="&amp;$V12,Orders!$B$2:$B$2001,"&lt;"&amp;EDATE($V12,1),Orders!$E$2:$E$2001,AC$1)</f>
        <v>130208.9</v>
      </c>
      <c r="AD12" s="50" t="n">
        <f aca="false">SUMIFS(Orders!$I$2:$I$2001,Orders!$B$2:$B$2001,"&gt;="&amp;$V12,Orders!$B$2:$B$2001,"&lt;"&amp;EDATE($V12,1),Orders!$E$2:$E$2001,AD$1)</f>
        <v>64537.26</v>
      </c>
      <c r="AE12" s="50" t="n">
        <f aca="false">SUMIFS(Orders!$I$2:$I$2001,Orders!$B$2:$B$2001,"&gt;="&amp;$V12,Orders!$B$2:$B$2001,"&lt;"&amp;EDATE($V12,1),Orders!$E$2:$E$2001,AE$1)</f>
        <v>30954.96</v>
      </c>
      <c r="AF12" s="50" t="n">
        <f aca="false">SUMIFS(Orders!$I$2:$I$2001,Orders!$B$2:$B$2001,"&gt;="&amp;$V12,Orders!$B$2:$B$2001,"&lt;"&amp;EDATE($V12,1),Orders!$E$2:$E$2001,AF$1)</f>
        <v>119201.57</v>
      </c>
      <c r="AG12" s="50" t="n">
        <f aca="false">SUMIFS(Orders!$I$2:$I$2001,Orders!$B$2:$B$2001,"&gt;="&amp;$V12,Orders!$B$2:$B$2001,"&lt;"&amp;EDATE($V12,1),Orders!$E$2:$E$2001,AG$1)</f>
        <v>64240.8</v>
      </c>
      <c r="AH12" s="50" t="n">
        <f aca="false">SUMIFS(Orders!$I$2:$I$2001,Orders!$B$2:$B$2001,"&gt;="&amp;$V12,Orders!$B$2:$B$2001,"&lt;"&amp;EDATE($V12,1),Orders!$E$2:$E$2001,AH$1)</f>
        <v>69152.06</v>
      </c>
      <c r="AI12" s="50" t="n">
        <f aca="false">SUMIFS(Orders!$I$2:$I$2001,Orders!$B$2:$B$2001,"&gt;="&amp;$V12,Orders!$B$2:$B$2001,"&lt;"&amp;EDATE($V12,1),Orders!$E$2:$E$2001,AI$1)</f>
        <v>108112.07</v>
      </c>
      <c r="AJ12" s="50" t="n">
        <f aca="false">SUMIFS(Orders!$I$2:$I$2001,Orders!$B$2:$B$2001,"&gt;="&amp;$V12,Orders!$B$2:$B$2001,"&lt;"&amp;EDATE($V12,1),Orders!$E$2:$E$2001,AJ$1)</f>
        <v>50971.92</v>
      </c>
      <c r="AK12" s="50" t="n">
        <f aca="false">SUMIFS(Orders!$I$2:$I$2001,Orders!$B$2:$B$2001,"&gt;="&amp;$V12,Orders!$B$2:$B$2001,"&lt;"&amp;EDATE($V12,1),Orders!$E$2:$E$2001,AK$1)</f>
        <v>97394.65</v>
      </c>
      <c r="AL12" s="50" t="n">
        <f aca="false">SUMIFS(Orders!$I$2:$I$2001,Orders!$B$2:$B$2001,"&gt;="&amp;$V12,Orders!$B$2:$B$2001,"&lt;"&amp;EDATE($V12,1),Orders!$E$2:$E$2001,AL$1)</f>
        <v>26689.96</v>
      </c>
      <c r="AM12" s="50" t="n">
        <f aca="false">SUMIFS(Orders!$I$2:$I$2001,Orders!$B$2:$B$2001,"&gt;="&amp;$V12,Orders!$B$2:$B$2001,"&lt;"&amp;EDATE($V12,1),Orders!$E$2:$E$2001,AM$1)</f>
        <v>23417.13</v>
      </c>
      <c r="AN12" s="50" t="n">
        <f aca="false">SUMIFS(Orders!$I$2:$I$2001,Orders!$B$2:$B$2001,"&gt;="&amp;$V12,Orders!$B$2:$B$2001,"&lt;"&amp;EDATE($V12,1),Orders!$E$2:$E$2001,AN$1)</f>
        <v>84868.64</v>
      </c>
      <c r="AO12" s="50" t="n">
        <f aca="false">SUMIFS(Orders!$I$2:$I$2001,Orders!$B$2:$B$2001,"&gt;="&amp;$V12,Orders!$B$2:$B$2001,"&lt;"&amp;EDATE($V12,1),Orders!$E$2:$E$2001,AO$1)</f>
        <v>96634.5</v>
      </c>
      <c r="AP12" s="50" t="n">
        <f aca="false">SUMIFS(Orders!$I$2:$I$2001,Orders!$B$2:$B$2001,"&gt;="&amp;$V12,Orders!$B$2:$B$2001,"&lt;"&amp;EDATE($V12,1),Orders!$E$2:$E$2001,AP$1)</f>
        <v>68985.01</v>
      </c>
      <c r="AQ12" s="50" t="n">
        <f aca="false">SUMIFS(Orders!$I$2:$I$2001,Orders!$B$2:$B$2001,"&gt;="&amp;$V12,Orders!$B$2:$B$2001,"&lt;"&amp;EDATE($V12,1),Orders!$E$2:$E$2001,AQ$1)</f>
        <v>53126.1</v>
      </c>
      <c r="AR12" s="50" t="n">
        <f aca="false">SUMIFS(Orders!$I$2:$I$2001,Orders!$B$2:$B$2001,"&gt;="&amp;$V12,Orders!$B$2:$B$2001,"&lt;"&amp;EDATE($V12,1),Orders!$E$2:$E$2001,AR$1)</f>
        <v>76504.66</v>
      </c>
      <c r="AS12" s="50" t="n">
        <f aca="false">SUMIFS(Orders!$I$2:$I$2001,Orders!$B$2:$B$2001,"&gt;="&amp;$V12,Orders!$B$2:$B$2001,"&lt;"&amp;EDATE($V12,1),Orders!$E$2:$E$2001,AS$1)</f>
        <v>59984.34</v>
      </c>
      <c r="AT12" s="50" t="n">
        <f aca="false">SUMIFS(Orders!$I$2:$I$2001,Orders!$B$2:$B$2001,"&gt;="&amp;$V12,Orders!$B$2:$B$2001,"&lt;"&amp;EDATE($V12,1),Orders!$E$2:$E$2001,AT$1)</f>
        <v>68084.65</v>
      </c>
      <c r="AU12" s="50" t="n">
        <f aca="false">SUMIFS(Orders!$I$2:$I$2001,Orders!$B$2:$B$2001,"&gt;="&amp;$V12,Orders!$B$2:$B$2001,"&lt;"&amp;EDATE($V12,1),Orders!$E$2:$E$2001,AU$1)</f>
        <v>103237.54</v>
      </c>
      <c r="AV12" s="50" t="n">
        <f aca="false">SUMIFS(Orders!$I$2:$I$2001,Orders!$B$2:$B$2001,"&gt;="&amp;$V12,Orders!$B$2:$B$2001,"&lt;"&amp;EDATE($V12,1),Orders!$E$2:$E$2001,AV$1)</f>
        <v>28769.67</v>
      </c>
      <c r="AW12" s="50" t="n">
        <f aca="false">SUMIFS(Orders!$I$2:$I$2001,Orders!$B$2:$B$2001,"&gt;="&amp;$V12,Orders!$B$2:$B$2001,"&lt;"&amp;EDATE($V12,1),Orders!$E$2:$E$2001,AW$1)</f>
        <v>110369.59</v>
      </c>
      <c r="AX12" s="50" t="n">
        <f aca="false">SUMIFS(Orders!$I$2:$I$2001,Orders!$B$2:$B$2001,"&gt;="&amp;$V12,Orders!$B$2:$B$2001,"&lt;"&amp;EDATE($V12,1),Orders!$E$2:$E$2001,AX$1)</f>
        <v>64459.77</v>
      </c>
      <c r="AY12" s="50" t="n">
        <f aca="false">SUMIFS(Orders!$I$2:$I$2001,Orders!$B$2:$B$2001,"&gt;="&amp;$V12,Orders!$B$2:$B$2001,"&lt;"&amp;EDATE($V12,1),Orders!$E$2:$E$2001,AY$1)</f>
        <v>65290.45</v>
      </c>
      <c r="AZ12" s="50" t="n">
        <f aca="false">SUMIFS(Orders!$I$2:$I$2001,Orders!$B$2:$B$2001,"&gt;="&amp;$V12,Orders!$B$2:$B$2001,"&lt;"&amp;EDATE($V12,1),Orders!$E$2:$E$2001,AZ$1)</f>
        <v>119624.49</v>
      </c>
    </row>
    <row r="13" customFormat="false" ht="15" hidden="false" customHeight="false" outlineLevel="0" collapsed="false">
      <c r="A13" s="46" t="str">
        <f aca="false">Orders!A13</f>
        <v>ORD-00012</v>
      </c>
      <c r="B13" s="46" t="str">
        <f aca="false">PROPER(TRIM(Orders!K13))</f>
        <v>Pune</v>
      </c>
      <c r="C13" s="46" t="str">
        <f aca="false">IFERROR(VLOOKUP(Orders!D13,Products!$A$2:$F$61,3,FALSE()),"Not Found")</f>
        <v>Electronics</v>
      </c>
      <c r="D13" s="46" t="str">
        <f aca="false">IFERROR(VLOOKUP(Orders!C13,Customers!$A$2:$F$301,5,FALSE()),"Not Found")</f>
        <v>Retail</v>
      </c>
      <c r="E13" s="46" t="n">
        <f aca="false">IFERROR(VLOOKUP(Orders!C13,Customers!$A$2:$F$301,3,FALSE()),"Not Found")</f>
        <v>56</v>
      </c>
      <c r="F13" s="46" t="str">
        <f aca="false">IFERROR(VLOOKUP(Orders!E13,Sales_Reps!$A$2:$E$31,3,FALSE()),"Not Found")</f>
        <v>West</v>
      </c>
      <c r="G13" s="46" t="n">
        <f aca="false">IFERROR(VLOOKUP(Orders!D13,Products!$A$2:$F$61,4,FALSE()),"")</f>
        <v>1149</v>
      </c>
      <c r="H13" s="47" t="n">
        <f aca="false">IF(G13="","",(Orders!G13-G13)/Orders!G13)</f>
        <v>0.564772727272727</v>
      </c>
      <c r="I13" s="46"/>
      <c r="J13" s="46" t="str">
        <f aca="false">Sales_Reps!A13</f>
        <v>R012</v>
      </c>
      <c r="K13" s="46" t="str">
        <f aca="false">Sales_Reps!B13</f>
        <v>Pooja Nair</v>
      </c>
      <c r="L13" s="48" t="n">
        <f aca="false">SUMIFS(Orders!$I$2:$I$2001,Orders!$E$2:$E$2001,J13)</f>
        <v>901394.32</v>
      </c>
      <c r="M13" s="46" t="n">
        <f aca="false">RANK(L13,$L$2:$L$31,0)</f>
        <v>14</v>
      </c>
      <c r="N13" s="46"/>
      <c r="O13" s="46"/>
      <c r="P13" s="46"/>
      <c r="Q13" s="46"/>
      <c r="R13" s="46" t="str">
        <f aca="false">Products!A13</f>
        <v>PROD-012</v>
      </c>
      <c r="S13" s="46" t="str">
        <f aca="false">Products!B13</f>
        <v>Denim Jeans</v>
      </c>
      <c r="T13" s="48" t="n">
        <f aca="false">SUMIFS(Orders!$I$2:$I$2001,Orders!$D$2:$D$2001,R13,$F$2:$F$2001,"West")</f>
        <v>121770.6</v>
      </c>
      <c r="U13" s="46"/>
      <c r="V13" s="49" t="n">
        <f aca="false">EDATE(V12,1)</f>
        <v>45627</v>
      </c>
      <c r="W13" s="50" t="n">
        <f aca="false">SUMIFS(Orders!$I$2:$I$2001,Orders!$B$2:$B$2001,"&gt;="&amp;$V13,Orders!$B$2:$B$2001,"&lt;"&amp;EDATE($V13,1),Orders!$E$2:$E$2001,W$1)</f>
        <v>79450.52</v>
      </c>
      <c r="X13" s="50" t="n">
        <f aca="false">SUMIFS(Orders!$I$2:$I$2001,Orders!$B$2:$B$2001,"&gt;="&amp;$V13,Orders!$B$2:$B$2001,"&lt;"&amp;EDATE($V13,1),Orders!$E$2:$E$2001,X$1)</f>
        <v>47673.25</v>
      </c>
      <c r="Y13" s="50" t="n">
        <f aca="false">SUMIFS(Orders!$I$2:$I$2001,Orders!$B$2:$B$2001,"&gt;="&amp;$V13,Orders!$B$2:$B$2001,"&lt;"&amp;EDATE($V13,1),Orders!$E$2:$E$2001,Y$1)</f>
        <v>12325.54</v>
      </c>
      <c r="Z13" s="50" t="n">
        <f aca="false">SUMIFS(Orders!$I$2:$I$2001,Orders!$B$2:$B$2001,"&gt;="&amp;$V13,Orders!$B$2:$B$2001,"&lt;"&amp;EDATE($V13,1),Orders!$E$2:$E$2001,Z$1)</f>
        <v>59066.32</v>
      </c>
      <c r="AA13" s="50" t="n">
        <f aca="false">SUMIFS(Orders!$I$2:$I$2001,Orders!$B$2:$B$2001,"&gt;="&amp;$V13,Orders!$B$2:$B$2001,"&lt;"&amp;EDATE($V13,1),Orders!$E$2:$E$2001,AA$1)</f>
        <v>68580.8</v>
      </c>
      <c r="AB13" s="50" t="n">
        <f aca="false">SUMIFS(Orders!$I$2:$I$2001,Orders!$B$2:$B$2001,"&gt;="&amp;$V13,Orders!$B$2:$B$2001,"&lt;"&amp;EDATE($V13,1),Orders!$E$2:$E$2001,AB$1)</f>
        <v>121741.5</v>
      </c>
      <c r="AC13" s="50" t="n">
        <f aca="false">SUMIFS(Orders!$I$2:$I$2001,Orders!$B$2:$B$2001,"&gt;="&amp;$V13,Orders!$B$2:$B$2001,"&lt;"&amp;EDATE($V13,1),Orders!$E$2:$E$2001,AC$1)</f>
        <v>57922.93</v>
      </c>
      <c r="AD13" s="50" t="n">
        <f aca="false">SUMIFS(Orders!$I$2:$I$2001,Orders!$B$2:$B$2001,"&gt;="&amp;$V13,Orders!$B$2:$B$2001,"&lt;"&amp;EDATE($V13,1),Orders!$E$2:$E$2001,AD$1)</f>
        <v>172732.12</v>
      </c>
      <c r="AE13" s="50" t="n">
        <f aca="false">SUMIFS(Orders!$I$2:$I$2001,Orders!$B$2:$B$2001,"&gt;="&amp;$V13,Orders!$B$2:$B$2001,"&lt;"&amp;EDATE($V13,1),Orders!$E$2:$E$2001,AE$1)</f>
        <v>46691.02</v>
      </c>
      <c r="AF13" s="50" t="n">
        <f aca="false">SUMIFS(Orders!$I$2:$I$2001,Orders!$B$2:$B$2001,"&gt;="&amp;$V13,Orders!$B$2:$B$2001,"&lt;"&amp;EDATE($V13,1),Orders!$E$2:$E$2001,AF$1)</f>
        <v>70844.79</v>
      </c>
      <c r="AG13" s="50" t="n">
        <f aca="false">SUMIFS(Orders!$I$2:$I$2001,Orders!$B$2:$B$2001,"&gt;="&amp;$V13,Orders!$B$2:$B$2001,"&lt;"&amp;EDATE($V13,1),Orders!$E$2:$E$2001,AG$1)</f>
        <v>0</v>
      </c>
      <c r="AH13" s="50" t="n">
        <f aca="false">SUMIFS(Orders!$I$2:$I$2001,Orders!$B$2:$B$2001,"&gt;="&amp;$V13,Orders!$B$2:$B$2001,"&lt;"&amp;EDATE($V13,1),Orders!$E$2:$E$2001,AH$1)</f>
        <v>125492.57</v>
      </c>
      <c r="AI13" s="50" t="n">
        <f aca="false">SUMIFS(Orders!$I$2:$I$2001,Orders!$B$2:$B$2001,"&gt;="&amp;$V13,Orders!$B$2:$B$2001,"&lt;"&amp;EDATE($V13,1),Orders!$E$2:$E$2001,AI$1)</f>
        <v>63120.66</v>
      </c>
      <c r="AJ13" s="50" t="n">
        <f aca="false">SUMIFS(Orders!$I$2:$I$2001,Orders!$B$2:$B$2001,"&gt;="&amp;$V13,Orders!$B$2:$B$2001,"&lt;"&amp;EDATE($V13,1),Orders!$E$2:$E$2001,AJ$1)</f>
        <v>105996.29</v>
      </c>
      <c r="AK13" s="50" t="n">
        <f aca="false">SUMIFS(Orders!$I$2:$I$2001,Orders!$B$2:$B$2001,"&gt;="&amp;$V13,Orders!$B$2:$B$2001,"&lt;"&amp;EDATE($V13,1),Orders!$E$2:$E$2001,AK$1)</f>
        <v>73235.58</v>
      </c>
      <c r="AL13" s="50" t="n">
        <f aca="false">SUMIFS(Orders!$I$2:$I$2001,Orders!$B$2:$B$2001,"&gt;="&amp;$V13,Orders!$B$2:$B$2001,"&lt;"&amp;EDATE($V13,1),Orders!$E$2:$E$2001,AL$1)</f>
        <v>2821.88</v>
      </c>
      <c r="AM13" s="50" t="n">
        <f aca="false">SUMIFS(Orders!$I$2:$I$2001,Orders!$B$2:$B$2001,"&gt;="&amp;$V13,Orders!$B$2:$B$2001,"&lt;"&amp;EDATE($V13,1),Orders!$E$2:$E$2001,AM$1)</f>
        <v>71637.3</v>
      </c>
      <c r="AN13" s="50" t="n">
        <f aca="false">SUMIFS(Orders!$I$2:$I$2001,Orders!$B$2:$B$2001,"&gt;="&amp;$V13,Orders!$B$2:$B$2001,"&lt;"&amp;EDATE($V13,1),Orders!$E$2:$E$2001,AN$1)</f>
        <v>45259.32</v>
      </c>
      <c r="AO13" s="50" t="n">
        <f aca="false">SUMIFS(Orders!$I$2:$I$2001,Orders!$B$2:$B$2001,"&gt;="&amp;$V13,Orders!$B$2:$B$2001,"&lt;"&amp;EDATE($V13,1),Orders!$E$2:$E$2001,AO$1)</f>
        <v>118258.66</v>
      </c>
      <c r="AP13" s="50" t="n">
        <f aca="false">SUMIFS(Orders!$I$2:$I$2001,Orders!$B$2:$B$2001,"&gt;="&amp;$V13,Orders!$B$2:$B$2001,"&lt;"&amp;EDATE($V13,1),Orders!$E$2:$E$2001,AP$1)</f>
        <v>24872.76</v>
      </c>
      <c r="AQ13" s="50" t="n">
        <f aca="false">SUMIFS(Orders!$I$2:$I$2001,Orders!$B$2:$B$2001,"&gt;="&amp;$V13,Orders!$B$2:$B$2001,"&lt;"&amp;EDATE($V13,1),Orders!$E$2:$E$2001,AQ$1)</f>
        <v>40227.24</v>
      </c>
      <c r="AR13" s="50" t="n">
        <f aca="false">SUMIFS(Orders!$I$2:$I$2001,Orders!$B$2:$B$2001,"&gt;="&amp;$V13,Orders!$B$2:$B$2001,"&lt;"&amp;EDATE($V13,1),Orders!$E$2:$E$2001,AR$1)</f>
        <v>119758.46</v>
      </c>
      <c r="AS13" s="50" t="n">
        <f aca="false">SUMIFS(Orders!$I$2:$I$2001,Orders!$B$2:$B$2001,"&gt;="&amp;$V13,Orders!$B$2:$B$2001,"&lt;"&amp;EDATE($V13,1),Orders!$E$2:$E$2001,AS$1)</f>
        <v>102626.04</v>
      </c>
      <c r="AT13" s="50" t="n">
        <f aca="false">SUMIFS(Orders!$I$2:$I$2001,Orders!$B$2:$B$2001,"&gt;="&amp;$V13,Orders!$B$2:$B$2001,"&lt;"&amp;EDATE($V13,1),Orders!$E$2:$E$2001,AT$1)</f>
        <v>104737.79</v>
      </c>
      <c r="AU13" s="50" t="n">
        <f aca="false">SUMIFS(Orders!$I$2:$I$2001,Orders!$B$2:$B$2001,"&gt;="&amp;$V13,Orders!$B$2:$B$2001,"&lt;"&amp;EDATE($V13,1),Orders!$E$2:$E$2001,AU$1)</f>
        <v>59696.52</v>
      </c>
      <c r="AV13" s="50" t="n">
        <f aca="false">SUMIFS(Orders!$I$2:$I$2001,Orders!$B$2:$B$2001,"&gt;="&amp;$V13,Orders!$B$2:$B$2001,"&lt;"&amp;EDATE($V13,1),Orders!$E$2:$E$2001,AV$1)</f>
        <v>60332.9</v>
      </c>
      <c r="AW13" s="50" t="n">
        <f aca="false">SUMIFS(Orders!$I$2:$I$2001,Orders!$B$2:$B$2001,"&gt;="&amp;$V13,Orders!$B$2:$B$2001,"&lt;"&amp;EDATE($V13,1),Orders!$E$2:$E$2001,AW$1)</f>
        <v>104514.17</v>
      </c>
      <c r="AX13" s="50" t="n">
        <f aca="false">SUMIFS(Orders!$I$2:$I$2001,Orders!$B$2:$B$2001,"&gt;="&amp;$V13,Orders!$B$2:$B$2001,"&lt;"&amp;EDATE($V13,1),Orders!$E$2:$E$2001,AX$1)</f>
        <v>51024.5</v>
      </c>
      <c r="AY13" s="50" t="n">
        <f aca="false">SUMIFS(Orders!$I$2:$I$2001,Orders!$B$2:$B$2001,"&gt;="&amp;$V13,Orders!$B$2:$B$2001,"&lt;"&amp;EDATE($V13,1),Orders!$E$2:$E$2001,AY$1)</f>
        <v>125575.3</v>
      </c>
      <c r="AZ13" s="50" t="n">
        <f aca="false">SUMIFS(Orders!$I$2:$I$2001,Orders!$B$2:$B$2001,"&gt;="&amp;$V13,Orders!$B$2:$B$2001,"&lt;"&amp;EDATE($V13,1),Orders!$E$2:$E$2001,AZ$1)</f>
        <v>47706.74</v>
      </c>
    </row>
    <row r="14" customFormat="false" ht="15" hidden="false" customHeight="false" outlineLevel="0" collapsed="false">
      <c r="A14" s="46" t="str">
        <f aca="false">Orders!A14</f>
        <v>ORD-00013</v>
      </c>
      <c r="B14" s="46" t="str">
        <f aca="false">PROPER(TRIM(Orders!K14))</f>
        <v>Delhi</v>
      </c>
      <c r="C14" s="46" t="str">
        <f aca="false">IFERROR(VLOOKUP(Orders!D14,Products!$A$2:$F$61,3,FALSE()),"Not Found")</f>
        <v>Electronics</v>
      </c>
      <c r="D14" s="46" t="str">
        <f aca="false">IFERROR(VLOOKUP(Orders!C14,Customers!$A$2:$F$301,5,FALSE()),"Not Found")</f>
        <v>SMB</v>
      </c>
      <c r="E14" s="46" t="n">
        <f aca="false">IFERROR(VLOOKUP(Orders!C14,Customers!$A$2:$F$301,3,FALSE()),"Not Found")</f>
        <v>27</v>
      </c>
      <c r="F14" s="46" t="str">
        <f aca="false">IFERROR(VLOOKUP(Orders!E14,Sales_Reps!$A$2:$E$31,3,FALSE()),"Not Found")</f>
        <v>North</v>
      </c>
      <c r="G14" s="46" t="n">
        <f aca="false">IFERROR(VLOOKUP(Orders!D14,Products!$A$2:$F$61,4,FALSE()),"")</f>
        <v>1052</v>
      </c>
      <c r="H14" s="47" t="n">
        <f aca="false">IF(G14="","",(Orders!G14-G14)/Orders!G14)</f>
        <v>0.595384615384615</v>
      </c>
      <c r="I14" s="46"/>
      <c r="J14" s="46" t="str">
        <f aca="false">Sales_Reps!A14</f>
        <v>R013</v>
      </c>
      <c r="K14" s="46" t="str">
        <f aca="false">Sales_Reps!B14</f>
        <v>Sanjay Kapoor</v>
      </c>
      <c r="L14" s="48" t="n">
        <f aca="false">SUMIFS(Orders!$I$2:$I$2001,Orders!$E$2:$E$2001,J14)</f>
        <v>811524.38</v>
      </c>
      <c r="M14" s="46" t="n">
        <f aca="false">RANK(L14,$L$2:$L$31,0)</f>
        <v>22</v>
      </c>
      <c r="N14" s="46"/>
      <c r="O14" s="46"/>
      <c r="P14" s="46"/>
      <c r="Q14" s="46"/>
      <c r="R14" s="46" t="str">
        <f aca="false">Products!A14</f>
        <v>PROD-013</v>
      </c>
      <c r="S14" s="46" t="str">
        <f aca="false">Products!B14</f>
        <v>Formal Shirt</v>
      </c>
      <c r="T14" s="48" t="n">
        <f aca="false">SUMIFS(Orders!$I$2:$I$2001,Orders!$D$2:$D$2001,R14,$F$2:$F$2001,"West")</f>
        <v>85543.64</v>
      </c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customFormat="false" ht="15" hidden="false" customHeight="false" outlineLevel="0" collapsed="false">
      <c r="A15" s="46" t="str">
        <f aca="false">Orders!A15</f>
        <v>ORD-00014</v>
      </c>
      <c r="B15" s="46" t="str">
        <f aca="false">PROPER(TRIM(Orders!K15))</f>
        <v>Pune</v>
      </c>
      <c r="C15" s="46" t="str">
        <f aca="false">IFERROR(VLOOKUP(Orders!D15,Products!$A$2:$F$61,3,FALSE()),"Not Found")</f>
        <v>Home</v>
      </c>
      <c r="D15" s="46" t="str">
        <f aca="false">IFERROR(VLOOKUP(Orders!C15,Customers!$A$2:$F$301,5,FALSE()),"Not Found")</f>
        <v>SMB</v>
      </c>
      <c r="E15" s="46" t="n">
        <f aca="false">IFERROR(VLOOKUP(Orders!C15,Customers!$A$2:$F$301,3,FALSE()),"Not Found")</f>
        <v>39</v>
      </c>
      <c r="F15" s="46" t="str">
        <f aca="false">IFERROR(VLOOKUP(Orders!E15,Sales_Reps!$A$2:$E$31,3,FALSE()),"Not Found")</f>
        <v>West</v>
      </c>
      <c r="G15" s="46" t="n">
        <f aca="false">IFERROR(VLOOKUP(Orders!D15,Products!$A$2:$F$61,4,FALSE()),"")</f>
        <v>1556</v>
      </c>
      <c r="H15" s="47" t="n">
        <f aca="false">IF(G15="","",(Orders!G15-G15)/Orders!G15)</f>
        <v>0.521230769230769</v>
      </c>
      <c r="I15" s="46"/>
      <c r="J15" s="46" t="str">
        <f aca="false">Sales_Reps!A15</f>
        <v>R014</v>
      </c>
      <c r="K15" s="46" t="str">
        <f aca="false">Sales_Reps!B15</f>
        <v>Ritu Menon</v>
      </c>
      <c r="L15" s="48" t="n">
        <f aca="false">SUMIFS(Orders!$I$2:$I$2001,Orders!$E$2:$E$2001,J15)</f>
        <v>995713.54</v>
      </c>
      <c r="M15" s="46" t="n">
        <f aca="false">RANK(L15,$L$2:$L$31,0)</f>
        <v>6</v>
      </c>
      <c r="N15" s="46"/>
      <c r="O15" s="46"/>
      <c r="P15" s="46"/>
      <c r="Q15" s="46"/>
      <c r="R15" s="46" t="str">
        <f aca="false">Products!A15</f>
        <v>PROD-014</v>
      </c>
      <c r="S15" s="46" t="str">
        <f aca="false">Products!B15</f>
        <v>Winter Jacket</v>
      </c>
      <c r="T15" s="48" t="n">
        <f aca="false">SUMIFS(Orders!$I$2:$I$2001,Orders!$D$2:$D$2001,R15,$F$2:$F$2001,"West")</f>
        <v>95390.62</v>
      </c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6" customFormat="false" ht="15" hidden="false" customHeight="false" outlineLevel="0" collapsed="false">
      <c r="A16" s="46" t="str">
        <f aca="false">Orders!A16</f>
        <v>ORD-00015</v>
      </c>
      <c r="B16" s="46" t="str">
        <f aca="false">PROPER(TRIM(Orders!K16))</f>
        <v>Pune</v>
      </c>
      <c r="C16" s="46" t="str">
        <f aca="false">IFERROR(VLOOKUP(Orders!D16,Products!$A$2:$F$61,3,FALSE()),"Not Found")</f>
        <v>Sports</v>
      </c>
      <c r="D16" s="46" t="str">
        <f aca="false">IFERROR(VLOOKUP(Orders!C16,Customers!$A$2:$F$301,5,FALSE()),"Not Found")</f>
        <v>Retail</v>
      </c>
      <c r="E16" s="46" t="n">
        <f aca="false">IFERROR(VLOOKUP(Orders!C16,Customers!$A$2:$F$301,3,FALSE()),"Not Found")</f>
        <v>38</v>
      </c>
      <c r="F16" s="46" t="str">
        <f aca="false">IFERROR(VLOOKUP(Orders!E16,Sales_Reps!$A$2:$E$31,3,FALSE()),"Not Found")</f>
        <v>North</v>
      </c>
      <c r="G16" s="46" t="n">
        <f aca="false">IFERROR(VLOOKUP(Orders!D16,Products!$A$2:$F$61,4,FALSE()),"")</f>
        <v>147</v>
      </c>
      <c r="H16" s="47" t="n">
        <f aca="false">IF(G16="","",(Orders!G16-G16)/Orders!G16)</f>
        <v>0.226315789473684</v>
      </c>
      <c r="I16" s="46"/>
      <c r="J16" s="46" t="str">
        <f aca="false">Sales_Reps!A16</f>
        <v>R015</v>
      </c>
      <c r="K16" s="46" t="str">
        <f aca="false">Sales_Reps!B16</f>
        <v>Deepak Shah</v>
      </c>
      <c r="L16" s="48" t="n">
        <f aca="false">SUMIFS(Orders!$I$2:$I$2001,Orders!$E$2:$E$2001,J16)</f>
        <v>1091740.18</v>
      </c>
      <c r="M16" s="46" t="n">
        <f aca="false">RANK(L16,$L$2:$L$31,0)</f>
        <v>3</v>
      </c>
      <c r="N16" s="46"/>
      <c r="O16" s="46"/>
      <c r="P16" s="46"/>
      <c r="Q16" s="46"/>
      <c r="R16" s="46" t="str">
        <f aca="false">Products!A16</f>
        <v>PROD-015</v>
      </c>
      <c r="S16" s="46" t="str">
        <f aca="false">Products!B16</f>
        <v>Sports Shoes</v>
      </c>
      <c r="T16" s="48" t="n">
        <f aca="false">SUMIFS(Orders!$I$2:$I$2001,Orders!$D$2:$D$2001,R16,$F$2:$F$2001,"West")</f>
        <v>108190.72</v>
      </c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</row>
    <row r="17" customFormat="false" ht="15" hidden="false" customHeight="false" outlineLevel="0" collapsed="false">
      <c r="A17" s="46" t="str">
        <f aca="false">Orders!A17</f>
        <v>ORD-00016</v>
      </c>
      <c r="B17" s="46" t="str">
        <f aca="false">PROPER(TRIM(Orders!K17))</f>
        <v>Pune</v>
      </c>
      <c r="C17" s="46" t="str">
        <f aca="false">IFERROR(VLOOKUP(Orders!D17,Products!$A$2:$F$61,3,FALSE()),"Not Found")</f>
        <v>Sports</v>
      </c>
      <c r="D17" s="46" t="str">
        <f aca="false">IFERROR(VLOOKUP(Orders!C17,Customers!$A$2:$F$301,5,FALSE()),"Not Found")</f>
        <v>Retail</v>
      </c>
      <c r="E17" s="46" t="n">
        <f aca="false">IFERROR(VLOOKUP(Orders!C17,Customers!$A$2:$F$301,3,FALSE()),"Not Found")</f>
        <v>63</v>
      </c>
      <c r="F17" s="46" t="str">
        <f aca="false">IFERROR(VLOOKUP(Orders!E17,Sales_Reps!$A$2:$E$31,3,FALSE()),"Not Found")</f>
        <v>South</v>
      </c>
      <c r="G17" s="46" t="n">
        <f aca="false">IFERROR(VLOOKUP(Orders!D17,Products!$A$2:$F$61,4,FALSE()),"")</f>
        <v>974</v>
      </c>
      <c r="H17" s="47" t="n">
        <f aca="false">IF(G17="","",(Orders!G17-G17)/Orders!G17)</f>
        <v>0.594166666666667</v>
      </c>
      <c r="I17" s="46"/>
      <c r="J17" s="46" t="str">
        <f aca="false">Sales_Reps!A17</f>
        <v>R016</v>
      </c>
      <c r="K17" s="46" t="str">
        <f aca="false">Sales_Reps!B17</f>
        <v>Anjali Chopra</v>
      </c>
      <c r="L17" s="48" t="n">
        <f aca="false">SUMIFS(Orders!$I$2:$I$2001,Orders!$E$2:$E$2001,J17)</f>
        <v>814563.71</v>
      </c>
      <c r="M17" s="46" t="n">
        <f aca="false">RANK(L17,$L$2:$L$31,0)</f>
        <v>21</v>
      </c>
      <c r="N17" s="46"/>
      <c r="O17" s="46"/>
      <c r="P17" s="46"/>
      <c r="Q17" s="46"/>
      <c r="R17" s="46" t="str">
        <f aca="false">Products!A17</f>
        <v>PROD-016</v>
      </c>
      <c r="S17" s="46" t="str">
        <f aca="false">Products!B17</f>
        <v>Casual Sneakers</v>
      </c>
      <c r="T17" s="48" t="n">
        <f aca="false">SUMIFS(Orders!$I$2:$I$2001,Orders!$D$2:$D$2001,R17,$F$2:$F$2001,"West")</f>
        <v>12964.82</v>
      </c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</row>
    <row r="18" customFormat="false" ht="15" hidden="false" customHeight="false" outlineLevel="0" collapsed="false">
      <c r="A18" s="46" t="str">
        <f aca="false">Orders!A18</f>
        <v>ORD-00017</v>
      </c>
      <c r="B18" s="46" t="str">
        <f aca="false">PROPER(TRIM(Orders!K18))</f>
        <v>Bengaluru</v>
      </c>
      <c r="C18" s="46" t="str">
        <f aca="false">IFERROR(VLOOKUP(Orders!D18,Products!$A$2:$F$61,3,FALSE()),"Not Found")</f>
        <v>Grocery</v>
      </c>
      <c r="D18" s="46" t="str">
        <f aca="false">IFERROR(VLOOKUP(Orders!C18,Customers!$A$2:$F$301,5,FALSE()),"Not Found")</f>
        <v>SMB</v>
      </c>
      <c r="E18" s="46" t="n">
        <f aca="false">IFERROR(VLOOKUP(Orders!C18,Customers!$A$2:$F$301,3,FALSE()),"Not Found")</f>
        <v>46</v>
      </c>
      <c r="F18" s="46" t="str">
        <f aca="false">IFERROR(VLOOKUP(Orders!E18,Sales_Reps!$A$2:$E$31,3,FALSE()),"Not Found")</f>
        <v>East</v>
      </c>
      <c r="G18" s="46" t="n">
        <f aca="false">IFERROR(VLOOKUP(Orders!D18,Products!$A$2:$F$61,4,FALSE()),"")</f>
        <v>2214</v>
      </c>
      <c r="H18" s="47" t="n">
        <f aca="false">IF(G18="","",(Orders!G18-G18)/Orders!G18)</f>
        <v>0.395081967213115</v>
      </c>
      <c r="I18" s="46"/>
      <c r="J18" s="46" t="str">
        <f aca="false">Sales_Reps!A18</f>
        <v>R017</v>
      </c>
      <c r="K18" s="46" t="str">
        <f aca="false">Sales_Reps!B18</f>
        <v>Naveen Singh</v>
      </c>
      <c r="L18" s="48" t="n">
        <f aca="false">SUMIFS(Orders!$I$2:$I$2001,Orders!$E$2:$E$2001,J18)</f>
        <v>780384.41</v>
      </c>
      <c r="M18" s="46" t="n">
        <f aca="false">RANK(L18,$L$2:$L$31,0)</f>
        <v>25</v>
      </c>
      <c r="N18" s="46"/>
      <c r="O18" s="46"/>
      <c r="P18" s="46"/>
      <c r="Q18" s="46"/>
      <c r="R18" s="46" t="str">
        <f aca="false">Products!A18</f>
        <v>PROD-017</v>
      </c>
      <c r="S18" s="46" t="str">
        <f aca="false">Products!B18</f>
        <v>Silk Saree</v>
      </c>
      <c r="T18" s="48" t="n">
        <f aca="false">SUMIFS(Orders!$I$2:$I$2001,Orders!$D$2:$D$2001,R18,$F$2:$F$2001,"West")</f>
        <v>84699.95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</row>
    <row r="19" customFormat="false" ht="15" hidden="false" customHeight="false" outlineLevel="0" collapsed="false">
      <c r="A19" s="46" t="str">
        <f aca="false">Orders!A19</f>
        <v>ORD-00018</v>
      </c>
      <c r="B19" s="46" t="str">
        <f aca="false">PROPER(TRIM(Orders!K19))</f>
        <v>Hyderabad</v>
      </c>
      <c r="C19" s="46" t="str">
        <f aca="false">IFERROR(VLOOKUP(Orders!D19,Products!$A$2:$F$61,3,FALSE()),"Not Found")</f>
        <v>Beauty</v>
      </c>
      <c r="D19" s="46" t="str">
        <f aca="false">IFERROR(VLOOKUP(Orders!C19,Customers!$A$2:$F$301,5,FALSE()),"Not Found")</f>
        <v>Corporate</v>
      </c>
      <c r="E19" s="46" t="n">
        <f aca="false">IFERROR(VLOOKUP(Orders!C19,Customers!$A$2:$F$301,3,FALSE()),"Not Found")</f>
        <v>32</v>
      </c>
      <c r="F19" s="46" t="str">
        <f aca="false">IFERROR(VLOOKUP(Orders!E19,Sales_Reps!$A$2:$E$31,3,FALSE()),"Not Found")</f>
        <v>East</v>
      </c>
      <c r="G19" s="46" t="n">
        <f aca="false">IFERROR(VLOOKUP(Orders!D19,Products!$A$2:$F$61,4,FALSE()),"")</f>
        <v>2420</v>
      </c>
      <c r="H19" s="47" t="n">
        <f aca="false">IF(G19="","",(Orders!G19-G19)/Orders!G19)</f>
        <v>0.298550724637681</v>
      </c>
      <c r="I19" s="46"/>
      <c r="J19" s="46" t="str">
        <f aca="false">Sales_Reps!A19</f>
        <v>R018</v>
      </c>
      <c r="K19" s="46" t="str">
        <f aca="false">Sales_Reps!B19</f>
        <v>Shalini Patel</v>
      </c>
      <c r="L19" s="48" t="n">
        <f aca="false">SUMIFS(Orders!$I$2:$I$2001,Orders!$E$2:$E$2001,J19)</f>
        <v>1112289.64</v>
      </c>
      <c r="M19" s="46" t="n">
        <f aca="false">RANK(L19,$L$2:$L$31,0)</f>
        <v>2</v>
      </c>
      <c r="N19" s="46"/>
      <c r="O19" s="46"/>
      <c r="P19" s="46"/>
      <c r="Q19" s="46"/>
      <c r="R19" s="46" t="str">
        <f aca="false">Products!A19</f>
        <v>PROD-018</v>
      </c>
      <c r="S19" s="46" t="str">
        <f aca="false">Products!B19</f>
        <v>Kurta Set</v>
      </c>
      <c r="T19" s="48" t="n">
        <f aca="false">SUMIFS(Orders!$I$2:$I$2001,Orders!$D$2:$D$2001,R19,$F$2:$F$2001,"West")</f>
        <v>100288.76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</row>
    <row r="20" customFormat="false" ht="15" hidden="false" customHeight="false" outlineLevel="0" collapsed="false">
      <c r="A20" s="46" t="str">
        <f aca="false">Orders!A20</f>
        <v>ORD-00019</v>
      </c>
      <c r="B20" s="46" t="str">
        <f aca="false">PROPER(TRIM(Orders!K20))</f>
        <v>Mumbai</v>
      </c>
      <c r="C20" s="46" t="str">
        <f aca="false">IFERROR(VLOOKUP(Orders!D20,Products!$A$2:$F$61,3,FALSE()),"Not Found")</f>
        <v>Sports</v>
      </c>
      <c r="D20" s="46" t="str">
        <f aca="false">IFERROR(VLOOKUP(Orders!C20,Customers!$A$2:$F$301,5,FALSE()),"Not Found")</f>
        <v>Retail</v>
      </c>
      <c r="E20" s="46" t="n">
        <f aca="false">IFERROR(VLOOKUP(Orders!C20,Customers!$A$2:$F$301,3,FALSE()),"Not Found")</f>
        <v>54</v>
      </c>
      <c r="F20" s="46" t="str">
        <f aca="false">IFERROR(VLOOKUP(Orders!E20,Sales_Reps!$A$2:$E$31,3,FALSE()),"Not Found")</f>
        <v>East</v>
      </c>
      <c r="G20" s="46" t="n">
        <f aca="false">IFERROR(VLOOKUP(Orders!D20,Products!$A$2:$F$61,4,FALSE()),"")</f>
        <v>2467</v>
      </c>
      <c r="H20" s="47" t="n">
        <f aca="false">IF(G20="","",(Orders!G20-G20)/Orders!G20)</f>
        <v>0.284927536231884</v>
      </c>
      <c r="I20" s="46"/>
      <c r="J20" s="46" t="str">
        <f aca="false">Sales_Reps!A20</f>
        <v>R019</v>
      </c>
      <c r="K20" s="46" t="str">
        <f aca="false">Sales_Reps!B20</f>
        <v>Prakash Shah</v>
      </c>
      <c r="L20" s="48" t="n">
        <f aca="false">SUMIFS(Orders!$I$2:$I$2001,Orders!$E$2:$E$2001,J20)</f>
        <v>971183.52</v>
      </c>
      <c r="M20" s="46" t="n">
        <f aca="false">RANK(L20,$L$2:$L$31,0)</f>
        <v>10</v>
      </c>
      <c r="N20" s="46"/>
      <c r="O20" s="46"/>
      <c r="P20" s="46"/>
      <c r="Q20" s="46"/>
      <c r="R20" s="46" t="str">
        <f aca="false">Products!A20</f>
        <v>PROD-019</v>
      </c>
      <c r="S20" s="46" t="str">
        <f aca="false">Products!B20</f>
        <v>Track Pants</v>
      </c>
      <c r="T20" s="48" t="n">
        <f aca="false">SUMIFS(Orders!$I$2:$I$2001,Orders!$D$2:$D$2001,R20,$F$2:$F$2001,"West")</f>
        <v>104993.28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</row>
    <row r="21" customFormat="false" ht="15" hidden="false" customHeight="false" outlineLevel="0" collapsed="false">
      <c r="A21" s="46" t="str">
        <f aca="false">Orders!A21</f>
        <v>ORD-00020</v>
      </c>
      <c r="B21" s="46" t="str">
        <f aca="false">PROPER(TRIM(Orders!K21))</f>
        <v>Chennai</v>
      </c>
      <c r="C21" s="46" t="str">
        <f aca="false">IFERROR(VLOOKUP(Orders!D21,Products!$A$2:$F$61,3,FALSE()),"Not Found")</f>
        <v>Home</v>
      </c>
      <c r="D21" s="46" t="str">
        <f aca="false">IFERROR(VLOOKUP(Orders!C21,Customers!$A$2:$F$301,5,FALSE()),"Not Found")</f>
        <v>Retail</v>
      </c>
      <c r="E21" s="46" t="n">
        <f aca="false">IFERROR(VLOOKUP(Orders!C21,Customers!$A$2:$F$301,3,FALSE()),"Not Found")</f>
        <v>49</v>
      </c>
      <c r="F21" s="46" t="str">
        <f aca="false">IFERROR(VLOOKUP(Orders!E21,Sales_Reps!$A$2:$E$31,3,FALSE()),"Not Found")</f>
        <v>East</v>
      </c>
      <c r="G21" s="46" t="n">
        <f aca="false">IFERROR(VLOOKUP(Orders!D21,Products!$A$2:$F$61,4,FALSE()),"")</f>
        <v>519</v>
      </c>
      <c r="H21" s="47" t="n">
        <f aca="false">IF(G21="","",(Orders!G21-G21)/Orders!G21)</f>
        <v>0.519444444444445</v>
      </c>
      <c r="I21" s="46"/>
      <c r="J21" s="46" t="str">
        <f aca="false">Sales_Reps!A21</f>
        <v>R020</v>
      </c>
      <c r="K21" s="46" t="str">
        <f aca="false">Sales_Reps!B21</f>
        <v>Meera Iyer</v>
      </c>
      <c r="L21" s="48" t="n">
        <f aca="false">SUMIFS(Orders!$I$2:$I$2001,Orders!$E$2:$E$2001,J21)</f>
        <v>906107.71</v>
      </c>
      <c r="M21" s="46" t="n">
        <f aca="false">RANK(L21,$L$2:$L$31,0)</f>
        <v>13</v>
      </c>
      <c r="N21" s="46"/>
      <c r="O21" s="46"/>
      <c r="P21" s="46"/>
      <c r="Q21" s="46"/>
      <c r="R21" s="46" t="str">
        <f aca="false">Products!A21</f>
        <v>PROD-020</v>
      </c>
      <c r="S21" s="46" t="str">
        <f aca="false">Products!B21</f>
        <v>Woolen Sweater</v>
      </c>
      <c r="T21" s="48" t="n">
        <f aca="false">SUMIFS(Orders!$I$2:$I$2001,Orders!$D$2:$D$2001,R21,$F$2:$F$2001,"West")</f>
        <v>9173.34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</row>
    <row r="22" customFormat="false" ht="15" hidden="false" customHeight="false" outlineLevel="0" collapsed="false">
      <c r="A22" s="46" t="str">
        <f aca="false">Orders!A22</f>
        <v>ORD-00021</v>
      </c>
      <c r="B22" s="46" t="str">
        <f aca="false">PROPER(TRIM(Orders!K22))</f>
        <v>Hyderabad</v>
      </c>
      <c r="C22" s="46" t="str">
        <f aca="false">IFERROR(VLOOKUP(Orders!D22,Products!$A$2:$F$61,3,FALSE()),"Not Found")</f>
        <v>Apparel</v>
      </c>
      <c r="D22" s="46" t="str">
        <f aca="false">IFERROR(VLOOKUP(Orders!C22,Customers!$A$2:$F$301,5,FALSE()),"Not Found")</f>
        <v>Retail</v>
      </c>
      <c r="E22" s="46" t="n">
        <f aca="false">IFERROR(VLOOKUP(Orders!C22,Customers!$A$2:$F$301,3,FALSE()),"Not Found")</f>
        <v>32</v>
      </c>
      <c r="F22" s="46" t="str">
        <f aca="false">IFERROR(VLOOKUP(Orders!E22,Sales_Reps!$A$2:$E$31,3,FALSE()),"Not Found")</f>
        <v>North</v>
      </c>
      <c r="G22" s="46" t="n">
        <f aca="false">IFERROR(VLOOKUP(Orders!D22,Products!$A$2:$F$61,4,FALSE()),"")</f>
        <v>1173</v>
      </c>
      <c r="H22" s="47" t="n">
        <f aca="false">IF(G22="","",(Orders!G22-G22)/Orders!G22)</f>
        <v>0.527016129032258</v>
      </c>
      <c r="I22" s="46"/>
      <c r="J22" s="46" t="str">
        <f aca="false">Sales_Reps!A22</f>
        <v>R021</v>
      </c>
      <c r="K22" s="46" t="str">
        <f aca="false">Sales_Reps!B22</f>
        <v>Gaurav Desai</v>
      </c>
      <c r="L22" s="48" t="n">
        <f aca="false">SUMIFS(Orders!$I$2:$I$2001,Orders!$E$2:$E$2001,J22)</f>
        <v>761507.17</v>
      </c>
      <c r="M22" s="46" t="n">
        <f aca="false">RANK(L22,$L$2:$L$31,0)</f>
        <v>26</v>
      </c>
      <c r="N22" s="46"/>
      <c r="O22" s="46"/>
      <c r="P22" s="46"/>
      <c r="Q22" s="46"/>
      <c r="R22" s="46" t="str">
        <f aca="false">Products!A22</f>
        <v>PROD-021</v>
      </c>
      <c r="S22" s="46" t="str">
        <f aca="false">Products!B22</f>
        <v>Basmati Rice 5kg</v>
      </c>
      <c r="T22" s="48" t="n">
        <f aca="false">SUMIFS(Orders!$I$2:$I$2001,Orders!$D$2:$D$2001,R22,$F$2:$F$2001,"West")</f>
        <v>90555.6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</row>
    <row r="23" customFormat="false" ht="15" hidden="false" customHeight="false" outlineLevel="0" collapsed="false">
      <c r="A23" s="46" t="str">
        <f aca="false">Orders!A23</f>
        <v>ORD-00022</v>
      </c>
      <c r="B23" s="46" t="str">
        <f aca="false">PROPER(TRIM(Orders!K23))</f>
        <v>Mumbai</v>
      </c>
      <c r="C23" s="46" t="str">
        <f aca="false">IFERROR(VLOOKUP(Orders!D23,Products!$A$2:$F$61,3,FALSE()),"Not Found")</f>
        <v>Home</v>
      </c>
      <c r="D23" s="46" t="str">
        <f aca="false">IFERROR(VLOOKUP(Orders!C23,Customers!$A$2:$F$301,5,FALSE()),"Not Found")</f>
        <v>Retail</v>
      </c>
      <c r="E23" s="46" t="n">
        <f aca="false">IFERROR(VLOOKUP(Orders!C23,Customers!$A$2:$F$301,3,FALSE()),"Not Found")</f>
        <v>34</v>
      </c>
      <c r="F23" s="46" t="str">
        <f aca="false">IFERROR(VLOOKUP(Orders!E23,Sales_Reps!$A$2:$E$31,3,FALSE()),"Not Found")</f>
        <v>West</v>
      </c>
      <c r="G23" s="46" t="n">
        <f aca="false">IFERROR(VLOOKUP(Orders!D23,Products!$A$2:$F$61,4,FALSE()),"")</f>
        <v>1556</v>
      </c>
      <c r="H23" s="47" t="n">
        <f aca="false">IF(G23="","",(Orders!G23-G23)/Orders!G23)</f>
        <v>0.521230769230769</v>
      </c>
      <c r="I23" s="46"/>
      <c r="J23" s="46" t="str">
        <f aca="false">Sales_Reps!A23</f>
        <v>R022</v>
      </c>
      <c r="K23" s="46" t="str">
        <f aca="false">Sales_Reps!B23</f>
        <v>Nisha Menon</v>
      </c>
      <c r="L23" s="48" t="n">
        <f aca="false">SUMIFS(Orders!$I$2:$I$2001,Orders!$E$2:$E$2001,J23)</f>
        <v>1069570.54</v>
      </c>
      <c r="M23" s="46" t="n">
        <f aca="false">RANK(L23,$L$2:$L$31,0)</f>
        <v>4</v>
      </c>
      <c r="N23" s="46"/>
      <c r="O23" s="46"/>
      <c r="P23" s="46"/>
      <c r="Q23" s="46"/>
      <c r="R23" s="46" t="str">
        <f aca="false">Products!A23</f>
        <v>PROD-022</v>
      </c>
      <c r="S23" s="46" t="str">
        <f aca="false">Products!B23</f>
        <v>Wheat Flour 10kg</v>
      </c>
      <c r="T23" s="48" t="n">
        <f aca="false">SUMIFS(Orders!$I$2:$I$2001,Orders!$D$2:$D$2001,R23,$F$2:$F$2001,"West")</f>
        <v>66299.89</v>
      </c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</row>
    <row r="24" customFormat="false" ht="15" hidden="false" customHeight="false" outlineLevel="0" collapsed="false">
      <c r="A24" s="46" t="str">
        <f aca="false">Orders!A24</f>
        <v>ORD-00023</v>
      </c>
      <c r="B24" s="46" t="str">
        <f aca="false">PROPER(TRIM(Orders!K24))</f>
        <v>Pune</v>
      </c>
      <c r="C24" s="46" t="str">
        <f aca="false">IFERROR(VLOOKUP(Orders!D24,Products!$A$2:$F$61,3,FALSE()),"Not Found")</f>
        <v>Apparel</v>
      </c>
      <c r="D24" s="46" t="str">
        <f aca="false">IFERROR(VLOOKUP(Orders!C24,Customers!$A$2:$F$301,5,FALSE()),"Not Found")</f>
        <v>Retail</v>
      </c>
      <c r="E24" s="46" t="n">
        <f aca="false">IFERROR(VLOOKUP(Orders!C24,Customers!$A$2:$F$301,3,FALSE()),"Not Found")</f>
        <v>50</v>
      </c>
      <c r="F24" s="46" t="str">
        <f aca="false">IFERROR(VLOOKUP(Orders!E24,Sales_Reps!$A$2:$E$31,3,FALSE()),"Not Found")</f>
        <v>West</v>
      </c>
      <c r="G24" s="46" t="n">
        <f aca="false">IFERROR(VLOOKUP(Orders!D24,Products!$A$2:$F$61,4,FALSE()),"")</f>
        <v>1962</v>
      </c>
      <c r="H24" s="47" t="n">
        <f aca="false">IF(G24="","",(Orders!G24-G24)/Orders!G24)</f>
        <v>0.278676470588235</v>
      </c>
      <c r="I24" s="46"/>
      <c r="J24" s="46" t="str">
        <f aca="false">Sales_Reps!A24</f>
        <v>R023</v>
      </c>
      <c r="K24" s="46" t="str">
        <f aca="false">Sales_Reps!B24</f>
        <v>Vinod Kumar</v>
      </c>
      <c r="L24" s="48" t="n">
        <f aca="false">SUMIFS(Orders!$I$2:$I$2001,Orders!$E$2:$E$2001,J24)</f>
        <v>983787.48</v>
      </c>
      <c r="M24" s="46" t="n">
        <f aca="false">RANK(L24,$L$2:$L$31,0)</f>
        <v>8</v>
      </c>
      <c r="N24" s="46"/>
      <c r="O24" s="46"/>
      <c r="P24" s="46"/>
      <c r="Q24" s="46"/>
      <c r="R24" s="46" t="str">
        <f aca="false">Products!A24</f>
        <v>PROD-023</v>
      </c>
      <c r="S24" s="46" t="str">
        <f aca="false">Products!B24</f>
        <v>Cooking Oil 5L</v>
      </c>
      <c r="T24" s="48" t="n">
        <f aca="false">SUMIFS(Orders!$I$2:$I$2001,Orders!$D$2:$D$2001,R24,$F$2:$F$2001,"West")</f>
        <v>84480.48</v>
      </c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</row>
    <row r="25" customFormat="false" ht="15" hidden="false" customHeight="false" outlineLevel="0" collapsed="false">
      <c r="A25" s="46" t="str">
        <f aca="false">Orders!A25</f>
        <v>ORD-00024</v>
      </c>
      <c r="B25" s="46" t="str">
        <f aca="false">PROPER(TRIM(Orders!K25))</f>
        <v>Hyderabad</v>
      </c>
      <c r="C25" s="46" t="str">
        <f aca="false">IFERROR(VLOOKUP(Orders!D25,Products!$A$2:$F$61,3,FALSE()),"Not Found")</f>
        <v>Beauty</v>
      </c>
      <c r="D25" s="46" t="str">
        <f aca="false">IFERROR(VLOOKUP(Orders!C25,Customers!$A$2:$F$301,5,FALSE()),"Not Found")</f>
        <v>SMB</v>
      </c>
      <c r="E25" s="46" t="n">
        <f aca="false">IFERROR(VLOOKUP(Orders!C25,Customers!$A$2:$F$301,3,FALSE()),"Not Found")</f>
        <v>40</v>
      </c>
      <c r="F25" s="46" t="str">
        <f aca="false">IFERROR(VLOOKUP(Orders!E25,Sales_Reps!$A$2:$E$31,3,FALSE()),"Not Found")</f>
        <v>North</v>
      </c>
      <c r="G25" s="46" t="n">
        <f aca="false">IFERROR(VLOOKUP(Orders!D25,Products!$A$2:$F$61,4,FALSE()),"")</f>
        <v>1222</v>
      </c>
      <c r="H25" s="47" t="n">
        <f aca="false">IF(G25="","",(Orders!G25-G25)/Orders!G25)</f>
        <v>0.259393939393939</v>
      </c>
      <c r="I25" s="46"/>
      <c r="J25" s="46" t="str">
        <f aca="false">Sales_Reps!A25</f>
        <v>R024</v>
      </c>
      <c r="K25" s="46" t="str">
        <f aca="false">Sales_Reps!B25</f>
        <v>Rekha Chopra</v>
      </c>
      <c r="L25" s="48" t="n">
        <f aca="false">SUMIFS(Orders!$I$2:$I$2001,Orders!$E$2:$E$2001,J25)</f>
        <v>819558.58</v>
      </c>
      <c r="M25" s="46" t="n">
        <f aca="false">RANK(L25,$L$2:$L$31,0)</f>
        <v>20</v>
      </c>
      <c r="N25" s="46"/>
      <c r="O25" s="46"/>
      <c r="P25" s="46"/>
      <c r="Q25" s="46"/>
      <c r="R25" s="46" t="str">
        <f aca="false">Products!A25</f>
        <v>PROD-024</v>
      </c>
      <c r="S25" s="46" t="str">
        <f aca="false">Products!B25</f>
        <v>Turmeric Powder 500g</v>
      </c>
      <c r="T25" s="48" t="n">
        <f aca="false">SUMIFS(Orders!$I$2:$I$2001,Orders!$D$2:$D$2001,R25,$F$2:$F$2001,"West")</f>
        <v>77055.15</v>
      </c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</row>
    <row r="26" customFormat="false" ht="15" hidden="false" customHeight="false" outlineLevel="0" collapsed="false">
      <c r="A26" s="46" t="str">
        <f aca="false">Orders!A26</f>
        <v>ORD-00025</v>
      </c>
      <c r="B26" s="46" t="str">
        <f aca="false">PROPER(TRIM(Orders!K26))</f>
        <v>Chennai</v>
      </c>
      <c r="C26" s="46" t="str">
        <f aca="false">IFERROR(VLOOKUP(Orders!D26,Products!$A$2:$F$61,3,FALSE()),"Not Found")</f>
        <v>Beauty</v>
      </c>
      <c r="D26" s="46" t="str">
        <f aca="false">IFERROR(VLOOKUP(Orders!C26,Customers!$A$2:$F$301,5,FALSE()),"Not Found")</f>
        <v>Corporate</v>
      </c>
      <c r="E26" s="46" t="n">
        <f aca="false">IFERROR(VLOOKUP(Orders!C26,Customers!$A$2:$F$301,3,FALSE()),"Not Found")</f>
        <v>55</v>
      </c>
      <c r="F26" s="46" t="str">
        <f aca="false">IFERROR(VLOOKUP(Orders!E26,Sales_Reps!$A$2:$E$31,3,FALSE()),"Not Found")</f>
        <v>East</v>
      </c>
      <c r="G26" s="46" t="n">
        <f aca="false">IFERROR(VLOOKUP(Orders!D26,Products!$A$2:$F$61,4,FALSE()),"")</f>
        <v>1728</v>
      </c>
      <c r="H26" s="47" t="n">
        <f aca="false">IF(G26="","",(Orders!G26-G26)/Orders!G26)</f>
        <v>0.484179104477612</v>
      </c>
      <c r="I26" s="46"/>
      <c r="J26" s="46" t="str">
        <f aca="false">Sales_Reps!A26</f>
        <v>R025</v>
      </c>
      <c r="K26" s="46" t="str">
        <f aca="false">Sales_Reps!B26</f>
        <v>Ashok Reddy</v>
      </c>
      <c r="L26" s="48" t="n">
        <f aca="false">SUMIFS(Orders!$I$2:$I$2001,Orders!$E$2:$E$2001,J26)</f>
        <v>901298.89</v>
      </c>
      <c r="M26" s="46" t="n">
        <f aca="false">RANK(L26,$L$2:$L$31,0)</f>
        <v>15</v>
      </c>
      <c r="N26" s="46"/>
      <c r="O26" s="46"/>
      <c r="P26" s="46"/>
      <c r="Q26" s="46"/>
      <c r="R26" s="46" t="str">
        <f aca="false">Products!A26</f>
        <v>PROD-025</v>
      </c>
      <c r="S26" s="46" t="str">
        <f aca="false">Products!B26</f>
        <v>Chili Powder 500g</v>
      </c>
      <c r="T26" s="48" t="n">
        <f aca="false">SUMIFS(Orders!$I$2:$I$2001,Orders!$D$2:$D$2001,R26,$F$2:$F$2001,"West")</f>
        <v>190994.58</v>
      </c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</row>
    <row r="27" customFormat="false" ht="15" hidden="false" customHeight="false" outlineLevel="0" collapsed="false">
      <c r="A27" s="46" t="str">
        <f aca="false">Orders!A27</f>
        <v>ORD-00026</v>
      </c>
      <c r="B27" s="46" t="str">
        <f aca="false">PROPER(TRIM(Orders!K27))</f>
        <v>Delhi</v>
      </c>
      <c r="C27" s="46" t="str">
        <f aca="false">IFERROR(VLOOKUP(Orders!D27,Products!$A$2:$F$61,3,FALSE()),"Not Found")</f>
        <v>Sports</v>
      </c>
      <c r="D27" s="46" t="str">
        <f aca="false">IFERROR(VLOOKUP(Orders!C27,Customers!$A$2:$F$301,5,FALSE()),"Not Found")</f>
        <v>Retail</v>
      </c>
      <c r="E27" s="46" t="n">
        <f aca="false">IFERROR(VLOOKUP(Orders!C27,Customers!$A$2:$F$301,3,FALSE()),"Not Found")</f>
        <v>31</v>
      </c>
      <c r="F27" s="46" t="str">
        <f aca="false">IFERROR(VLOOKUP(Orders!E27,Sales_Reps!$A$2:$E$31,3,FALSE()),"Not Found")</f>
        <v>East</v>
      </c>
      <c r="G27" s="46" t="n">
        <f aca="false">IFERROR(VLOOKUP(Orders!D27,Products!$A$2:$F$61,4,FALSE()),"")</f>
        <v>516</v>
      </c>
      <c r="H27" s="47" t="n">
        <f aca="false">IF(G27="","",(Orders!G27-G27)/Orders!G27)</f>
        <v>0.489108910891089</v>
      </c>
      <c r="I27" s="46"/>
      <c r="J27" s="46" t="str">
        <f aca="false">Sales_Reps!A27</f>
        <v>R026</v>
      </c>
      <c r="K27" s="46" t="str">
        <f aca="false">Sales_Reps!B27</f>
        <v>Sonia Malhotra</v>
      </c>
      <c r="L27" s="48" t="n">
        <f aca="false">SUMIFS(Orders!$I$2:$I$2001,Orders!$E$2:$E$2001,J27)</f>
        <v>576305.08</v>
      </c>
      <c r="M27" s="46" t="n">
        <f aca="false">RANK(L27,$L$2:$L$31,0)</f>
        <v>30</v>
      </c>
      <c r="N27" s="46"/>
      <c r="O27" s="46"/>
      <c r="P27" s="46"/>
      <c r="Q27" s="46"/>
      <c r="R27" s="46" t="str">
        <f aca="false">Products!A27</f>
        <v>PROD-026</v>
      </c>
      <c r="S27" s="46" t="str">
        <f aca="false">Products!B27</f>
        <v>Sugar 5kg</v>
      </c>
      <c r="T27" s="48" t="n">
        <f aca="false">SUMIFS(Orders!$I$2:$I$2001,Orders!$D$2:$D$2001,R27,$F$2:$F$2001,"West")</f>
        <v>179739.34</v>
      </c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</row>
    <row r="28" customFormat="false" ht="15" hidden="false" customHeight="false" outlineLevel="0" collapsed="false">
      <c r="A28" s="46" t="str">
        <f aca="false">Orders!A28</f>
        <v>ORD-00027</v>
      </c>
      <c r="B28" s="46" t="str">
        <f aca="false">PROPER(TRIM(Orders!K28))</f>
        <v>Delhi</v>
      </c>
      <c r="C28" s="46" t="str">
        <f aca="false">IFERROR(VLOOKUP(Orders!D28,Products!$A$2:$F$61,3,FALSE()),"Not Found")</f>
        <v>Beauty</v>
      </c>
      <c r="D28" s="46" t="str">
        <f aca="false">IFERROR(VLOOKUP(Orders!C28,Customers!$A$2:$F$301,5,FALSE()),"Not Found")</f>
        <v>Retail</v>
      </c>
      <c r="E28" s="46" t="n">
        <f aca="false">IFERROR(VLOOKUP(Orders!C28,Customers!$A$2:$F$301,3,FALSE()),"Not Found")</f>
        <v>52</v>
      </c>
      <c r="F28" s="46" t="str">
        <f aca="false">IFERROR(VLOOKUP(Orders!E28,Sales_Reps!$A$2:$E$31,3,FALSE()),"Not Found")</f>
        <v>North</v>
      </c>
      <c r="G28" s="46" t="n">
        <f aca="false">IFERROR(VLOOKUP(Orders!D28,Products!$A$2:$F$61,4,FALSE()),"")</f>
        <v>2768</v>
      </c>
      <c r="H28" s="47" t="n">
        <f aca="false">IF(G28="","",(Orders!G28-G28)/Orders!G28)</f>
        <v>0.432786885245902</v>
      </c>
      <c r="I28" s="46"/>
      <c r="J28" s="46" t="str">
        <f aca="false">Sales_Reps!A28</f>
        <v>R027</v>
      </c>
      <c r="K28" s="46" t="str">
        <f aca="false">Sales_Reps!B28</f>
        <v>Ramesh Bhatt</v>
      </c>
      <c r="L28" s="48" t="n">
        <f aca="false">SUMIFS(Orders!$I$2:$I$2001,Orders!$E$2:$E$2001,J28)</f>
        <v>917092.62</v>
      </c>
      <c r="M28" s="46" t="n">
        <f aca="false">RANK(L28,$L$2:$L$31,0)</f>
        <v>11</v>
      </c>
      <c r="N28" s="46"/>
      <c r="O28" s="46"/>
      <c r="P28" s="46"/>
      <c r="Q28" s="46"/>
      <c r="R28" s="46" t="str">
        <f aca="false">Products!A28</f>
        <v>PROD-027</v>
      </c>
      <c r="S28" s="46" t="str">
        <f aca="false">Products!B28</f>
        <v>Tea Leaves 1kg</v>
      </c>
      <c r="T28" s="48" t="n">
        <f aca="false">SUMIFS(Orders!$I$2:$I$2001,Orders!$D$2:$D$2001,R28,$F$2:$F$2001,"West")</f>
        <v>39599.28</v>
      </c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</row>
    <row r="29" customFormat="false" ht="15" hidden="false" customHeight="false" outlineLevel="0" collapsed="false">
      <c r="A29" s="46" t="str">
        <f aca="false">Orders!A29</f>
        <v>ORD-00028</v>
      </c>
      <c r="B29" s="46" t="str">
        <f aca="false">PROPER(TRIM(Orders!K29))</f>
        <v>Chennai</v>
      </c>
      <c r="C29" s="46" t="str">
        <f aca="false">IFERROR(VLOOKUP(Orders!D29,Products!$A$2:$F$61,3,FALSE()),"Not Found")</f>
        <v>Electronics</v>
      </c>
      <c r="D29" s="46" t="str">
        <f aca="false">IFERROR(VLOOKUP(Orders!C29,Customers!$A$2:$F$301,5,FALSE()),"Not Found")</f>
        <v>SMB</v>
      </c>
      <c r="E29" s="46" t="n">
        <f aca="false">IFERROR(VLOOKUP(Orders!C29,Customers!$A$2:$F$301,3,FALSE()),"Not Found")</f>
        <v>52</v>
      </c>
      <c r="F29" s="46" t="str">
        <f aca="false">IFERROR(VLOOKUP(Orders!E29,Sales_Reps!$A$2:$E$31,3,FALSE()),"Not Found")</f>
        <v>South</v>
      </c>
      <c r="G29" s="46" t="n">
        <f aca="false">IFERROR(VLOOKUP(Orders!D29,Products!$A$2:$F$61,4,FALSE()),"")</f>
        <v>1665</v>
      </c>
      <c r="H29" s="47" t="n">
        <f aca="false">IF(G29="","",(Orders!G29-G29)/Orders!G29)</f>
        <v>0.533613445378151</v>
      </c>
      <c r="I29" s="46"/>
      <c r="J29" s="46" t="str">
        <f aca="false">Sales_Reps!A29</f>
        <v>R028</v>
      </c>
      <c r="K29" s="46" t="str">
        <f aca="false">Sales_Reps!B29</f>
        <v>Preeti Shah</v>
      </c>
      <c r="L29" s="48" t="n">
        <f aca="false">SUMIFS(Orders!$I$2:$I$2001,Orders!$E$2:$E$2001,J29)</f>
        <v>880468.05</v>
      </c>
      <c r="M29" s="46" t="n">
        <f aca="false">RANK(L29,$L$2:$L$31,0)</f>
        <v>16</v>
      </c>
      <c r="N29" s="46"/>
      <c r="O29" s="46"/>
      <c r="P29" s="46"/>
      <c r="Q29" s="46"/>
      <c r="R29" s="46" t="str">
        <f aca="false">Products!A29</f>
        <v>PROD-028</v>
      </c>
      <c r="S29" s="46" t="str">
        <f aca="false">Products!B29</f>
        <v>Coffee Beans 500g</v>
      </c>
      <c r="T29" s="48" t="n">
        <f aca="false">SUMIFS(Orders!$I$2:$I$2001,Orders!$D$2:$D$2001,R29,$F$2:$F$2001,"West")</f>
        <v>112574.28</v>
      </c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</row>
    <row r="30" customFormat="false" ht="15" hidden="false" customHeight="false" outlineLevel="0" collapsed="false">
      <c r="A30" s="46" t="str">
        <f aca="false">Orders!A30</f>
        <v>ORD-00029</v>
      </c>
      <c r="B30" s="46" t="str">
        <f aca="false">PROPER(TRIM(Orders!K30))</f>
        <v>Hyderabad</v>
      </c>
      <c r="C30" s="46" t="str">
        <f aca="false">IFERROR(VLOOKUP(Orders!D30,Products!$A$2:$F$61,3,FALSE()),"Not Found")</f>
        <v>Beauty</v>
      </c>
      <c r="D30" s="46" t="str">
        <f aca="false">IFERROR(VLOOKUP(Orders!C30,Customers!$A$2:$F$301,5,FALSE()),"Not Found")</f>
        <v>Corporate</v>
      </c>
      <c r="E30" s="46" t="n">
        <f aca="false">IFERROR(VLOOKUP(Orders!C30,Customers!$A$2:$F$301,3,FALSE()),"Not Found")</f>
        <v>56</v>
      </c>
      <c r="F30" s="46" t="str">
        <f aca="false">IFERROR(VLOOKUP(Orders!E30,Sales_Reps!$A$2:$E$31,3,FALSE()),"Not Found")</f>
        <v>East</v>
      </c>
      <c r="G30" s="46" t="n">
        <f aca="false">IFERROR(VLOOKUP(Orders!D30,Products!$A$2:$F$61,4,FALSE()),"")</f>
        <v>2237</v>
      </c>
      <c r="H30" s="47" t="n">
        <f aca="false">IF(G30="","",(Orders!G30-G30)/Orders!G30)</f>
        <v>0.561372549019608</v>
      </c>
      <c r="I30" s="46"/>
      <c r="J30" s="46" t="str">
        <f aca="false">Sales_Reps!A30</f>
        <v>R029</v>
      </c>
      <c r="K30" s="46" t="str">
        <f aca="false">Sales_Reps!B30</f>
        <v>Arun Iyer</v>
      </c>
      <c r="L30" s="48" t="n">
        <f aca="false">SUMIFS(Orders!$I$2:$I$2001,Orders!$E$2:$E$2001,J30)</f>
        <v>1016696.8</v>
      </c>
      <c r="M30" s="46" t="n">
        <f aca="false">RANK(L30,$L$2:$L$31,0)</f>
        <v>5</v>
      </c>
      <c r="N30" s="46"/>
      <c r="O30" s="46"/>
      <c r="P30" s="46"/>
      <c r="Q30" s="46"/>
      <c r="R30" s="46" t="str">
        <f aca="false">Products!A30</f>
        <v>PROD-029</v>
      </c>
      <c r="S30" s="46" t="str">
        <f aca="false">Products!B30</f>
        <v>Ghee 1L</v>
      </c>
      <c r="T30" s="48" t="n">
        <f aca="false">SUMIFS(Orders!$I$2:$I$2001,Orders!$D$2:$D$2001,R30,$F$2:$F$2001,"West")</f>
        <v>118562.08</v>
      </c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</row>
    <row r="31" customFormat="false" ht="15" hidden="false" customHeight="false" outlineLevel="0" collapsed="false">
      <c r="A31" s="46" t="str">
        <f aca="false">Orders!A31</f>
        <v>ORD-00030</v>
      </c>
      <c r="B31" s="46" t="str">
        <f aca="false">PROPER(TRIM(Orders!K31))</f>
        <v>Pune</v>
      </c>
      <c r="C31" s="46" t="str">
        <f aca="false">IFERROR(VLOOKUP(Orders!D31,Products!$A$2:$F$61,3,FALSE()),"Not Found")</f>
        <v>Sports</v>
      </c>
      <c r="D31" s="46" t="str">
        <f aca="false">IFERROR(VLOOKUP(Orders!C31,Customers!$A$2:$F$301,5,FALSE()),"Not Found")</f>
        <v>SMB</v>
      </c>
      <c r="E31" s="46" t="n">
        <f aca="false">IFERROR(VLOOKUP(Orders!C31,Customers!$A$2:$F$301,3,FALSE()),"Not Found")</f>
        <v>44</v>
      </c>
      <c r="F31" s="46" t="str">
        <f aca="false">IFERROR(VLOOKUP(Orders!E31,Sales_Reps!$A$2:$E$31,3,FALSE()),"Not Found")</f>
        <v>North</v>
      </c>
      <c r="G31" s="46" t="n">
        <f aca="false">IFERROR(VLOOKUP(Orders!D31,Products!$A$2:$F$61,4,FALSE()),"")</f>
        <v>2028</v>
      </c>
      <c r="H31" s="47" t="n">
        <f aca="false">IF(G31="","",(Orders!G31-G31)/Orders!G31)</f>
        <v>0.290909090909091</v>
      </c>
      <c r="I31" s="46"/>
      <c r="J31" s="46" t="str">
        <f aca="false">Sales_Reps!A31</f>
        <v>R030</v>
      </c>
      <c r="K31" s="46" t="str">
        <f aca="false">Sales_Reps!B31</f>
        <v>Kiran Bhatt</v>
      </c>
      <c r="L31" s="48" t="n">
        <f aca="false">SUMIFS(Orders!$I$2:$I$2001,Orders!$E$2:$E$2001,J31)</f>
        <v>747624.37</v>
      </c>
      <c r="M31" s="46" t="n">
        <f aca="false">RANK(L31,$L$2:$L$31,0)</f>
        <v>27</v>
      </c>
      <c r="N31" s="46"/>
      <c r="O31" s="46"/>
      <c r="P31" s="46"/>
      <c r="Q31" s="46"/>
      <c r="R31" s="46" t="str">
        <f aca="false">Products!A31</f>
        <v>PROD-030</v>
      </c>
      <c r="S31" s="46" t="str">
        <f aca="false">Products!B31</f>
        <v>Salt 1kg</v>
      </c>
      <c r="T31" s="48" t="n">
        <f aca="false">SUMIFS(Orders!$I$2:$I$2001,Orders!$D$2:$D$2001,R31,$F$2:$F$2001,"West")</f>
        <v>37405.14</v>
      </c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</row>
    <row r="32" customFormat="false" ht="15" hidden="false" customHeight="false" outlineLevel="0" collapsed="false">
      <c r="A32" s="46" t="str">
        <f aca="false">Orders!A32</f>
        <v>ORD-00031</v>
      </c>
      <c r="B32" s="46" t="str">
        <f aca="false">PROPER(TRIM(Orders!K32))</f>
        <v>Pune</v>
      </c>
      <c r="C32" s="46" t="str">
        <f aca="false">IFERROR(VLOOKUP(Orders!D32,Products!$A$2:$F$61,3,FALSE()),"Not Found")</f>
        <v>Grocery</v>
      </c>
      <c r="D32" s="46" t="str">
        <f aca="false">IFERROR(VLOOKUP(Orders!C32,Customers!$A$2:$F$301,5,FALSE()),"Not Found")</f>
        <v>Corporate</v>
      </c>
      <c r="E32" s="46" t="n">
        <f aca="false">IFERROR(VLOOKUP(Orders!C32,Customers!$A$2:$F$301,3,FALSE()),"Not Found")</f>
        <v>47</v>
      </c>
      <c r="F32" s="46" t="str">
        <f aca="false">IFERROR(VLOOKUP(Orders!E32,Sales_Reps!$A$2:$E$31,3,FALSE()),"Not Found")</f>
        <v>North</v>
      </c>
      <c r="G32" s="46" t="n">
        <f aca="false">IFERROR(VLOOKUP(Orders!D32,Products!$A$2:$F$61,4,FALSE()),"")</f>
        <v>434</v>
      </c>
      <c r="H32" s="47" t="n">
        <f aca="false">IF(G32="","",(Orders!G32-G32)/Orders!G32)</f>
        <v>0.552577319587629</v>
      </c>
      <c r="I32" s="46"/>
      <c r="J32" s="46"/>
      <c r="K32" s="46"/>
      <c r="L32" s="46"/>
      <c r="M32" s="46"/>
      <c r="N32" s="46"/>
      <c r="O32" s="46"/>
      <c r="P32" s="46"/>
      <c r="Q32" s="46"/>
      <c r="R32" s="46" t="str">
        <f aca="false">Products!A32</f>
        <v>PROD-031</v>
      </c>
      <c r="S32" s="46" t="str">
        <f aca="false">Products!B32</f>
        <v>Bed Sheet Set</v>
      </c>
      <c r="T32" s="48" t="n">
        <f aca="false">SUMIFS(Orders!$I$2:$I$2001,Orders!$D$2:$D$2001,R32,$F$2:$F$2001,"West")</f>
        <v>102321.36</v>
      </c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</row>
    <row r="33" customFormat="false" ht="15" hidden="false" customHeight="false" outlineLevel="0" collapsed="false">
      <c r="A33" s="46" t="str">
        <f aca="false">Orders!A33</f>
        <v>ORD-00032</v>
      </c>
      <c r="B33" s="46" t="str">
        <f aca="false">PROPER(TRIM(Orders!K33))</f>
        <v>Hyderabad</v>
      </c>
      <c r="C33" s="46" t="str">
        <f aca="false">IFERROR(VLOOKUP(Orders!D33,Products!$A$2:$F$61,3,FALSE()),"Not Found")</f>
        <v>Grocery</v>
      </c>
      <c r="D33" s="46" t="str">
        <f aca="false">IFERROR(VLOOKUP(Orders!C33,Customers!$A$2:$F$301,5,FALSE()),"Not Found")</f>
        <v>Retail</v>
      </c>
      <c r="E33" s="46" t="n">
        <f aca="false">IFERROR(VLOOKUP(Orders!C33,Customers!$A$2:$F$301,3,FALSE()),"Not Found")</f>
        <v>53</v>
      </c>
      <c r="F33" s="46" t="str">
        <f aca="false">IFERROR(VLOOKUP(Orders!E33,Sales_Reps!$A$2:$E$31,3,FALSE()),"Not Found")</f>
        <v>West</v>
      </c>
      <c r="G33" s="46" t="n">
        <f aca="false">IFERROR(VLOOKUP(Orders!D33,Products!$A$2:$F$61,4,FALSE()),"")</f>
        <v>1435</v>
      </c>
      <c r="H33" s="47" t="n">
        <f aca="false">IF(G33="","",(Orders!G33-G33)/Orders!G33)</f>
        <v>0.480072463768116</v>
      </c>
      <c r="I33" s="46"/>
      <c r="J33" s="46"/>
      <c r="K33" s="46"/>
      <c r="L33" s="46"/>
      <c r="M33" s="46"/>
      <c r="N33" s="46"/>
      <c r="O33" s="46"/>
      <c r="P33" s="46"/>
      <c r="Q33" s="46"/>
      <c r="R33" s="46" t="str">
        <f aca="false">Products!A33</f>
        <v>PROD-032</v>
      </c>
      <c r="S33" s="46" t="str">
        <f aca="false">Products!B33</f>
        <v>Pillow Cover Pair</v>
      </c>
      <c r="T33" s="48" t="n">
        <f aca="false">SUMIFS(Orders!$I$2:$I$2001,Orders!$D$2:$D$2001,R33,$F$2:$F$2001,"West")</f>
        <v>20402.17</v>
      </c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customFormat="false" ht="15" hidden="false" customHeight="false" outlineLevel="0" collapsed="false">
      <c r="A34" s="46" t="str">
        <f aca="false">Orders!A34</f>
        <v>ORD-00033</v>
      </c>
      <c r="B34" s="46" t="str">
        <f aca="false">PROPER(TRIM(Orders!K34))</f>
        <v>Hyderabad</v>
      </c>
      <c r="C34" s="46" t="str">
        <f aca="false">IFERROR(VLOOKUP(Orders!D34,Products!$A$2:$F$61,3,FALSE()),"Not Found")</f>
        <v>Home</v>
      </c>
      <c r="D34" s="46" t="str">
        <f aca="false">IFERROR(VLOOKUP(Orders!C34,Customers!$A$2:$F$301,5,FALSE()),"Not Found")</f>
        <v>Corporate</v>
      </c>
      <c r="E34" s="46" t="n">
        <f aca="false">IFERROR(VLOOKUP(Orders!C34,Customers!$A$2:$F$301,3,FALSE()),"Not Found")</f>
        <v>32</v>
      </c>
      <c r="F34" s="46" t="str">
        <f aca="false">IFERROR(VLOOKUP(Orders!E34,Sales_Reps!$A$2:$E$31,3,FALSE()),"Not Found")</f>
        <v>South</v>
      </c>
      <c r="G34" s="46" t="n">
        <f aca="false">IFERROR(VLOOKUP(Orders!D34,Products!$A$2:$F$61,4,FALSE()),"")</f>
        <v>329</v>
      </c>
      <c r="H34" s="47" t="n">
        <f aca="false">IF(G34="","",(Orders!G34-G34)/Orders!G34)</f>
        <v>0.501515151515152</v>
      </c>
      <c r="I34" s="46"/>
      <c r="J34" s="46"/>
      <c r="K34" s="46"/>
      <c r="L34" s="46"/>
      <c r="M34" s="46"/>
      <c r="N34" s="46"/>
      <c r="O34" s="46"/>
      <c r="P34" s="46"/>
      <c r="Q34" s="46"/>
      <c r="R34" s="46" t="str">
        <f aca="false">Products!A34</f>
        <v>PROD-033</v>
      </c>
      <c r="S34" s="46" t="str">
        <f aca="false">Products!B34</f>
        <v>Curtain Set</v>
      </c>
      <c r="T34" s="48" t="n">
        <f aca="false">SUMIFS(Orders!$I$2:$I$2001,Orders!$D$2:$D$2001,R34,$F$2:$F$2001,"West")</f>
        <v>137585.28</v>
      </c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</row>
    <row r="35" customFormat="false" ht="15" hidden="false" customHeight="false" outlineLevel="0" collapsed="false">
      <c r="A35" s="46" t="str">
        <f aca="false">Orders!A35</f>
        <v>ORD-00034</v>
      </c>
      <c r="B35" s="46" t="str">
        <f aca="false">PROPER(TRIM(Orders!K35))</f>
        <v>Hyderabad</v>
      </c>
      <c r="C35" s="46" t="str">
        <f aca="false">IFERROR(VLOOKUP(Orders!D35,Products!$A$2:$F$61,3,FALSE()),"Not Found")</f>
        <v>Home</v>
      </c>
      <c r="D35" s="46" t="str">
        <f aca="false">IFERROR(VLOOKUP(Orders!C35,Customers!$A$2:$F$301,5,FALSE()),"Not Found")</f>
        <v>SMB</v>
      </c>
      <c r="E35" s="46" t="n">
        <f aca="false">IFERROR(VLOOKUP(Orders!C35,Customers!$A$2:$F$301,3,FALSE()),"Not Found")</f>
        <v>40</v>
      </c>
      <c r="F35" s="46" t="str">
        <f aca="false">IFERROR(VLOOKUP(Orders!E35,Sales_Reps!$A$2:$E$31,3,FALSE()),"Not Found")</f>
        <v>East</v>
      </c>
      <c r="G35" s="46" t="n">
        <f aca="false">IFERROR(VLOOKUP(Orders!D35,Products!$A$2:$F$61,4,FALSE()),"")</f>
        <v>1556</v>
      </c>
      <c r="H35" s="47" t="n">
        <f aca="false">IF(G35="","",(Orders!G35-G35)/Orders!G35)</f>
        <v>0.521230769230769</v>
      </c>
      <c r="I35" s="46"/>
      <c r="J35" s="46"/>
      <c r="K35" s="46"/>
      <c r="L35" s="46"/>
      <c r="M35" s="46"/>
      <c r="N35" s="46"/>
      <c r="O35" s="46"/>
      <c r="P35" s="46"/>
      <c r="Q35" s="46"/>
      <c r="R35" s="46" t="str">
        <f aca="false">Products!A35</f>
        <v>PROD-034</v>
      </c>
      <c r="S35" s="46" t="str">
        <f aca="false">Products!B35</f>
        <v>Kitchen Towel Set</v>
      </c>
      <c r="T35" s="48" t="n">
        <f aca="false">SUMIFS(Orders!$I$2:$I$2001,Orders!$D$2:$D$2001,R35,$F$2:$F$2001,"West")</f>
        <v>221112.08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</row>
    <row r="36" customFormat="false" ht="15" hidden="false" customHeight="false" outlineLevel="0" collapsed="false">
      <c r="A36" s="46" t="str">
        <f aca="false">Orders!A36</f>
        <v>ORD-00035</v>
      </c>
      <c r="B36" s="46" t="str">
        <f aca="false">PROPER(TRIM(Orders!K36))</f>
        <v>Hyderabad</v>
      </c>
      <c r="C36" s="46" t="str">
        <f aca="false">IFERROR(VLOOKUP(Orders!D36,Products!$A$2:$F$61,3,FALSE()),"Not Found")</f>
        <v>Beauty</v>
      </c>
      <c r="D36" s="46" t="str">
        <f aca="false">IFERROR(VLOOKUP(Orders!C36,Customers!$A$2:$F$301,5,FALSE()),"Not Found")</f>
        <v>Retail</v>
      </c>
      <c r="E36" s="46" t="n">
        <f aca="false">IFERROR(VLOOKUP(Orders!C36,Customers!$A$2:$F$301,3,FALSE()),"Not Found")</f>
        <v>26</v>
      </c>
      <c r="F36" s="46" t="str">
        <f aca="false">IFERROR(VLOOKUP(Orders!E36,Sales_Reps!$A$2:$E$31,3,FALSE()),"Not Found")</f>
        <v>East</v>
      </c>
      <c r="G36" s="46" t="n">
        <f aca="false">IFERROR(VLOOKUP(Orders!D36,Products!$A$2:$F$61,4,FALSE()),"")</f>
        <v>2237</v>
      </c>
      <c r="H36" s="47" t="n">
        <f aca="false">IF(G36="","",(Orders!G36-G36)/Orders!G36)</f>
        <v>0.561372549019608</v>
      </c>
      <c r="I36" s="46"/>
      <c r="J36" s="46"/>
      <c r="K36" s="46"/>
      <c r="L36" s="46"/>
      <c r="M36" s="46"/>
      <c r="N36" s="46"/>
      <c r="O36" s="46"/>
      <c r="P36" s="46"/>
      <c r="Q36" s="46"/>
      <c r="R36" s="46" t="str">
        <f aca="false">Products!A36</f>
        <v>PROD-035</v>
      </c>
      <c r="S36" s="46" t="str">
        <f aca="false">Products!B36</f>
        <v>Doormat</v>
      </c>
      <c r="T36" s="48" t="n">
        <f aca="false">SUMIFS(Orders!$I$2:$I$2001,Orders!$D$2:$D$2001,R36,$F$2:$F$2001,"West")</f>
        <v>26929.54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</row>
    <row r="37" customFormat="false" ht="15" hidden="false" customHeight="false" outlineLevel="0" collapsed="false">
      <c r="A37" s="46" t="str">
        <f aca="false">Orders!A37</f>
        <v>ORD-00036</v>
      </c>
      <c r="B37" s="46" t="str">
        <f aca="false">PROPER(TRIM(Orders!K37))</f>
        <v>Delhi</v>
      </c>
      <c r="C37" s="46" t="str">
        <f aca="false">IFERROR(VLOOKUP(Orders!D37,Products!$A$2:$F$61,3,FALSE()),"Not Found")</f>
        <v>Home</v>
      </c>
      <c r="D37" s="46" t="str">
        <f aca="false">IFERROR(VLOOKUP(Orders!C37,Customers!$A$2:$F$301,5,FALSE()),"Not Found")</f>
        <v>Retail</v>
      </c>
      <c r="E37" s="46" t="n">
        <f aca="false">IFERROR(VLOOKUP(Orders!C37,Customers!$A$2:$F$301,3,FALSE()),"Not Found")</f>
        <v>41</v>
      </c>
      <c r="F37" s="46" t="str">
        <f aca="false">IFERROR(VLOOKUP(Orders!E37,Sales_Reps!$A$2:$E$31,3,FALSE()),"Not Found")</f>
        <v>East</v>
      </c>
      <c r="G37" s="46" t="n">
        <f aca="false">IFERROR(VLOOKUP(Orders!D37,Products!$A$2:$F$61,4,FALSE()),"")</f>
        <v>519</v>
      </c>
      <c r="H37" s="47" t="n">
        <f aca="false">IF(G37="","",(Orders!G37-G37)/Orders!G37)</f>
        <v>0.519444444444445</v>
      </c>
      <c r="I37" s="46"/>
      <c r="J37" s="46"/>
      <c r="K37" s="46"/>
      <c r="L37" s="46"/>
      <c r="M37" s="46"/>
      <c r="N37" s="46"/>
      <c r="O37" s="46"/>
      <c r="P37" s="46"/>
      <c r="Q37" s="46"/>
      <c r="R37" s="46" t="str">
        <f aca="false">Products!A37</f>
        <v>PROD-036</v>
      </c>
      <c r="S37" s="46" t="str">
        <f aca="false">Products!B37</f>
        <v>Wall Clock</v>
      </c>
      <c r="T37" s="48" t="n">
        <f aca="false">SUMIFS(Orders!$I$2:$I$2001,Orders!$D$2:$D$2001,R37,$F$2:$F$2001,"West")</f>
        <v>88426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</row>
    <row r="38" customFormat="false" ht="15" hidden="false" customHeight="false" outlineLevel="0" collapsed="false">
      <c r="A38" s="46" t="str">
        <f aca="false">Orders!A38</f>
        <v>ORD-00037</v>
      </c>
      <c r="B38" s="46" t="str">
        <f aca="false">PROPER(TRIM(Orders!K38))</f>
        <v>Mumbai</v>
      </c>
      <c r="C38" s="46" t="str">
        <f aca="false">IFERROR(VLOOKUP(Orders!D38,Products!$A$2:$F$61,3,FALSE()),"Not Found")</f>
        <v>Home</v>
      </c>
      <c r="D38" s="46" t="str">
        <f aca="false">IFERROR(VLOOKUP(Orders!C38,Customers!$A$2:$F$301,5,FALSE()),"Not Found")</f>
        <v>SMB</v>
      </c>
      <c r="E38" s="46" t="n">
        <f aca="false">IFERROR(VLOOKUP(Orders!C38,Customers!$A$2:$F$301,3,FALSE()),"Not Found")</f>
        <v>36</v>
      </c>
      <c r="F38" s="46" t="str">
        <f aca="false">IFERROR(VLOOKUP(Orders!E38,Sales_Reps!$A$2:$E$31,3,FALSE()),"Not Found")</f>
        <v>South</v>
      </c>
      <c r="G38" s="46" t="n">
        <f aca="false">IFERROR(VLOOKUP(Orders!D38,Products!$A$2:$F$61,4,FALSE()),"")</f>
        <v>2549</v>
      </c>
      <c r="H38" s="47" t="n">
        <f aca="false">IF(G38="","",(Orders!G38-G38)/Orders!G38)</f>
        <v>0.535701275045537</v>
      </c>
      <c r="I38" s="46"/>
      <c r="J38" s="46"/>
      <c r="K38" s="46"/>
      <c r="L38" s="46"/>
      <c r="M38" s="46"/>
      <c r="N38" s="46"/>
      <c r="O38" s="46"/>
      <c r="P38" s="46"/>
      <c r="Q38" s="46"/>
      <c r="R38" s="46" t="str">
        <f aca="false">Products!A38</f>
        <v>PROD-037</v>
      </c>
      <c r="S38" s="46" t="str">
        <f aca="false">Products!B38</f>
        <v>Table Lamp</v>
      </c>
      <c r="T38" s="48" t="n">
        <f aca="false">SUMIFS(Orders!$I$2:$I$2001,Orders!$D$2:$D$2001,R38,$F$2:$F$2001,"West")</f>
        <v>13841.52</v>
      </c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</row>
    <row r="39" customFormat="false" ht="15" hidden="false" customHeight="false" outlineLevel="0" collapsed="false">
      <c r="A39" s="46" t="str">
        <f aca="false">Orders!A39</f>
        <v>ORD-00038</v>
      </c>
      <c r="B39" s="46" t="str">
        <f aca="false">PROPER(TRIM(Orders!K39))</f>
        <v>Bengaluru</v>
      </c>
      <c r="C39" s="46" t="str">
        <f aca="false">IFERROR(VLOOKUP(Orders!D39,Products!$A$2:$F$61,3,FALSE()),"Not Found")</f>
        <v>Sports</v>
      </c>
      <c r="D39" s="46" t="str">
        <f aca="false">IFERROR(VLOOKUP(Orders!C39,Customers!$A$2:$F$301,5,FALSE()),"Not Found")</f>
        <v>Retail</v>
      </c>
      <c r="E39" s="46" t="n">
        <f aca="false">IFERROR(VLOOKUP(Orders!C39,Customers!$A$2:$F$301,3,FALSE()),"Not Found")</f>
        <v>42</v>
      </c>
      <c r="F39" s="46" t="str">
        <f aca="false">IFERROR(VLOOKUP(Orders!E39,Sales_Reps!$A$2:$E$31,3,FALSE()),"Not Found")</f>
        <v>North</v>
      </c>
      <c r="G39" s="46" t="n">
        <f aca="false">IFERROR(VLOOKUP(Orders!D39,Products!$A$2:$F$61,4,FALSE()),"")</f>
        <v>147</v>
      </c>
      <c r="H39" s="47" t="n">
        <f aca="false">IF(G39="","",(Orders!G39-G39)/Orders!G39)</f>
        <v>0.226315789473684</v>
      </c>
      <c r="I39" s="46"/>
      <c r="J39" s="46"/>
      <c r="K39" s="46"/>
      <c r="L39" s="46"/>
      <c r="M39" s="46"/>
      <c r="N39" s="46"/>
      <c r="O39" s="46"/>
      <c r="P39" s="46"/>
      <c r="Q39" s="46"/>
      <c r="R39" s="46" t="str">
        <f aca="false">Products!A39</f>
        <v>PROD-038</v>
      </c>
      <c r="S39" s="46" t="str">
        <f aca="false">Products!B39</f>
        <v>Storage Box</v>
      </c>
      <c r="T39" s="48" t="n">
        <f aca="false">SUMIFS(Orders!$I$2:$I$2001,Orders!$D$2:$D$2001,R39,$F$2:$F$2001,"West")</f>
        <v>119445.93</v>
      </c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customFormat="false" ht="15" hidden="false" customHeight="false" outlineLevel="0" collapsed="false">
      <c r="A40" s="46" t="str">
        <f aca="false">Orders!A40</f>
        <v>ORD-00039</v>
      </c>
      <c r="B40" s="46" t="str">
        <f aca="false">PROPER(TRIM(Orders!K40))</f>
        <v>Chennai</v>
      </c>
      <c r="C40" s="46" t="str">
        <f aca="false">IFERROR(VLOOKUP(Orders!D40,Products!$A$2:$F$61,3,FALSE()),"Not Found")</f>
        <v>Sports</v>
      </c>
      <c r="D40" s="46" t="str">
        <f aca="false">IFERROR(VLOOKUP(Orders!C40,Customers!$A$2:$F$301,5,FALSE()),"Not Found")</f>
        <v>Retail</v>
      </c>
      <c r="E40" s="46" t="n">
        <f aca="false">IFERROR(VLOOKUP(Orders!C40,Customers!$A$2:$F$301,3,FALSE()),"Not Found")</f>
        <v>51</v>
      </c>
      <c r="F40" s="46" t="str">
        <f aca="false">IFERROR(VLOOKUP(Orders!E40,Sales_Reps!$A$2:$E$31,3,FALSE()),"Not Found")</f>
        <v>South</v>
      </c>
      <c r="G40" s="46" t="n">
        <f aca="false">IFERROR(VLOOKUP(Orders!D40,Products!$A$2:$F$61,4,FALSE()),"")</f>
        <v>974</v>
      </c>
      <c r="H40" s="47" t="n">
        <f aca="false">IF(G40="","",(Orders!G40-G40)/Orders!G40)</f>
        <v>0.594166666666667</v>
      </c>
      <c r="I40" s="46"/>
      <c r="J40" s="46"/>
      <c r="K40" s="46"/>
      <c r="L40" s="46"/>
      <c r="M40" s="46"/>
      <c r="N40" s="46"/>
      <c r="O40" s="46"/>
      <c r="P40" s="46"/>
      <c r="Q40" s="46"/>
      <c r="R40" s="46" t="str">
        <f aca="false">Products!A40</f>
        <v>PROD-039</v>
      </c>
      <c r="S40" s="46" t="str">
        <f aca="false">Products!B40</f>
        <v>Photo Frame</v>
      </c>
      <c r="T40" s="48" t="n">
        <f aca="false">SUMIFS(Orders!$I$2:$I$2001,Orders!$D$2:$D$2001,R40,$F$2:$F$2001,"West")</f>
        <v>177512.66</v>
      </c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</row>
    <row r="41" customFormat="false" ht="15" hidden="false" customHeight="false" outlineLevel="0" collapsed="false">
      <c r="A41" s="46" t="str">
        <f aca="false">Orders!A41</f>
        <v>ORD-00040</v>
      </c>
      <c r="B41" s="46" t="str">
        <f aca="false">PROPER(TRIM(Orders!K41))</f>
        <v>Delhi</v>
      </c>
      <c r="C41" s="46" t="str">
        <f aca="false">IFERROR(VLOOKUP(Orders!D41,Products!$A$2:$F$61,3,FALSE()),"Not Found")</f>
        <v>Beauty</v>
      </c>
      <c r="D41" s="46" t="str">
        <f aca="false">IFERROR(VLOOKUP(Orders!C41,Customers!$A$2:$F$301,5,FALSE()),"Not Found")</f>
        <v>SMB</v>
      </c>
      <c r="E41" s="46" t="n">
        <f aca="false">IFERROR(VLOOKUP(Orders!C41,Customers!$A$2:$F$301,3,FALSE()),"Not Found")</f>
        <v>50</v>
      </c>
      <c r="F41" s="46" t="str">
        <f aca="false">IFERROR(VLOOKUP(Orders!E41,Sales_Reps!$A$2:$E$31,3,FALSE()),"Not Found")</f>
        <v>East</v>
      </c>
      <c r="G41" s="46" t="n">
        <f aca="false">IFERROR(VLOOKUP(Orders!D41,Products!$A$2:$F$61,4,FALSE()),"")</f>
        <v>1222</v>
      </c>
      <c r="H41" s="47" t="n">
        <f aca="false">IF(G41="","",(Orders!G41-G41)/Orders!G41)</f>
        <v>0.259393939393939</v>
      </c>
      <c r="I41" s="46"/>
      <c r="J41" s="46"/>
      <c r="K41" s="46"/>
      <c r="L41" s="46"/>
      <c r="M41" s="46"/>
      <c r="N41" s="46"/>
      <c r="O41" s="46"/>
      <c r="P41" s="46"/>
      <c r="Q41" s="46"/>
      <c r="R41" s="46" t="str">
        <f aca="false">Products!A41</f>
        <v>PROD-040</v>
      </c>
      <c r="S41" s="46" t="str">
        <f aca="false">Products!B41</f>
        <v>Cushion Cover</v>
      </c>
      <c r="T41" s="48" t="n">
        <f aca="false">SUMIFS(Orders!$I$2:$I$2001,Orders!$D$2:$D$2001,R41,$F$2:$F$2001,"West")</f>
        <v>47831.04</v>
      </c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</row>
    <row r="42" customFormat="false" ht="15" hidden="false" customHeight="false" outlineLevel="0" collapsed="false">
      <c r="A42" s="46" t="str">
        <f aca="false">Orders!A42</f>
        <v>ORD-00041</v>
      </c>
      <c r="B42" s="46" t="str">
        <f aca="false">PROPER(TRIM(Orders!K42))</f>
        <v>Chennai</v>
      </c>
      <c r="C42" s="46" t="str">
        <f aca="false">IFERROR(VLOOKUP(Orders!D42,Products!$A$2:$F$61,3,FALSE()),"Not Found")</f>
        <v>Home</v>
      </c>
      <c r="D42" s="46" t="str">
        <f aca="false">IFERROR(VLOOKUP(Orders!C42,Customers!$A$2:$F$301,5,FALSE()),"Not Found")</f>
        <v>Not Found</v>
      </c>
      <c r="E42" s="46" t="str">
        <f aca="false">IFERROR(VLOOKUP(Orders!C42,Customers!$A$2:$F$301,3,FALSE()),"Not Found")</f>
        <v>Not Found</v>
      </c>
      <c r="F42" s="46" t="str">
        <f aca="false">IFERROR(VLOOKUP(Orders!E42,Sales_Reps!$A$2:$E$31,3,FALSE()),"Not Found")</f>
        <v>North</v>
      </c>
      <c r="G42" s="46" t="n">
        <f aca="false">IFERROR(VLOOKUP(Orders!D42,Products!$A$2:$F$61,4,FALSE()),"")</f>
        <v>2549</v>
      </c>
      <c r="H42" s="47" t="n">
        <f aca="false">IF(G42="","",(Orders!G42-G42)/Orders!G42)</f>
        <v>0.535701275045537</v>
      </c>
      <c r="I42" s="46"/>
      <c r="J42" s="46"/>
      <c r="K42" s="46"/>
      <c r="L42" s="46"/>
      <c r="M42" s="46"/>
      <c r="N42" s="46"/>
      <c r="O42" s="46"/>
      <c r="P42" s="46"/>
      <c r="Q42" s="46"/>
      <c r="R42" s="46" t="str">
        <f aca="false">Products!A42</f>
        <v>PROD-041</v>
      </c>
      <c r="S42" s="46" t="str">
        <f aca="false">Products!B42</f>
        <v>Face Wash 100ml</v>
      </c>
      <c r="T42" s="48" t="n">
        <f aca="false">SUMIFS(Orders!$I$2:$I$2001,Orders!$D$2:$D$2001,R42,$F$2:$F$2001,"West")</f>
        <v>80488.1</v>
      </c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</row>
    <row r="43" customFormat="false" ht="15" hidden="false" customHeight="false" outlineLevel="0" collapsed="false">
      <c r="A43" s="46" t="str">
        <f aca="false">Orders!A43</f>
        <v>ORD-00042</v>
      </c>
      <c r="B43" s="46" t="str">
        <f aca="false">PROPER(TRIM(Orders!K43))</f>
        <v>Delhi</v>
      </c>
      <c r="C43" s="46" t="str">
        <f aca="false">IFERROR(VLOOKUP(Orders!D43,Products!$A$2:$F$61,3,FALSE()),"Not Found")</f>
        <v>Beauty</v>
      </c>
      <c r="D43" s="46" t="str">
        <f aca="false">IFERROR(VLOOKUP(Orders!C43,Customers!$A$2:$F$301,5,FALSE()),"Not Found")</f>
        <v>Retail</v>
      </c>
      <c r="E43" s="46" t="n">
        <f aca="false">IFERROR(VLOOKUP(Orders!C43,Customers!$A$2:$F$301,3,FALSE()),"Not Found")</f>
        <v>53</v>
      </c>
      <c r="F43" s="46" t="str">
        <f aca="false">IFERROR(VLOOKUP(Orders!E43,Sales_Reps!$A$2:$E$31,3,FALSE()),"Not Found")</f>
        <v>South</v>
      </c>
      <c r="G43" s="46" t="n">
        <f aca="false">IFERROR(VLOOKUP(Orders!D43,Products!$A$2:$F$61,4,FALSE()),"")</f>
        <v>2768</v>
      </c>
      <c r="H43" s="47" t="n">
        <f aca="false">IF(G43="","",(Orders!G43-G43)/Orders!G43)</f>
        <v>0.432786885245902</v>
      </c>
      <c r="I43" s="46"/>
      <c r="J43" s="46"/>
      <c r="K43" s="46"/>
      <c r="L43" s="46"/>
      <c r="M43" s="46"/>
      <c r="N43" s="46"/>
      <c r="O43" s="46"/>
      <c r="P43" s="46"/>
      <c r="Q43" s="46"/>
      <c r="R43" s="46" t="str">
        <f aca="false">Products!A43</f>
        <v>PROD-042</v>
      </c>
      <c r="S43" s="46" t="str">
        <f aca="false">Products!B43</f>
        <v>Moisturizer 200ml</v>
      </c>
      <c r="T43" s="48" t="n">
        <f aca="false">SUMIFS(Orders!$I$2:$I$2001,Orders!$D$2:$D$2001,R43,$F$2:$F$2001,"West")</f>
        <v>138799.19</v>
      </c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</row>
    <row r="44" customFormat="false" ht="15" hidden="false" customHeight="false" outlineLevel="0" collapsed="false">
      <c r="A44" s="46" t="str">
        <f aca="false">Orders!A44</f>
        <v>ORD-00043</v>
      </c>
      <c r="B44" s="46" t="str">
        <f aca="false">PROPER(TRIM(Orders!K44))</f>
        <v>Chennai</v>
      </c>
      <c r="C44" s="46" t="str">
        <f aca="false">IFERROR(VLOOKUP(Orders!D44,Products!$A$2:$F$61,3,FALSE()),"Not Found")</f>
        <v>Home</v>
      </c>
      <c r="D44" s="46" t="str">
        <f aca="false">IFERROR(VLOOKUP(Orders!C44,Customers!$A$2:$F$301,5,FALSE()),"Not Found")</f>
        <v>Retail</v>
      </c>
      <c r="E44" s="46" t="n">
        <f aca="false">IFERROR(VLOOKUP(Orders!C44,Customers!$A$2:$F$301,3,FALSE()),"Not Found")</f>
        <v>37</v>
      </c>
      <c r="F44" s="46" t="str">
        <f aca="false">IFERROR(VLOOKUP(Orders!E44,Sales_Reps!$A$2:$E$31,3,FALSE()),"Not Found")</f>
        <v>East</v>
      </c>
      <c r="G44" s="46" t="n">
        <f aca="false">IFERROR(VLOOKUP(Orders!D44,Products!$A$2:$F$61,4,FALSE()),"")</f>
        <v>2135</v>
      </c>
      <c r="H44" s="47" t="n">
        <f aca="false">IF(G44="","",(Orders!G44-G44)/Orders!G44)</f>
        <v>0.427613941018767</v>
      </c>
      <c r="I44" s="46"/>
      <c r="J44" s="46"/>
      <c r="K44" s="46"/>
      <c r="L44" s="46"/>
      <c r="M44" s="46"/>
      <c r="N44" s="46"/>
      <c r="O44" s="46"/>
      <c r="P44" s="46"/>
      <c r="Q44" s="46"/>
      <c r="R44" s="46" t="str">
        <f aca="false">Products!A44</f>
        <v>PROD-043</v>
      </c>
      <c r="S44" s="46" t="str">
        <f aca="false">Products!B44</f>
        <v>Shampoo 500ml</v>
      </c>
      <c r="T44" s="48" t="n">
        <f aca="false">SUMIFS(Orders!$I$2:$I$2001,Orders!$D$2:$D$2001,R44,$F$2:$F$2001,"West")</f>
        <v>104386</v>
      </c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</row>
    <row r="45" customFormat="false" ht="15" hidden="false" customHeight="false" outlineLevel="0" collapsed="false">
      <c r="A45" s="46" t="str">
        <f aca="false">Orders!A45</f>
        <v>ORD-00044</v>
      </c>
      <c r="B45" s="46" t="str">
        <f aca="false">PROPER(TRIM(Orders!K45))</f>
        <v>Mumbai</v>
      </c>
      <c r="C45" s="46" t="str">
        <f aca="false">IFERROR(VLOOKUP(Orders!D45,Products!$A$2:$F$61,3,FALSE()),"Not Found")</f>
        <v>Beauty</v>
      </c>
      <c r="D45" s="46" t="str">
        <f aca="false">IFERROR(VLOOKUP(Orders!C45,Customers!$A$2:$F$301,5,FALSE()),"Not Found")</f>
        <v>SMB</v>
      </c>
      <c r="E45" s="46" t="n">
        <f aca="false">IFERROR(VLOOKUP(Orders!C45,Customers!$A$2:$F$301,3,FALSE()),"Not Found")</f>
        <v>54</v>
      </c>
      <c r="F45" s="46" t="str">
        <f aca="false">IFERROR(VLOOKUP(Orders!E45,Sales_Reps!$A$2:$E$31,3,FALSE()),"Not Found")</f>
        <v>West</v>
      </c>
      <c r="G45" s="46" t="n">
        <f aca="false">IFERROR(VLOOKUP(Orders!D45,Products!$A$2:$F$61,4,FALSE()),"")</f>
        <v>2420</v>
      </c>
      <c r="H45" s="47" t="n">
        <f aca="false">IF(G45="","",(Orders!G45-G45)/Orders!G45)</f>
        <v>0.298550724637681</v>
      </c>
      <c r="I45" s="46"/>
      <c r="J45" s="46"/>
      <c r="K45" s="46"/>
      <c r="L45" s="46"/>
      <c r="M45" s="46"/>
      <c r="N45" s="46"/>
      <c r="O45" s="46"/>
      <c r="P45" s="46"/>
      <c r="Q45" s="46"/>
      <c r="R45" s="46" t="str">
        <f aca="false">Products!A45</f>
        <v>PROD-044</v>
      </c>
      <c r="S45" s="46" t="str">
        <f aca="false">Products!B45</f>
        <v>Conditioner 500ml</v>
      </c>
      <c r="T45" s="48" t="n">
        <f aca="false">SUMIFS(Orders!$I$2:$I$2001,Orders!$D$2:$D$2001,R45,$F$2:$F$2001,"West")</f>
        <v>68328.15</v>
      </c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</row>
    <row r="46" customFormat="false" ht="15" hidden="false" customHeight="false" outlineLevel="0" collapsed="false">
      <c r="A46" s="46" t="str">
        <f aca="false">Orders!A46</f>
        <v>ORD-00045</v>
      </c>
      <c r="B46" s="46" t="str">
        <f aca="false">PROPER(TRIM(Orders!K46))</f>
        <v>Bengaluru</v>
      </c>
      <c r="C46" s="46" t="str">
        <f aca="false">IFERROR(VLOOKUP(Orders!D46,Products!$A$2:$F$61,3,FALSE()),"Not Found")</f>
        <v>Apparel</v>
      </c>
      <c r="D46" s="46" t="str">
        <f aca="false">IFERROR(VLOOKUP(Orders!C46,Customers!$A$2:$F$301,5,FALSE()),"Not Found")</f>
        <v>SMB</v>
      </c>
      <c r="E46" s="46" t="n">
        <f aca="false">IFERROR(VLOOKUP(Orders!C46,Customers!$A$2:$F$301,3,FALSE()),"Not Found")</f>
        <v>64</v>
      </c>
      <c r="F46" s="46" t="str">
        <f aca="false">IFERROR(VLOOKUP(Orders!E46,Sales_Reps!$A$2:$E$31,3,FALSE()),"Not Found")</f>
        <v>East</v>
      </c>
      <c r="G46" s="46" t="n">
        <f aca="false">IFERROR(VLOOKUP(Orders!D46,Products!$A$2:$F$61,4,FALSE()),"")</f>
        <v>1173</v>
      </c>
      <c r="H46" s="47" t="n">
        <f aca="false">IF(G46="","",(Orders!G46-G46)/Orders!G46)</f>
        <v>0.527016129032258</v>
      </c>
      <c r="I46" s="46"/>
      <c r="J46" s="46"/>
      <c r="K46" s="46"/>
      <c r="L46" s="46"/>
      <c r="M46" s="46"/>
      <c r="N46" s="46"/>
      <c r="O46" s="46"/>
      <c r="P46" s="46"/>
      <c r="Q46" s="46"/>
      <c r="R46" s="46" t="str">
        <f aca="false">Products!A46</f>
        <v>PROD-045</v>
      </c>
      <c r="S46" s="46" t="str">
        <f aca="false">Products!B46</f>
        <v>Body Lotion 400ml</v>
      </c>
      <c r="T46" s="48" t="n">
        <f aca="false">SUMIFS(Orders!$I$2:$I$2001,Orders!$D$2:$D$2001,R46,$F$2:$F$2001,"West")</f>
        <v>102894.42</v>
      </c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</row>
    <row r="47" customFormat="false" ht="15" hidden="false" customHeight="false" outlineLevel="0" collapsed="false">
      <c r="A47" s="46" t="str">
        <f aca="false">Orders!A47</f>
        <v>ORD-00046</v>
      </c>
      <c r="B47" s="46" t="str">
        <f aca="false">PROPER(TRIM(Orders!K47))</f>
        <v>Pune</v>
      </c>
      <c r="C47" s="46" t="str">
        <f aca="false">IFERROR(VLOOKUP(Orders!D47,Products!$A$2:$F$61,3,FALSE()),"Not Found")</f>
        <v>Grocery</v>
      </c>
      <c r="D47" s="46" t="str">
        <f aca="false">IFERROR(VLOOKUP(Orders!C47,Customers!$A$2:$F$301,5,FALSE()),"Not Found")</f>
        <v>SMB</v>
      </c>
      <c r="E47" s="46" t="n">
        <f aca="false">IFERROR(VLOOKUP(Orders!C47,Customers!$A$2:$F$301,3,FALSE()),"Not Found")</f>
        <v>29</v>
      </c>
      <c r="F47" s="46" t="str">
        <f aca="false">IFERROR(VLOOKUP(Orders!E47,Sales_Reps!$A$2:$E$31,3,FALSE()),"Not Found")</f>
        <v>South</v>
      </c>
      <c r="G47" s="46" t="n">
        <f aca="false">IFERROR(VLOOKUP(Orders!D47,Products!$A$2:$F$61,4,FALSE()),"")</f>
        <v>2436</v>
      </c>
      <c r="H47" s="47" t="n">
        <f aca="false">IF(G47="","",(Orders!G47-G47)/Orders!G47)</f>
        <v>0.355555555555556</v>
      </c>
      <c r="I47" s="46"/>
      <c r="J47" s="46"/>
      <c r="K47" s="46"/>
      <c r="L47" s="46"/>
      <c r="M47" s="46"/>
      <c r="N47" s="46"/>
      <c r="O47" s="46"/>
      <c r="P47" s="46"/>
      <c r="Q47" s="46"/>
      <c r="R47" s="46" t="str">
        <f aca="false">Products!A47</f>
        <v>PROD-046</v>
      </c>
      <c r="S47" s="46" t="str">
        <f aca="false">Products!B47</f>
        <v>Sunscreen SPF50</v>
      </c>
      <c r="T47" s="48" t="n">
        <f aca="false">SUMIFS(Orders!$I$2:$I$2001,Orders!$D$2:$D$2001,R47,$F$2:$F$2001,"West")</f>
        <v>100035.12</v>
      </c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</row>
    <row r="48" customFormat="false" ht="15" hidden="false" customHeight="false" outlineLevel="0" collapsed="false">
      <c r="A48" s="46" t="str">
        <f aca="false">Orders!A48</f>
        <v>ORD-00047</v>
      </c>
      <c r="B48" s="46" t="str">
        <f aca="false">PROPER(TRIM(Orders!K48))</f>
        <v>Hyderabad</v>
      </c>
      <c r="C48" s="46" t="str">
        <f aca="false">IFERROR(VLOOKUP(Orders!D48,Products!$A$2:$F$61,3,FALSE()),"Not Found")</f>
        <v>Apparel</v>
      </c>
      <c r="D48" s="46" t="str">
        <f aca="false">IFERROR(VLOOKUP(Orders!C48,Customers!$A$2:$F$301,5,FALSE()),"Not Found")</f>
        <v>Retail</v>
      </c>
      <c r="E48" s="46" t="n">
        <f aca="false">IFERROR(VLOOKUP(Orders!C48,Customers!$A$2:$F$301,3,FALSE()),"Not Found")</f>
        <v>64</v>
      </c>
      <c r="F48" s="46" t="str">
        <f aca="false">IFERROR(VLOOKUP(Orders!E48,Sales_Reps!$A$2:$E$31,3,FALSE()),"Not Found")</f>
        <v>East</v>
      </c>
      <c r="G48" s="46" t="n">
        <f aca="false">IFERROR(VLOOKUP(Orders!D48,Products!$A$2:$F$61,4,FALSE()),"")</f>
        <v>2611</v>
      </c>
      <c r="H48" s="47" t="n">
        <f aca="false">IF(G48="","",(Orders!G48-G48)/Orders!G48)</f>
        <v>0.282692307692308</v>
      </c>
      <c r="I48" s="46"/>
      <c r="J48" s="46"/>
      <c r="K48" s="46"/>
      <c r="L48" s="46"/>
      <c r="M48" s="46"/>
      <c r="N48" s="46"/>
      <c r="O48" s="46"/>
      <c r="P48" s="46"/>
      <c r="Q48" s="46"/>
      <c r="R48" s="46" t="str">
        <f aca="false">Products!A48</f>
        <v>PROD-047</v>
      </c>
      <c r="S48" s="46" t="str">
        <f aca="false">Products!B48</f>
        <v>Lipstick</v>
      </c>
      <c r="T48" s="48" t="n">
        <f aca="false">SUMIFS(Orders!$I$2:$I$2001,Orders!$D$2:$D$2001,R48,$F$2:$F$2001,"West")</f>
        <v>167780.4</v>
      </c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</row>
    <row r="49" customFormat="false" ht="15" hidden="false" customHeight="false" outlineLevel="0" collapsed="false">
      <c r="A49" s="46" t="str">
        <f aca="false">Orders!A49</f>
        <v>ORD-00048</v>
      </c>
      <c r="B49" s="46" t="str">
        <f aca="false">PROPER(TRIM(Orders!K49))</f>
        <v>Pune</v>
      </c>
      <c r="C49" s="46" t="str">
        <f aca="false">IFERROR(VLOOKUP(Orders!D49,Products!$A$2:$F$61,3,FALSE()),"Not Found")</f>
        <v>Beauty</v>
      </c>
      <c r="D49" s="46" t="str">
        <f aca="false">IFERROR(VLOOKUP(Orders!C49,Customers!$A$2:$F$301,5,FALSE()),"Not Found")</f>
        <v>Not Found</v>
      </c>
      <c r="E49" s="46" t="str">
        <f aca="false">IFERROR(VLOOKUP(Orders!C49,Customers!$A$2:$F$301,3,FALSE()),"Not Found")</f>
        <v>Not Found</v>
      </c>
      <c r="F49" s="46" t="str">
        <f aca="false">IFERROR(VLOOKUP(Orders!E49,Sales_Reps!$A$2:$E$31,3,FALSE()),"Not Found")</f>
        <v>North</v>
      </c>
      <c r="G49" s="46" t="n">
        <f aca="false">IFERROR(VLOOKUP(Orders!D49,Products!$A$2:$F$61,4,FALSE()),"")</f>
        <v>2617</v>
      </c>
      <c r="H49" s="47" t="n">
        <f aca="false">IF(G49="","",(Orders!G49-G49)/Orders!G49)</f>
        <v>0.569572368421053</v>
      </c>
      <c r="I49" s="46"/>
      <c r="J49" s="46"/>
      <c r="K49" s="46"/>
      <c r="L49" s="46"/>
      <c r="M49" s="46"/>
      <c r="N49" s="46"/>
      <c r="O49" s="46"/>
      <c r="P49" s="46"/>
      <c r="Q49" s="46"/>
      <c r="R49" s="46" t="str">
        <f aca="false">Products!A49</f>
        <v>PROD-048</v>
      </c>
      <c r="S49" s="46" t="str">
        <f aca="false">Products!B49</f>
        <v>Kajal</v>
      </c>
      <c r="T49" s="48" t="n">
        <f aca="false">SUMIFS(Orders!$I$2:$I$2001,Orders!$D$2:$D$2001,R49,$F$2:$F$2001,"West")</f>
        <v>244351.2</v>
      </c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</row>
    <row r="50" customFormat="false" ht="15" hidden="false" customHeight="false" outlineLevel="0" collapsed="false">
      <c r="A50" s="46" t="str">
        <f aca="false">Orders!A50</f>
        <v>ORD-00049</v>
      </c>
      <c r="B50" s="46" t="str">
        <f aca="false">PROPER(TRIM(Orders!K50))</f>
        <v>Chennai</v>
      </c>
      <c r="C50" s="46" t="str">
        <f aca="false">IFERROR(VLOOKUP(Orders!D50,Products!$A$2:$F$61,3,FALSE()),"Not Found")</f>
        <v>Grocery</v>
      </c>
      <c r="D50" s="46" t="str">
        <f aca="false">IFERROR(VLOOKUP(Orders!C50,Customers!$A$2:$F$301,5,FALSE()),"Not Found")</f>
        <v>SMB</v>
      </c>
      <c r="E50" s="46" t="n">
        <f aca="false">IFERROR(VLOOKUP(Orders!C50,Customers!$A$2:$F$301,3,FALSE()),"Not Found")</f>
        <v>52</v>
      </c>
      <c r="F50" s="46" t="str">
        <f aca="false">IFERROR(VLOOKUP(Orders!E50,Sales_Reps!$A$2:$E$31,3,FALSE()),"Not Found")</f>
        <v>North</v>
      </c>
      <c r="G50" s="46" t="n">
        <f aca="false">IFERROR(VLOOKUP(Orders!D50,Products!$A$2:$F$61,4,FALSE()),"")</f>
        <v>434</v>
      </c>
      <c r="H50" s="47" t="n">
        <f aca="false">IF(G50="","",(Orders!G50-G50)/Orders!G50)</f>
        <v>0.552577319587629</v>
      </c>
      <c r="I50" s="46"/>
      <c r="J50" s="46"/>
      <c r="K50" s="46"/>
      <c r="L50" s="46"/>
      <c r="M50" s="46"/>
      <c r="N50" s="46"/>
      <c r="O50" s="46"/>
      <c r="P50" s="46"/>
      <c r="Q50" s="46"/>
      <c r="R50" s="46" t="str">
        <f aca="false">Products!A50</f>
        <v>PROD-049</v>
      </c>
      <c r="S50" s="46" t="str">
        <f aca="false">Products!B50</f>
        <v>Hair Oil 200ml</v>
      </c>
      <c r="T50" s="48" t="n">
        <f aca="false">SUMIFS(Orders!$I$2:$I$2001,Orders!$D$2:$D$2001,R50,$F$2:$F$2001,"West")</f>
        <v>56751.36</v>
      </c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</row>
    <row r="51" customFormat="false" ht="15" hidden="false" customHeight="false" outlineLevel="0" collapsed="false">
      <c r="A51" s="46" t="str">
        <f aca="false">Orders!A51</f>
        <v>ORD-00050</v>
      </c>
      <c r="B51" s="46" t="str">
        <f aca="false">PROPER(TRIM(Orders!K51))</f>
        <v>Chennai</v>
      </c>
      <c r="C51" s="46" t="str">
        <f aca="false">IFERROR(VLOOKUP(Orders!D51,Products!$A$2:$F$61,3,FALSE()),"Not Found")</f>
        <v>Grocery</v>
      </c>
      <c r="D51" s="46" t="str">
        <f aca="false">IFERROR(VLOOKUP(Orders!C51,Customers!$A$2:$F$301,5,FALSE()),"Not Found")</f>
        <v>Corporate</v>
      </c>
      <c r="E51" s="46" t="n">
        <f aca="false">IFERROR(VLOOKUP(Orders!C51,Customers!$A$2:$F$301,3,FALSE()),"Not Found")</f>
        <v>52</v>
      </c>
      <c r="F51" s="46" t="str">
        <f aca="false">IFERROR(VLOOKUP(Orders!E51,Sales_Reps!$A$2:$E$31,3,FALSE()),"Not Found")</f>
        <v>West</v>
      </c>
      <c r="G51" s="46" t="n">
        <f aca="false">IFERROR(VLOOKUP(Orders!D51,Products!$A$2:$F$61,4,FALSE()),"")</f>
        <v>1412</v>
      </c>
      <c r="H51" s="47" t="n">
        <f aca="false">IF(G51="","",(Orders!G51-G51)/Orders!G51)</f>
        <v>0.377973568281938</v>
      </c>
      <c r="I51" s="46"/>
      <c r="J51" s="46"/>
      <c r="K51" s="46"/>
      <c r="L51" s="46"/>
      <c r="M51" s="46"/>
      <c r="N51" s="46"/>
      <c r="O51" s="46"/>
      <c r="P51" s="46"/>
      <c r="Q51" s="46"/>
      <c r="R51" s="46" t="str">
        <f aca="false">Products!A51</f>
        <v>PROD-050</v>
      </c>
      <c r="S51" s="46" t="str">
        <f aca="false">Products!B51</f>
        <v>Perfume 100ml</v>
      </c>
      <c r="T51" s="48" t="n">
        <f aca="false">SUMIFS(Orders!$I$2:$I$2001,Orders!$D$2:$D$2001,R51,$F$2:$F$2001,"West")</f>
        <v>124646.08</v>
      </c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</row>
    <row r="52" customFormat="false" ht="15" hidden="false" customHeight="false" outlineLevel="0" collapsed="false">
      <c r="A52" s="46" t="str">
        <f aca="false">Orders!A52</f>
        <v>ORD-00051</v>
      </c>
      <c r="B52" s="46" t="str">
        <f aca="false">PROPER(TRIM(Orders!K52))</f>
        <v>Bengaluru</v>
      </c>
      <c r="C52" s="46" t="str">
        <f aca="false">IFERROR(VLOOKUP(Orders!D52,Products!$A$2:$F$61,3,FALSE()),"Not Found")</f>
        <v>Electronics</v>
      </c>
      <c r="D52" s="46" t="str">
        <f aca="false">IFERROR(VLOOKUP(Orders!C52,Customers!$A$2:$F$301,5,FALSE()),"Not Found")</f>
        <v>Retail</v>
      </c>
      <c r="E52" s="46" t="n">
        <f aca="false">IFERROR(VLOOKUP(Orders!C52,Customers!$A$2:$F$301,3,FALSE()),"Not Found")</f>
        <v>34</v>
      </c>
      <c r="F52" s="46" t="str">
        <f aca="false">IFERROR(VLOOKUP(Orders!E52,Sales_Reps!$A$2:$E$31,3,FALSE()),"Not Found")</f>
        <v>East</v>
      </c>
      <c r="G52" s="46" t="n">
        <f aca="false">IFERROR(VLOOKUP(Orders!D52,Products!$A$2:$F$61,4,FALSE()),"")</f>
        <v>1559</v>
      </c>
      <c r="H52" s="47" t="n">
        <f aca="false">IF(G52="","",(Orders!G52-G52)/Orders!G52)</f>
        <v>0.597157622739018</v>
      </c>
      <c r="I52" s="46"/>
      <c r="J52" s="46"/>
      <c r="K52" s="46"/>
      <c r="L52" s="46"/>
      <c r="M52" s="46"/>
      <c r="N52" s="46"/>
      <c r="O52" s="46"/>
      <c r="P52" s="46"/>
      <c r="Q52" s="46"/>
      <c r="R52" s="46" t="str">
        <f aca="false">Products!A52</f>
        <v>PROD-051</v>
      </c>
      <c r="S52" s="46" t="str">
        <f aca="false">Products!B52</f>
        <v>Yoga Mat</v>
      </c>
      <c r="T52" s="48" t="n">
        <f aca="false">SUMIFS(Orders!$I$2:$I$2001,Orders!$D$2:$D$2001,R52,$F$2:$F$2001,"West")</f>
        <v>109233.9</v>
      </c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</row>
    <row r="53" customFormat="false" ht="15" hidden="false" customHeight="false" outlineLevel="0" collapsed="false">
      <c r="A53" s="46" t="str">
        <f aca="false">Orders!A53</f>
        <v>ORD-00052</v>
      </c>
      <c r="B53" s="46" t="str">
        <f aca="false">PROPER(TRIM(Orders!K53))</f>
        <v>Bengaluru</v>
      </c>
      <c r="C53" s="46" t="str">
        <f aca="false">IFERROR(VLOOKUP(Orders!D53,Products!$A$2:$F$61,3,FALSE()),"Not Found")</f>
        <v>Beauty</v>
      </c>
      <c r="D53" s="46" t="str">
        <f aca="false">IFERROR(VLOOKUP(Orders!C53,Customers!$A$2:$F$301,5,FALSE()),"Not Found")</f>
        <v>SMB</v>
      </c>
      <c r="E53" s="46" t="n">
        <f aca="false">IFERROR(VLOOKUP(Orders!C53,Customers!$A$2:$F$301,3,FALSE()),"Not Found")</f>
        <v>34</v>
      </c>
      <c r="F53" s="46" t="str">
        <f aca="false">IFERROR(VLOOKUP(Orders!E53,Sales_Reps!$A$2:$E$31,3,FALSE()),"Not Found")</f>
        <v>South</v>
      </c>
      <c r="G53" s="46" t="n">
        <f aca="false">IFERROR(VLOOKUP(Orders!D53,Products!$A$2:$F$61,4,FALSE()),"")</f>
        <v>2768</v>
      </c>
      <c r="H53" s="47" t="n">
        <f aca="false">IF(G53="","",(Orders!G53-G53)/Orders!G53)</f>
        <v>0.432786885245902</v>
      </c>
      <c r="I53" s="46"/>
      <c r="J53" s="46"/>
      <c r="K53" s="46"/>
      <c r="L53" s="46"/>
      <c r="M53" s="46"/>
      <c r="N53" s="46"/>
      <c r="O53" s="46"/>
      <c r="P53" s="46"/>
      <c r="Q53" s="46"/>
      <c r="R53" s="46" t="str">
        <f aca="false">Products!A53</f>
        <v>PROD-052</v>
      </c>
      <c r="S53" s="46" t="str">
        <f aca="false">Products!B53</f>
        <v>Dumbbells 5kg</v>
      </c>
      <c r="T53" s="48" t="n">
        <f aca="false">SUMIFS(Orders!$I$2:$I$2001,Orders!$D$2:$D$2001,R53,$F$2:$F$2001,"West")</f>
        <v>74614.72</v>
      </c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</row>
    <row r="54" customFormat="false" ht="15" hidden="false" customHeight="false" outlineLevel="0" collapsed="false">
      <c r="A54" s="46" t="str">
        <f aca="false">Orders!A54</f>
        <v>ORD-00053</v>
      </c>
      <c r="B54" s="46" t="str">
        <f aca="false">PROPER(TRIM(Orders!K54))</f>
        <v>Chennai</v>
      </c>
      <c r="C54" s="46" t="str">
        <f aca="false">IFERROR(VLOOKUP(Orders!D54,Products!$A$2:$F$61,3,FALSE()),"Not Found")</f>
        <v>Grocery</v>
      </c>
      <c r="D54" s="46" t="str">
        <f aca="false">IFERROR(VLOOKUP(Orders!C54,Customers!$A$2:$F$301,5,FALSE()),"Not Found")</f>
        <v>Retail</v>
      </c>
      <c r="E54" s="46" t="n">
        <f aca="false">IFERROR(VLOOKUP(Orders!C54,Customers!$A$2:$F$301,3,FALSE()),"Not Found")</f>
        <v>36</v>
      </c>
      <c r="F54" s="46" t="str">
        <f aca="false">IFERROR(VLOOKUP(Orders!E54,Sales_Reps!$A$2:$E$31,3,FALSE()),"Not Found")</f>
        <v>South</v>
      </c>
      <c r="G54" s="46" t="n">
        <f aca="false">IFERROR(VLOOKUP(Orders!D54,Products!$A$2:$F$61,4,FALSE()),"")</f>
        <v>2436</v>
      </c>
      <c r="H54" s="47" t="n">
        <f aca="false">IF(G54="","",(Orders!G54-G54)/Orders!G54)</f>
        <v>0.355555555555556</v>
      </c>
      <c r="I54" s="46"/>
      <c r="J54" s="46"/>
      <c r="K54" s="46"/>
      <c r="L54" s="46"/>
      <c r="M54" s="46"/>
      <c r="N54" s="46"/>
      <c r="O54" s="46"/>
      <c r="P54" s="46"/>
      <c r="Q54" s="46"/>
      <c r="R54" s="46" t="str">
        <f aca="false">Products!A54</f>
        <v>PROD-053</v>
      </c>
      <c r="S54" s="46" t="str">
        <f aca="false">Products!B54</f>
        <v>Skipping Rope</v>
      </c>
      <c r="T54" s="48" t="n">
        <f aca="false">SUMIFS(Orders!$I$2:$I$2001,Orders!$D$2:$D$2001,R54,$F$2:$F$2001,"West")</f>
        <v>21160.81</v>
      </c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</row>
    <row r="55" customFormat="false" ht="15" hidden="false" customHeight="false" outlineLevel="0" collapsed="false">
      <c r="A55" s="46" t="str">
        <f aca="false">Orders!A55</f>
        <v>ORD-00054</v>
      </c>
      <c r="B55" s="46" t="str">
        <f aca="false">PROPER(TRIM(Orders!K55))</f>
        <v>Chennai</v>
      </c>
      <c r="C55" s="46" t="str">
        <f aca="false">IFERROR(VLOOKUP(Orders!D55,Products!$A$2:$F$61,3,FALSE()),"Not Found")</f>
        <v>Home</v>
      </c>
      <c r="D55" s="46" t="str">
        <f aca="false">IFERROR(VLOOKUP(Orders!C55,Customers!$A$2:$F$301,5,FALSE()),"Not Found")</f>
        <v>Retail</v>
      </c>
      <c r="E55" s="46" t="n">
        <f aca="false">IFERROR(VLOOKUP(Orders!C55,Customers!$A$2:$F$301,3,FALSE()),"Not Found")</f>
        <v>24</v>
      </c>
      <c r="F55" s="46" t="str">
        <f aca="false">IFERROR(VLOOKUP(Orders!E55,Sales_Reps!$A$2:$E$31,3,FALSE()),"Not Found")</f>
        <v>East</v>
      </c>
      <c r="G55" s="46" t="n">
        <f aca="false">IFERROR(VLOOKUP(Orders!D55,Products!$A$2:$F$61,4,FALSE()),"")</f>
        <v>1556</v>
      </c>
      <c r="H55" s="47" t="n">
        <f aca="false">IF(G55="","",(Orders!G55-G55)/Orders!G55)</f>
        <v>0.521230769230769</v>
      </c>
      <c r="I55" s="46"/>
      <c r="J55" s="46"/>
      <c r="K55" s="46"/>
      <c r="L55" s="46"/>
      <c r="M55" s="46"/>
      <c r="N55" s="46"/>
      <c r="O55" s="46"/>
      <c r="P55" s="46"/>
      <c r="Q55" s="46"/>
      <c r="R55" s="46" t="str">
        <f aca="false">Products!A55</f>
        <v>PROD-054</v>
      </c>
      <c r="S55" s="46" t="str">
        <f aca="false">Products!B55</f>
        <v>Cricket Bat</v>
      </c>
      <c r="T55" s="48" t="n">
        <f aca="false">SUMIFS(Orders!$I$2:$I$2001,Orders!$D$2:$D$2001,R55,$F$2:$F$2001,"West")</f>
        <v>19529.36</v>
      </c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</row>
    <row r="56" customFormat="false" ht="15" hidden="false" customHeight="false" outlineLevel="0" collapsed="false">
      <c r="A56" s="46" t="str">
        <f aca="false">Orders!A56</f>
        <v>ORD-00055</v>
      </c>
      <c r="B56" s="46" t="str">
        <f aca="false">PROPER(TRIM(Orders!K56))</f>
        <v>Hyderabad</v>
      </c>
      <c r="C56" s="46" t="str">
        <f aca="false">IFERROR(VLOOKUP(Orders!D56,Products!$A$2:$F$61,3,FALSE()),"Not Found")</f>
        <v>Apparel</v>
      </c>
      <c r="D56" s="46" t="str">
        <f aca="false">IFERROR(VLOOKUP(Orders!C56,Customers!$A$2:$F$301,5,FALSE()),"Not Found")</f>
        <v>Retail</v>
      </c>
      <c r="E56" s="46" t="n">
        <f aca="false">IFERROR(VLOOKUP(Orders!C56,Customers!$A$2:$F$301,3,FALSE()),"Not Found")</f>
        <v>27</v>
      </c>
      <c r="F56" s="46" t="str">
        <f aca="false">IFERROR(VLOOKUP(Orders!E56,Sales_Reps!$A$2:$E$31,3,FALSE()),"Not Found")</f>
        <v>North</v>
      </c>
      <c r="G56" s="46" t="n">
        <f aca="false">IFERROR(VLOOKUP(Orders!D56,Products!$A$2:$F$61,4,FALSE()),"")</f>
        <v>2611</v>
      </c>
      <c r="H56" s="47" t="n">
        <f aca="false">IF(G56="","",(Orders!G56-G56)/Orders!G56)</f>
        <v>0.282692307692308</v>
      </c>
      <c r="I56" s="46"/>
      <c r="J56" s="46"/>
      <c r="K56" s="46"/>
      <c r="L56" s="46"/>
      <c r="M56" s="46"/>
      <c r="N56" s="46"/>
      <c r="O56" s="46"/>
      <c r="P56" s="46"/>
      <c r="Q56" s="46"/>
      <c r="R56" s="46" t="str">
        <f aca="false">Products!A56</f>
        <v>PROD-055</v>
      </c>
      <c r="S56" s="46" t="str">
        <f aca="false">Products!B56</f>
        <v>Football Size 5</v>
      </c>
      <c r="T56" s="48" t="n">
        <f aca="false">SUMIFS(Orders!$I$2:$I$2001,Orders!$D$2:$D$2001,R56,$F$2:$F$2001,"West")</f>
        <v>109566.6</v>
      </c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</row>
    <row r="57" customFormat="false" ht="15" hidden="false" customHeight="false" outlineLevel="0" collapsed="false">
      <c r="A57" s="46" t="str">
        <f aca="false">Orders!A57</f>
        <v>ORD-00056</v>
      </c>
      <c r="B57" s="46" t="str">
        <f aca="false">PROPER(TRIM(Orders!K57))</f>
        <v>Delhi</v>
      </c>
      <c r="C57" s="46" t="str">
        <f aca="false">IFERROR(VLOOKUP(Orders!D57,Products!$A$2:$F$61,3,FALSE()),"Not Found")</f>
        <v>Beauty</v>
      </c>
      <c r="D57" s="46" t="str">
        <f aca="false">IFERROR(VLOOKUP(Orders!C57,Customers!$A$2:$F$301,5,FALSE()),"Not Found")</f>
        <v>SMB</v>
      </c>
      <c r="E57" s="46" t="n">
        <f aca="false">IFERROR(VLOOKUP(Orders!C57,Customers!$A$2:$F$301,3,FALSE()),"Not Found")</f>
        <v>55</v>
      </c>
      <c r="F57" s="46" t="str">
        <f aca="false">IFERROR(VLOOKUP(Orders!E57,Sales_Reps!$A$2:$E$31,3,FALSE()),"Not Found")</f>
        <v>East</v>
      </c>
      <c r="G57" s="46" t="n">
        <f aca="false">IFERROR(VLOOKUP(Orders!D57,Products!$A$2:$F$61,4,FALSE()),"")</f>
        <v>647</v>
      </c>
      <c r="H57" s="47" t="n">
        <f aca="false">IF(G57="","",(Orders!G57-G57)/Orders!G57)</f>
        <v>0.57987012987013</v>
      </c>
      <c r="I57" s="46"/>
      <c r="J57" s="46"/>
      <c r="K57" s="46"/>
      <c r="L57" s="46"/>
      <c r="M57" s="46"/>
      <c r="N57" s="46"/>
      <c r="O57" s="46"/>
      <c r="P57" s="46"/>
      <c r="Q57" s="46"/>
      <c r="R57" s="46" t="str">
        <f aca="false">Products!A57</f>
        <v>PROD-056</v>
      </c>
      <c r="S57" s="46" t="str">
        <f aca="false">Products!B57</f>
        <v>Badminton Racket</v>
      </c>
      <c r="T57" s="48" t="n">
        <f aca="false">SUMIFS(Orders!$I$2:$I$2001,Orders!$D$2:$D$2001,R57,$F$2:$F$2001,"West")</f>
        <v>260395.74</v>
      </c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</row>
    <row r="58" customFormat="false" ht="15" hidden="false" customHeight="false" outlineLevel="0" collapsed="false">
      <c r="A58" s="46" t="str">
        <f aca="false">Orders!A58</f>
        <v>ORD-00057</v>
      </c>
      <c r="B58" s="46" t="str">
        <f aca="false">PROPER(TRIM(Orders!K58))</f>
        <v>Delhi</v>
      </c>
      <c r="C58" s="46" t="str">
        <f aca="false">IFERROR(VLOOKUP(Orders!D58,Products!$A$2:$F$61,3,FALSE()),"Not Found")</f>
        <v>Home</v>
      </c>
      <c r="D58" s="46" t="str">
        <f aca="false">IFERROR(VLOOKUP(Orders!C58,Customers!$A$2:$F$301,5,FALSE()),"Not Found")</f>
        <v>Retail</v>
      </c>
      <c r="E58" s="46" t="n">
        <f aca="false">IFERROR(VLOOKUP(Orders!C58,Customers!$A$2:$F$301,3,FALSE()),"Not Found")</f>
        <v>54</v>
      </c>
      <c r="F58" s="46" t="str">
        <f aca="false">IFERROR(VLOOKUP(Orders!E58,Sales_Reps!$A$2:$E$31,3,FALSE()),"Not Found")</f>
        <v>East</v>
      </c>
      <c r="G58" s="46" t="n">
        <f aca="false">IFERROR(VLOOKUP(Orders!D58,Products!$A$2:$F$61,4,FALSE()),"")</f>
        <v>519</v>
      </c>
      <c r="H58" s="47" t="n">
        <f aca="false">IF(G58="","",(Orders!G58-G58)/Orders!G58)</f>
        <v>0.519444444444445</v>
      </c>
      <c r="I58" s="46"/>
      <c r="J58" s="46"/>
      <c r="K58" s="46"/>
      <c r="L58" s="46"/>
      <c r="M58" s="46"/>
      <c r="N58" s="46"/>
      <c r="O58" s="46"/>
      <c r="P58" s="46"/>
      <c r="Q58" s="46"/>
      <c r="R58" s="46" t="str">
        <f aca="false">Products!A58</f>
        <v>PROD-057</v>
      </c>
      <c r="S58" s="46" t="str">
        <f aca="false">Products!B58</f>
        <v>Tennis Ball Pack</v>
      </c>
      <c r="T58" s="48" t="n">
        <f aca="false">SUMIFS(Orders!$I$2:$I$2001,Orders!$D$2:$D$2001,R58,$F$2:$F$2001,"West")</f>
        <v>32451.84</v>
      </c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</row>
    <row r="59" customFormat="false" ht="15" hidden="false" customHeight="false" outlineLevel="0" collapsed="false">
      <c r="A59" s="46" t="str">
        <f aca="false">Orders!A59</f>
        <v>ORD-00058</v>
      </c>
      <c r="B59" s="46" t="str">
        <f aca="false">PROPER(TRIM(Orders!K59))</f>
        <v>Hyderabad</v>
      </c>
      <c r="C59" s="46" t="str">
        <f aca="false">IFERROR(VLOOKUP(Orders!D59,Products!$A$2:$F$61,3,FALSE()),"Not Found")</f>
        <v>Grocery</v>
      </c>
      <c r="D59" s="46" t="str">
        <f aca="false">IFERROR(VLOOKUP(Orders!C59,Customers!$A$2:$F$301,5,FALSE()),"Not Found")</f>
        <v>Retail</v>
      </c>
      <c r="E59" s="46" t="n">
        <f aca="false">IFERROR(VLOOKUP(Orders!C59,Customers!$A$2:$F$301,3,FALSE()),"Not Found")</f>
        <v>53</v>
      </c>
      <c r="F59" s="46" t="str">
        <f aca="false">IFERROR(VLOOKUP(Orders!E59,Sales_Reps!$A$2:$E$31,3,FALSE()),"Not Found")</f>
        <v>North</v>
      </c>
      <c r="G59" s="46" t="n">
        <f aca="false">IFERROR(VLOOKUP(Orders!D59,Products!$A$2:$F$61,4,FALSE()),"")</f>
        <v>2027</v>
      </c>
      <c r="H59" s="47" t="n">
        <f aca="false">IF(G59="","",(Orders!G59-G59)/Orders!G59)</f>
        <v>0.501965601965602</v>
      </c>
      <c r="I59" s="46"/>
      <c r="J59" s="46"/>
      <c r="K59" s="46"/>
      <c r="L59" s="46"/>
      <c r="M59" s="46"/>
      <c r="N59" s="46"/>
      <c r="O59" s="46"/>
      <c r="P59" s="46"/>
      <c r="Q59" s="46"/>
      <c r="R59" s="46" t="str">
        <f aca="false">Products!A59</f>
        <v>PROD-058</v>
      </c>
      <c r="S59" s="46" t="str">
        <f aca="false">Products!B59</f>
        <v>Cycling Helmet</v>
      </c>
      <c r="T59" s="48" t="n">
        <f aca="false">SUMIFS(Orders!$I$2:$I$2001,Orders!$D$2:$D$2001,R59,$F$2:$F$2001,"West")</f>
        <v>71772</v>
      </c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</row>
    <row r="60" customFormat="false" ht="15" hidden="false" customHeight="false" outlineLevel="0" collapsed="false">
      <c r="A60" s="46" t="str">
        <f aca="false">Orders!A60</f>
        <v>ORD-00059</v>
      </c>
      <c r="B60" s="46" t="str">
        <f aca="false">PROPER(TRIM(Orders!K60))</f>
        <v>Delhi</v>
      </c>
      <c r="C60" s="46" t="str">
        <f aca="false">IFERROR(VLOOKUP(Orders!D60,Products!$A$2:$F$61,3,FALSE()),"Not Found")</f>
        <v>Electronics</v>
      </c>
      <c r="D60" s="46" t="str">
        <f aca="false">IFERROR(VLOOKUP(Orders!C60,Customers!$A$2:$F$301,5,FALSE()),"Not Found")</f>
        <v>Corporate</v>
      </c>
      <c r="E60" s="46" t="n">
        <f aca="false">IFERROR(VLOOKUP(Orders!C60,Customers!$A$2:$F$301,3,FALSE()),"Not Found")</f>
        <v>55</v>
      </c>
      <c r="F60" s="46" t="str">
        <f aca="false">IFERROR(VLOOKUP(Orders!E60,Sales_Reps!$A$2:$E$31,3,FALSE()),"Not Found")</f>
        <v>West</v>
      </c>
      <c r="G60" s="46" t="n">
        <f aca="false">IFERROR(VLOOKUP(Orders!D60,Products!$A$2:$F$61,4,FALSE()),"")</f>
        <v>517</v>
      </c>
      <c r="H60" s="47" t="n">
        <f aca="false">IF(G60="","",(Orders!G60-G60)/Orders!G60)</f>
        <v>0.576229508196721</v>
      </c>
      <c r="I60" s="46"/>
      <c r="J60" s="46"/>
      <c r="K60" s="46"/>
      <c r="L60" s="46"/>
      <c r="M60" s="46"/>
      <c r="N60" s="46"/>
      <c r="O60" s="46"/>
      <c r="P60" s="46"/>
      <c r="Q60" s="46"/>
      <c r="R60" s="46" t="str">
        <f aca="false">Products!A60</f>
        <v>PROD-059</v>
      </c>
      <c r="S60" s="46" t="str">
        <f aca="false">Products!B60</f>
        <v>Water Bottle 1L</v>
      </c>
      <c r="T60" s="48" t="n">
        <f aca="false">SUMIFS(Orders!$I$2:$I$2001,Orders!$D$2:$D$2001,R60,$F$2:$F$2001,"West")</f>
        <v>150054.66</v>
      </c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</row>
    <row r="61" customFormat="false" ht="15" hidden="false" customHeight="false" outlineLevel="0" collapsed="false">
      <c r="A61" s="46" t="str">
        <f aca="false">Orders!A61</f>
        <v>ORD-00060</v>
      </c>
      <c r="B61" s="46" t="str">
        <f aca="false">PROPER(TRIM(Orders!K61))</f>
        <v>Mumbai</v>
      </c>
      <c r="C61" s="46" t="str">
        <f aca="false">IFERROR(VLOOKUP(Orders!D61,Products!$A$2:$F$61,3,FALSE()),"Not Found")</f>
        <v>Home</v>
      </c>
      <c r="D61" s="46" t="str">
        <f aca="false">IFERROR(VLOOKUP(Orders!C61,Customers!$A$2:$F$301,5,FALSE()),"Not Found")</f>
        <v>Retail</v>
      </c>
      <c r="E61" s="46" t="n">
        <f aca="false">IFERROR(VLOOKUP(Orders!C61,Customers!$A$2:$F$301,3,FALSE()),"Not Found")</f>
        <v>40</v>
      </c>
      <c r="F61" s="46" t="str">
        <f aca="false">IFERROR(VLOOKUP(Orders!E61,Sales_Reps!$A$2:$E$31,3,FALSE()),"Not Found")</f>
        <v>West</v>
      </c>
      <c r="G61" s="46" t="n">
        <f aca="false">IFERROR(VLOOKUP(Orders!D61,Products!$A$2:$F$61,4,FALSE()),"")</f>
        <v>1850</v>
      </c>
      <c r="H61" s="47" t="n">
        <f aca="false">IF(G61="","",(Orders!G61-G61)/Orders!G61)</f>
        <v>0.598698481561822</v>
      </c>
      <c r="I61" s="46"/>
      <c r="J61" s="46"/>
      <c r="K61" s="46"/>
      <c r="L61" s="46"/>
      <c r="M61" s="46"/>
      <c r="N61" s="46"/>
      <c r="O61" s="46"/>
      <c r="P61" s="46"/>
      <c r="Q61" s="46"/>
      <c r="R61" s="46" t="str">
        <f aca="false">Products!A61</f>
        <v>PROD-060</v>
      </c>
      <c r="S61" s="46" t="str">
        <f aca="false">Products!B61</f>
        <v>Gym Gloves</v>
      </c>
      <c r="T61" s="48" t="n">
        <f aca="false">SUMIFS(Orders!$I$2:$I$2001,Orders!$D$2:$D$2001,R61,$F$2:$F$2001,"West")</f>
        <v>7838.26</v>
      </c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</row>
    <row r="62" customFormat="false" ht="15" hidden="false" customHeight="false" outlineLevel="0" collapsed="false">
      <c r="A62" s="46" t="str">
        <f aca="false">Orders!A62</f>
        <v>ORD-00061</v>
      </c>
      <c r="B62" s="46" t="str">
        <f aca="false">PROPER(TRIM(Orders!K62))</f>
        <v>Chennai</v>
      </c>
      <c r="C62" s="46" t="str">
        <f aca="false">IFERROR(VLOOKUP(Orders!D62,Products!$A$2:$F$61,3,FALSE()),"Not Found")</f>
        <v>Home</v>
      </c>
      <c r="D62" s="46" t="str">
        <f aca="false">IFERROR(VLOOKUP(Orders!C62,Customers!$A$2:$F$301,5,FALSE()),"Not Found")</f>
        <v>SMB</v>
      </c>
      <c r="E62" s="46" t="n">
        <f aca="false">IFERROR(VLOOKUP(Orders!C62,Customers!$A$2:$F$301,3,FALSE()),"Not Found")</f>
        <v>55</v>
      </c>
      <c r="F62" s="46" t="str">
        <f aca="false">IFERROR(VLOOKUP(Orders!E62,Sales_Reps!$A$2:$E$31,3,FALSE()),"Not Found")</f>
        <v>South</v>
      </c>
      <c r="G62" s="46" t="n">
        <f aca="false">IFERROR(VLOOKUP(Orders!D62,Products!$A$2:$F$61,4,FALSE()),"")</f>
        <v>519</v>
      </c>
      <c r="H62" s="47" t="n">
        <f aca="false">IF(G62="","",(Orders!G62-G62)/Orders!G62)</f>
        <v>0.519444444444445</v>
      </c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</row>
    <row r="63" customFormat="false" ht="15" hidden="false" customHeight="false" outlineLevel="0" collapsed="false">
      <c r="A63" s="46" t="str">
        <f aca="false">Orders!A63</f>
        <v>ORD-00062</v>
      </c>
      <c r="B63" s="46" t="str">
        <f aca="false">PROPER(TRIM(Orders!K63))</f>
        <v>Pune</v>
      </c>
      <c r="C63" s="46" t="str">
        <f aca="false">IFERROR(VLOOKUP(Orders!D63,Products!$A$2:$F$61,3,FALSE()),"Not Found")</f>
        <v>Beauty</v>
      </c>
      <c r="D63" s="46" t="str">
        <f aca="false">IFERROR(VLOOKUP(Orders!C63,Customers!$A$2:$F$301,5,FALSE()),"Not Found")</f>
        <v>Retail</v>
      </c>
      <c r="E63" s="46" t="n">
        <f aca="false">IFERROR(VLOOKUP(Orders!C63,Customers!$A$2:$F$301,3,FALSE()),"Not Found")</f>
        <v>44</v>
      </c>
      <c r="F63" s="46" t="str">
        <f aca="false">IFERROR(VLOOKUP(Orders!E63,Sales_Reps!$A$2:$E$31,3,FALSE()),"Not Found")</f>
        <v>North</v>
      </c>
      <c r="G63" s="46" t="n">
        <f aca="false">IFERROR(VLOOKUP(Orders!D63,Products!$A$2:$F$61,4,FALSE()),"")</f>
        <v>1626</v>
      </c>
      <c r="H63" s="47" t="n">
        <f aca="false">IF(G63="","",(Orders!G63-G63)/Orders!G63)</f>
        <v>0.46158940397351</v>
      </c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</row>
    <row r="64" customFormat="false" ht="15" hidden="false" customHeight="false" outlineLevel="0" collapsed="false">
      <c r="A64" s="46" t="str">
        <f aca="false">Orders!A64</f>
        <v>ORD-00063</v>
      </c>
      <c r="B64" s="46" t="str">
        <f aca="false">PROPER(TRIM(Orders!K64))</f>
        <v>Hyderabad</v>
      </c>
      <c r="C64" s="46" t="str">
        <f aca="false">IFERROR(VLOOKUP(Orders!D64,Products!$A$2:$F$61,3,FALSE()),"Not Found")</f>
        <v>Electronics</v>
      </c>
      <c r="D64" s="46" t="str">
        <f aca="false">IFERROR(VLOOKUP(Orders!C64,Customers!$A$2:$F$301,5,FALSE()),"Not Found")</f>
        <v>Corporate</v>
      </c>
      <c r="E64" s="46" t="n">
        <f aca="false">IFERROR(VLOOKUP(Orders!C64,Customers!$A$2:$F$301,3,FALSE()),"Not Found")</f>
        <v>29</v>
      </c>
      <c r="F64" s="46" t="str">
        <f aca="false">IFERROR(VLOOKUP(Orders!E64,Sales_Reps!$A$2:$E$31,3,FALSE()),"Not Found")</f>
        <v>East</v>
      </c>
      <c r="G64" s="46" t="n">
        <f aca="false">IFERROR(VLOOKUP(Orders!D64,Products!$A$2:$F$61,4,FALSE()),"")</f>
        <v>1259</v>
      </c>
      <c r="H64" s="47" t="n">
        <f aca="false">IF(G64="","",(Orders!G64-G64)/Orders!G64)</f>
        <v>0.526691729323308</v>
      </c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</row>
    <row r="65" customFormat="false" ht="15" hidden="false" customHeight="false" outlineLevel="0" collapsed="false">
      <c r="A65" s="46" t="str">
        <f aca="false">Orders!A65</f>
        <v>ORD-00064</v>
      </c>
      <c r="B65" s="46" t="str">
        <f aca="false">PROPER(TRIM(Orders!K65))</f>
        <v>Pune</v>
      </c>
      <c r="C65" s="46" t="str">
        <f aca="false">IFERROR(VLOOKUP(Orders!D65,Products!$A$2:$F$61,3,FALSE()),"Not Found")</f>
        <v>Electronics</v>
      </c>
      <c r="D65" s="46" t="str">
        <f aca="false">IFERROR(VLOOKUP(Orders!C65,Customers!$A$2:$F$301,5,FALSE()),"Not Found")</f>
        <v>Retail</v>
      </c>
      <c r="E65" s="46" t="n">
        <f aca="false">IFERROR(VLOOKUP(Orders!C65,Customers!$A$2:$F$301,3,FALSE()),"Not Found")</f>
        <v>25</v>
      </c>
      <c r="F65" s="46" t="str">
        <f aca="false">IFERROR(VLOOKUP(Orders!E65,Sales_Reps!$A$2:$E$31,3,FALSE()),"Not Found")</f>
        <v>North</v>
      </c>
      <c r="G65" s="46" t="n">
        <f aca="false">IFERROR(VLOOKUP(Orders!D65,Products!$A$2:$F$61,4,FALSE()),"")</f>
        <v>128</v>
      </c>
      <c r="H65" s="47" t="n">
        <f aca="false">IF(G65="","",(Orders!G65-G65)/Orders!G65)</f>
        <v>0.573333333333333</v>
      </c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</row>
    <row r="66" customFormat="false" ht="15" hidden="false" customHeight="false" outlineLevel="0" collapsed="false">
      <c r="A66" s="46" t="str">
        <f aca="false">Orders!A66</f>
        <v>ORD-00065</v>
      </c>
      <c r="B66" s="46" t="str">
        <f aca="false">PROPER(TRIM(Orders!K66))</f>
        <v>Chennai</v>
      </c>
      <c r="C66" s="46" t="str">
        <f aca="false">IFERROR(VLOOKUP(Orders!D66,Products!$A$2:$F$61,3,FALSE()),"Not Found")</f>
        <v>Electronics</v>
      </c>
      <c r="D66" s="46" t="str">
        <f aca="false">IFERROR(VLOOKUP(Orders!C66,Customers!$A$2:$F$301,5,FALSE()),"Not Found")</f>
        <v>Retail</v>
      </c>
      <c r="E66" s="46" t="n">
        <f aca="false">IFERROR(VLOOKUP(Orders!C66,Customers!$A$2:$F$301,3,FALSE()),"Not Found")</f>
        <v>28</v>
      </c>
      <c r="F66" s="46" t="str">
        <f aca="false">IFERROR(VLOOKUP(Orders!E66,Sales_Reps!$A$2:$E$31,3,FALSE()),"Not Found")</f>
        <v>East</v>
      </c>
      <c r="G66" s="46" t="n">
        <f aca="false">IFERROR(VLOOKUP(Orders!D66,Products!$A$2:$F$61,4,FALSE()),"")</f>
        <v>1149</v>
      </c>
      <c r="H66" s="47" t="n">
        <f aca="false">IF(G66="","",(Orders!G66-G66)/Orders!G66)</f>
        <v>0.564772727272727</v>
      </c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</row>
    <row r="67" customFormat="false" ht="15" hidden="false" customHeight="false" outlineLevel="0" collapsed="false">
      <c r="A67" s="46" t="str">
        <f aca="false">Orders!A67</f>
        <v>ORD-00066</v>
      </c>
      <c r="B67" s="46" t="str">
        <f aca="false">PROPER(TRIM(Orders!K67))</f>
        <v>Delhi</v>
      </c>
      <c r="C67" s="46" t="str">
        <f aca="false">IFERROR(VLOOKUP(Orders!D67,Products!$A$2:$F$61,3,FALSE()),"Not Found")</f>
        <v>Apparel</v>
      </c>
      <c r="D67" s="46" t="str">
        <f aca="false">IFERROR(VLOOKUP(Orders!C67,Customers!$A$2:$F$301,5,FALSE()),"Not Found")</f>
        <v>SMB</v>
      </c>
      <c r="E67" s="46" t="n">
        <f aca="false">IFERROR(VLOOKUP(Orders!C67,Customers!$A$2:$F$301,3,FALSE()),"Not Found")</f>
        <v>50</v>
      </c>
      <c r="F67" s="46" t="str">
        <f aca="false">IFERROR(VLOOKUP(Orders!E67,Sales_Reps!$A$2:$E$31,3,FALSE()),"Not Found")</f>
        <v>East</v>
      </c>
      <c r="G67" s="46" t="n">
        <f aca="false">IFERROR(VLOOKUP(Orders!D67,Products!$A$2:$F$61,4,FALSE()),"")</f>
        <v>391</v>
      </c>
      <c r="H67" s="47" t="n">
        <f aca="false">IF(G67="","",(Orders!G67-G67)/Orders!G67)</f>
        <v>0.523170731707317</v>
      </c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</row>
    <row r="68" customFormat="false" ht="15" hidden="false" customHeight="false" outlineLevel="0" collapsed="false">
      <c r="A68" s="46" t="str">
        <f aca="false">Orders!A68</f>
        <v>ORD-00067</v>
      </c>
      <c r="B68" s="46" t="str">
        <f aca="false">PROPER(TRIM(Orders!K68))</f>
        <v>Chennai</v>
      </c>
      <c r="C68" s="46" t="str">
        <f aca="false">IFERROR(VLOOKUP(Orders!D68,Products!$A$2:$F$61,3,FALSE()),"Not Found")</f>
        <v>Grocery</v>
      </c>
      <c r="D68" s="46" t="str">
        <f aca="false">IFERROR(VLOOKUP(Orders!C68,Customers!$A$2:$F$301,5,FALSE()),"Not Found")</f>
        <v>Retail</v>
      </c>
      <c r="E68" s="46" t="n">
        <f aca="false">IFERROR(VLOOKUP(Orders!C68,Customers!$A$2:$F$301,3,FALSE()),"Not Found")</f>
        <v>39</v>
      </c>
      <c r="F68" s="46" t="str">
        <f aca="false">IFERROR(VLOOKUP(Orders!E68,Sales_Reps!$A$2:$E$31,3,FALSE()),"Not Found")</f>
        <v>West</v>
      </c>
      <c r="G68" s="46" t="n">
        <f aca="false">IFERROR(VLOOKUP(Orders!D68,Products!$A$2:$F$61,4,FALSE()),"")</f>
        <v>1435</v>
      </c>
      <c r="H68" s="47" t="n">
        <f aca="false">IF(G68="","",(Orders!G68-G68)/Orders!G68)</f>
        <v>0.480072463768116</v>
      </c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</row>
    <row r="69" customFormat="false" ht="15" hidden="false" customHeight="false" outlineLevel="0" collapsed="false">
      <c r="A69" s="46" t="str">
        <f aca="false">Orders!A69</f>
        <v>ORD-00068</v>
      </c>
      <c r="B69" s="46" t="str">
        <f aca="false">PROPER(TRIM(Orders!K69))</f>
        <v>Chennai</v>
      </c>
      <c r="C69" s="46" t="str">
        <f aca="false">IFERROR(VLOOKUP(Orders!D69,Products!$A$2:$F$61,3,FALSE()),"Not Found")</f>
        <v>Apparel</v>
      </c>
      <c r="D69" s="46" t="str">
        <f aca="false">IFERROR(VLOOKUP(Orders!C69,Customers!$A$2:$F$301,5,FALSE()),"Not Found")</f>
        <v>Retail</v>
      </c>
      <c r="E69" s="46" t="n">
        <f aca="false">IFERROR(VLOOKUP(Orders!C69,Customers!$A$2:$F$301,3,FALSE()),"Not Found")</f>
        <v>38</v>
      </c>
      <c r="F69" s="46" t="str">
        <f aca="false">IFERROR(VLOOKUP(Orders!E69,Sales_Reps!$A$2:$E$31,3,FALSE()),"Not Found")</f>
        <v>East</v>
      </c>
      <c r="G69" s="46" t="n">
        <f aca="false">IFERROR(VLOOKUP(Orders!D69,Products!$A$2:$F$61,4,FALSE()),"")</f>
        <v>2509</v>
      </c>
      <c r="H69" s="47" t="n">
        <f aca="false">IF(G69="","",(Orders!G69-G69)/Orders!G69)</f>
        <v>0.306906077348066</v>
      </c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</row>
    <row r="70" customFormat="false" ht="15" hidden="false" customHeight="false" outlineLevel="0" collapsed="false">
      <c r="A70" s="46" t="str">
        <f aca="false">Orders!A70</f>
        <v>ORD-00069</v>
      </c>
      <c r="B70" s="46" t="str">
        <f aca="false">PROPER(TRIM(Orders!K70))</f>
        <v>Delhi</v>
      </c>
      <c r="C70" s="46" t="str">
        <f aca="false">IFERROR(VLOOKUP(Orders!D70,Products!$A$2:$F$61,3,FALSE()),"Not Found")</f>
        <v>Apparel</v>
      </c>
      <c r="D70" s="46" t="str">
        <f aca="false">IFERROR(VLOOKUP(Orders!C70,Customers!$A$2:$F$301,5,FALSE()),"Not Found")</f>
        <v>Retail</v>
      </c>
      <c r="E70" s="46" t="n">
        <f aca="false">IFERROR(VLOOKUP(Orders!C70,Customers!$A$2:$F$301,3,FALSE()),"Not Found")</f>
        <v>35</v>
      </c>
      <c r="F70" s="46" t="str">
        <f aca="false">IFERROR(VLOOKUP(Orders!E70,Sales_Reps!$A$2:$E$31,3,FALSE()),"Not Found")</f>
        <v>West</v>
      </c>
      <c r="G70" s="46" t="n">
        <f aca="false">IFERROR(VLOOKUP(Orders!D70,Products!$A$2:$F$61,4,FALSE()),"")</f>
        <v>396</v>
      </c>
      <c r="H70" s="47" t="n">
        <f aca="false">IF(G70="","",(Orders!G70-G70)/Orders!G70)</f>
        <v>0.361290322580645</v>
      </c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</row>
    <row r="71" customFormat="false" ht="15" hidden="false" customHeight="false" outlineLevel="0" collapsed="false">
      <c r="A71" s="46" t="str">
        <f aca="false">Orders!A71</f>
        <v>ORD-00070</v>
      </c>
      <c r="B71" s="46" t="str">
        <f aca="false">PROPER(TRIM(Orders!K71))</f>
        <v>Hyderabad</v>
      </c>
      <c r="C71" s="46" t="str">
        <f aca="false">IFERROR(VLOOKUP(Orders!D71,Products!$A$2:$F$61,3,FALSE()),"Not Found")</f>
        <v>Home</v>
      </c>
      <c r="D71" s="46" t="str">
        <f aca="false">IFERROR(VLOOKUP(Orders!C71,Customers!$A$2:$F$301,5,FALSE()),"Not Found")</f>
        <v>SMB</v>
      </c>
      <c r="E71" s="46" t="n">
        <f aca="false">IFERROR(VLOOKUP(Orders!C71,Customers!$A$2:$F$301,3,FALSE()),"Not Found")</f>
        <v>43</v>
      </c>
      <c r="F71" s="46" t="str">
        <f aca="false">IFERROR(VLOOKUP(Orders!E71,Sales_Reps!$A$2:$E$31,3,FALSE()),"Not Found")</f>
        <v>West</v>
      </c>
      <c r="G71" s="46" t="n">
        <f aca="false">IFERROR(VLOOKUP(Orders!D71,Products!$A$2:$F$61,4,FALSE()),"")</f>
        <v>1143</v>
      </c>
      <c r="H71" s="47" t="n">
        <f aca="false">IF(G71="","",(Orders!G71-G71)/Orders!G71)</f>
        <v>0.436945812807882</v>
      </c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</row>
    <row r="72" customFormat="false" ht="15" hidden="false" customHeight="false" outlineLevel="0" collapsed="false">
      <c r="A72" s="46" t="str">
        <f aca="false">Orders!A72</f>
        <v>ORD-00071</v>
      </c>
      <c r="B72" s="46" t="str">
        <f aca="false">PROPER(TRIM(Orders!K72))</f>
        <v>Chennai</v>
      </c>
      <c r="C72" s="46" t="str">
        <f aca="false">IFERROR(VLOOKUP(Orders!D72,Products!$A$2:$F$61,3,FALSE()),"Not Found")</f>
        <v>Apparel</v>
      </c>
      <c r="D72" s="46" t="str">
        <f aca="false">IFERROR(VLOOKUP(Orders!C72,Customers!$A$2:$F$301,5,FALSE()),"Not Found")</f>
        <v>Retail</v>
      </c>
      <c r="E72" s="46" t="n">
        <f aca="false">IFERROR(VLOOKUP(Orders!C72,Customers!$A$2:$F$301,3,FALSE()),"Not Found")</f>
        <v>36</v>
      </c>
      <c r="F72" s="46" t="str">
        <f aca="false">IFERROR(VLOOKUP(Orders!E72,Sales_Reps!$A$2:$E$31,3,FALSE()),"Not Found")</f>
        <v>North</v>
      </c>
      <c r="G72" s="46" t="n">
        <f aca="false">IFERROR(VLOOKUP(Orders!D72,Products!$A$2:$F$61,4,FALSE()),"")</f>
        <v>1886</v>
      </c>
      <c r="H72" s="47" t="n">
        <f aca="false">IF(G72="","",(Orders!G72-G72)/Orders!G72)</f>
        <v>0.403164556962025</v>
      </c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</row>
    <row r="73" customFormat="false" ht="15" hidden="false" customHeight="false" outlineLevel="0" collapsed="false">
      <c r="A73" s="46" t="str">
        <f aca="false">Orders!A73</f>
        <v>ORD-00072</v>
      </c>
      <c r="B73" s="46" t="str">
        <f aca="false">PROPER(TRIM(Orders!K73))</f>
        <v>Hyderabad</v>
      </c>
      <c r="C73" s="46" t="str">
        <f aca="false">IFERROR(VLOOKUP(Orders!D73,Products!$A$2:$F$61,3,FALSE()),"Not Found")</f>
        <v>Grocery</v>
      </c>
      <c r="D73" s="46" t="str">
        <f aca="false">IFERROR(VLOOKUP(Orders!C73,Customers!$A$2:$F$301,5,FALSE()),"Not Found")</f>
        <v>Retail</v>
      </c>
      <c r="E73" s="46" t="n">
        <f aca="false">IFERROR(VLOOKUP(Orders!C73,Customers!$A$2:$F$301,3,FALSE()),"Not Found")</f>
        <v>29</v>
      </c>
      <c r="F73" s="46" t="str">
        <f aca="false">IFERROR(VLOOKUP(Orders!E73,Sales_Reps!$A$2:$E$31,3,FALSE()),"Not Found")</f>
        <v>North</v>
      </c>
      <c r="G73" s="46" t="n">
        <f aca="false">IFERROR(VLOOKUP(Orders!D73,Products!$A$2:$F$61,4,FALSE()),"")</f>
        <v>434</v>
      </c>
      <c r="H73" s="47" t="n">
        <f aca="false">IF(G73="","",(Orders!G73-G73)/Orders!G73)</f>
        <v>0.552577319587629</v>
      </c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</row>
    <row r="74" customFormat="false" ht="15" hidden="false" customHeight="false" outlineLevel="0" collapsed="false">
      <c r="A74" s="46" t="str">
        <f aca="false">Orders!A74</f>
        <v>ORD-00073</v>
      </c>
      <c r="B74" s="46" t="str">
        <f aca="false">PROPER(TRIM(Orders!K74))</f>
        <v>Chennai</v>
      </c>
      <c r="C74" s="46" t="str">
        <f aca="false">IFERROR(VLOOKUP(Orders!D74,Products!$A$2:$F$61,3,FALSE()),"Not Found")</f>
        <v>Beauty</v>
      </c>
      <c r="D74" s="46" t="str">
        <f aca="false">IFERROR(VLOOKUP(Orders!C74,Customers!$A$2:$F$301,5,FALSE()),"Not Found")</f>
        <v>Retail</v>
      </c>
      <c r="E74" s="46" t="n">
        <f aca="false">IFERROR(VLOOKUP(Orders!C74,Customers!$A$2:$F$301,3,FALSE()),"Not Found")</f>
        <v>41</v>
      </c>
      <c r="F74" s="46" t="str">
        <f aca="false">IFERROR(VLOOKUP(Orders!E74,Sales_Reps!$A$2:$E$31,3,FALSE()),"Not Found")</f>
        <v>North</v>
      </c>
      <c r="G74" s="46" t="n">
        <f aca="false">IFERROR(VLOOKUP(Orders!D74,Products!$A$2:$F$61,4,FALSE()),"")</f>
        <v>1728</v>
      </c>
      <c r="H74" s="47" t="n">
        <f aca="false">IF(G74="","",(Orders!G74-G74)/Orders!G74)</f>
        <v>0.484179104477612</v>
      </c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</row>
    <row r="75" customFormat="false" ht="15" hidden="false" customHeight="false" outlineLevel="0" collapsed="false">
      <c r="A75" s="46" t="str">
        <f aca="false">Orders!A75</f>
        <v>ORD-00074</v>
      </c>
      <c r="B75" s="46" t="str">
        <f aca="false">PROPER(TRIM(Orders!K75))</f>
        <v>Delhi</v>
      </c>
      <c r="C75" s="46" t="str">
        <f aca="false">IFERROR(VLOOKUP(Orders!D75,Products!$A$2:$F$61,3,FALSE()),"Not Found")</f>
        <v>Home</v>
      </c>
      <c r="D75" s="46" t="str">
        <f aca="false">IFERROR(VLOOKUP(Orders!C75,Customers!$A$2:$F$301,5,FALSE()),"Not Found")</f>
        <v>SMB</v>
      </c>
      <c r="E75" s="46" t="n">
        <f aca="false">IFERROR(VLOOKUP(Orders!C75,Customers!$A$2:$F$301,3,FALSE()),"Not Found")</f>
        <v>55</v>
      </c>
      <c r="F75" s="46" t="str">
        <f aca="false">IFERROR(VLOOKUP(Orders!E75,Sales_Reps!$A$2:$E$31,3,FALSE()),"Not Found")</f>
        <v>East</v>
      </c>
      <c r="G75" s="46" t="n">
        <f aca="false">IFERROR(VLOOKUP(Orders!D75,Products!$A$2:$F$61,4,FALSE()),"")</f>
        <v>288</v>
      </c>
      <c r="H75" s="47" t="n">
        <f aca="false">IF(G75="","",(Orders!G75-G75)/Orders!G75)</f>
        <v>0.221621621621622</v>
      </c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</row>
    <row r="76" customFormat="false" ht="15" hidden="false" customHeight="false" outlineLevel="0" collapsed="false">
      <c r="A76" s="46" t="str">
        <f aca="false">Orders!A76</f>
        <v>ORD-00075</v>
      </c>
      <c r="B76" s="46" t="str">
        <f aca="false">PROPER(TRIM(Orders!K76))</f>
        <v>Hyderabad</v>
      </c>
      <c r="C76" s="46" t="str">
        <f aca="false">IFERROR(VLOOKUP(Orders!D76,Products!$A$2:$F$61,3,FALSE()),"Not Found")</f>
        <v>Grocery</v>
      </c>
      <c r="D76" s="46" t="str">
        <f aca="false">IFERROR(VLOOKUP(Orders!C76,Customers!$A$2:$F$301,5,FALSE()),"Not Found")</f>
        <v>Corporate</v>
      </c>
      <c r="E76" s="46" t="n">
        <f aca="false">IFERROR(VLOOKUP(Orders!C76,Customers!$A$2:$F$301,3,FALSE()),"Not Found")</f>
        <v>46</v>
      </c>
      <c r="F76" s="46" t="str">
        <f aca="false">IFERROR(VLOOKUP(Orders!E76,Sales_Reps!$A$2:$E$31,3,FALSE()),"Not Found")</f>
        <v>South</v>
      </c>
      <c r="G76" s="46" t="n">
        <f aca="false">IFERROR(VLOOKUP(Orders!D76,Products!$A$2:$F$61,4,FALSE()),"")</f>
        <v>434</v>
      </c>
      <c r="H76" s="47" t="n">
        <f aca="false">IF(G76="","",(Orders!G76-G76)/Orders!G76)</f>
        <v>0.552577319587629</v>
      </c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</row>
    <row r="77" customFormat="false" ht="15" hidden="false" customHeight="false" outlineLevel="0" collapsed="false">
      <c r="A77" s="46" t="str">
        <f aca="false">Orders!A77</f>
        <v>ORD-00076</v>
      </c>
      <c r="B77" s="46" t="str">
        <f aca="false">PROPER(TRIM(Orders!K77))</f>
        <v>Pune</v>
      </c>
      <c r="C77" s="46" t="str">
        <f aca="false">IFERROR(VLOOKUP(Orders!D77,Products!$A$2:$F$61,3,FALSE()),"Not Found")</f>
        <v>Grocery</v>
      </c>
      <c r="D77" s="46" t="str">
        <f aca="false">IFERROR(VLOOKUP(Orders!C77,Customers!$A$2:$F$301,5,FALSE()),"Not Found")</f>
        <v>SMB</v>
      </c>
      <c r="E77" s="46" t="n">
        <f aca="false">IFERROR(VLOOKUP(Orders!C77,Customers!$A$2:$F$301,3,FALSE()),"Not Found")</f>
        <v>39</v>
      </c>
      <c r="F77" s="46" t="str">
        <f aca="false">IFERROR(VLOOKUP(Orders!E77,Sales_Reps!$A$2:$E$31,3,FALSE()),"Not Found")</f>
        <v>East</v>
      </c>
      <c r="G77" s="46" t="n">
        <f aca="false">IFERROR(VLOOKUP(Orders!D77,Products!$A$2:$F$61,4,FALSE()),"")</f>
        <v>1435</v>
      </c>
      <c r="H77" s="47" t="n">
        <f aca="false">IF(G77="","",(Orders!G77-G77)/Orders!G77)</f>
        <v>0.480072463768116</v>
      </c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</row>
    <row r="78" customFormat="false" ht="15" hidden="false" customHeight="false" outlineLevel="0" collapsed="false">
      <c r="A78" s="46" t="str">
        <f aca="false">Orders!A78</f>
        <v>ORD-00077</v>
      </c>
      <c r="B78" s="46" t="str">
        <f aca="false">PROPER(TRIM(Orders!K78))</f>
        <v>Pune</v>
      </c>
      <c r="C78" s="46" t="str">
        <f aca="false">IFERROR(VLOOKUP(Orders!D78,Products!$A$2:$F$61,3,FALSE()),"Not Found")</f>
        <v>Grocery</v>
      </c>
      <c r="D78" s="46" t="str">
        <f aca="false">IFERROR(VLOOKUP(Orders!C78,Customers!$A$2:$F$301,5,FALSE()),"Not Found")</f>
        <v>SMB</v>
      </c>
      <c r="E78" s="46" t="n">
        <f aca="false">IFERROR(VLOOKUP(Orders!C78,Customers!$A$2:$F$301,3,FALSE()),"Not Found")</f>
        <v>54</v>
      </c>
      <c r="F78" s="46" t="str">
        <f aca="false">IFERROR(VLOOKUP(Orders!E78,Sales_Reps!$A$2:$E$31,3,FALSE()),"Not Found")</f>
        <v>East</v>
      </c>
      <c r="G78" s="46" t="n">
        <f aca="false">IFERROR(VLOOKUP(Orders!D78,Products!$A$2:$F$61,4,FALSE()),"")</f>
        <v>1435</v>
      </c>
      <c r="H78" s="47" t="n">
        <f aca="false">IF(G78="","",(Orders!G78-G78)/Orders!G78)</f>
        <v>0.480072463768116</v>
      </c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</row>
    <row r="79" customFormat="false" ht="15" hidden="false" customHeight="false" outlineLevel="0" collapsed="false">
      <c r="A79" s="46" t="str">
        <f aca="false">Orders!A79</f>
        <v>ORD-00078</v>
      </c>
      <c r="B79" s="46" t="str">
        <f aca="false">PROPER(TRIM(Orders!K79))</f>
        <v>Bengaluru</v>
      </c>
      <c r="C79" s="46" t="str">
        <f aca="false">IFERROR(VLOOKUP(Orders!D79,Products!$A$2:$F$61,3,FALSE()),"Not Found")</f>
        <v>Electronics</v>
      </c>
      <c r="D79" s="46" t="str">
        <f aca="false">IFERROR(VLOOKUP(Orders!C79,Customers!$A$2:$F$301,5,FALSE()),"Not Found")</f>
        <v>Retail</v>
      </c>
      <c r="E79" s="46" t="n">
        <f aca="false">IFERROR(VLOOKUP(Orders!C79,Customers!$A$2:$F$301,3,FALSE()),"Not Found")</f>
        <v>42</v>
      </c>
      <c r="F79" s="46" t="str">
        <f aca="false">IFERROR(VLOOKUP(Orders!E79,Sales_Reps!$A$2:$E$31,3,FALSE()),"Not Found")</f>
        <v>East</v>
      </c>
      <c r="G79" s="46" t="n">
        <f aca="false">IFERROR(VLOOKUP(Orders!D79,Products!$A$2:$F$61,4,FALSE()),"")</f>
        <v>517</v>
      </c>
      <c r="H79" s="47" t="n">
        <f aca="false">IF(G79="","",(Orders!G79-G79)/Orders!G79)</f>
        <v>0.576229508196721</v>
      </c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</row>
    <row r="80" customFormat="false" ht="15" hidden="false" customHeight="false" outlineLevel="0" collapsed="false">
      <c r="A80" s="46" t="str">
        <f aca="false">Orders!A80</f>
        <v>ORD-00079</v>
      </c>
      <c r="B80" s="46" t="str">
        <f aca="false">PROPER(TRIM(Orders!K80))</f>
        <v>Hyderabad</v>
      </c>
      <c r="C80" s="46" t="str">
        <f aca="false">IFERROR(VLOOKUP(Orders!D80,Products!$A$2:$F$61,3,FALSE()),"Not Found")</f>
        <v>Electronics</v>
      </c>
      <c r="D80" s="46" t="str">
        <f aca="false">IFERROR(VLOOKUP(Orders!C80,Customers!$A$2:$F$301,5,FALSE()),"Not Found")</f>
        <v>Retail</v>
      </c>
      <c r="E80" s="46" t="n">
        <f aca="false">IFERROR(VLOOKUP(Orders!C80,Customers!$A$2:$F$301,3,FALSE()),"Not Found")</f>
        <v>46</v>
      </c>
      <c r="F80" s="46" t="str">
        <f aca="false">IFERROR(VLOOKUP(Orders!E80,Sales_Reps!$A$2:$E$31,3,FALSE()),"Not Found")</f>
        <v>West</v>
      </c>
      <c r="G80" s="46" t="n">
        <f aca="false">IFERROR(VLOOKUP(Orders!D80,Products!$A$2:$F$61,4,FALSE()),"")</f>
        <v>1052</v>
      </c>
      <c r="H80" s="47" t="n">
        <f aca="false">IF(G80="","",(Orders!G80-G80)/Orders!G80)</f>
        <v>0.595384615384615</v>
      </c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</row>
    <row r="81" customFormat="false" ht="15" hidden="false" customHeight="false" outlineLevel="0" collapsed="false">
      <c r="A81" s="46" t="str">
        <f aca="false">Orders!A81</f>
        <v>ORD-00080</v>
      </c>
      <c r="B81" s="46" t="str">
        <f aca="false">PROPER(TRIM(Orders!K81))</f>
        <v>Pune</v>
      </c>
      <c r="C81" s="46" t="str">
        <f aca="false">IFERROR(VLOOKUP(Orders!D81,Products!$A$2:$F$61,3,FALSE()),"Not Found")</f>
        <v>Grocery</v>
      </c>
      <c r="D81" s="46" t="str">
        <f aca="false">IFERROR(VLOOKUP(Orders!C81,Customers!$A$2:$F$301,5,FALSE()),"Not Found")</f>
        <v>Corporate</v>
      </c>
      <c r="E81" s="46" t="n">
        <f aca="false">IFERROR(VLOOKUP(Orders!C81,Customers!$A$2:$F$301,3,FALSE()),"Not Found")</f>
        <v>33</v>
      </c>
      <c r="F81" s="46" t="str">
        <f aca="false">IFERROR(VLOOKUP(Orders!E81,Sales_Reps!$A$2:$E$31,3,FALSE()),"Not Found")</f>
        <v>West</v>
      </c>
      <c r="G81" s="46" t="n">
        <f aca="false">IFERROR(VLOOKUP(Orders!D81,Products!$A$2:$F$61,4,FALSE()),"")</f>
        <v>2027</v>
      </c>
      <c r="H81" s="47" t="n">
        <f aca="false">IF(G81="","",(Orders!G81-G81)/Orders!G81)</f>
        <v>0.501965601965602</v>
      </c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</row>
    <row r="82" customFormat="false" ht="15" hidden="false" customHeight="false" outlineLevel="0" collapsed="false">
      <c r="A82" s="46" t="str">
        <f aca="false">Orders!A82</f>
        <v>ORD-00081</v>
      </c>
      <c r="B82" s="46" t="str">
        <f aca="false">PROPER(TRIM(Orders!K82))</f>
        <v>Pune</v>
      </c>
      <c r="C82" s="46" t="str">
        <f aca="false">IFERROR(VLOOKUP(Orders!D82,Products!$A$2:$F$61,3,FALSE()),"Not Found")</f>
        <v>Grocery</v>
      </c>
      <c r="D82" s="46" t="str">
        <f aca="false">IFERROR(VLOOKUP(Orders!C82,Customers!$A$2:$F$301,5,FALSE()),"Not Found")</f>
        <v>SMB</v>
      </c>
      <c r="E82" s="46" t="n">
        <f aca="false">IFERROR(VLOOKUP(Orders!C82,Customers!$A$2:$F$301,3,FALSE()),"Not Found")</f>
        <v>60</v>
      </c>
      <c r="F82" s="46" t="str">
        <f aca="false">IFERROR(VLOOKUP(Orders!E82,Sales_Reps!$A$2:$E$31,3,FALSE()),"Not Found")</f>
        <v>North</v>
      </c>
      <c r="G82" s="46" t="n">
        <f aca="false">IFERROR(VLOOKUP(Orders!D82,Products!$A$2:$F$61,4,FALSE()),"")</f>
        <v>1203</v>
      </c>
      <c r="H82" s="47" t="n">
        <f aca="false">IF(G82="","",(Orders!G82-G82)/Orders!G82)</f>
        <v>0.470044052863436</v>
      </c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</row>
    <row r="83" customFormat="false" ht="15" hidden="false" customHeight="false" outlineLevel="0" collapsed="false">
      <c r="A83" s="46" t="str">
        <f aca="false">Orders!A83</f>
        <v>ORD-00082</v>
      </c>
      <c r="B83" s="46" t="str">
        <f aca="false">PROPER(TRIM(Orders!K83))</f>
        <v>Chennai</v>
      </c>
      <c r="C83" s="46" t="str">
        <f aca="false">IFERROR(VLOOKUP(Orders!D83,Products!$A$2:$F$61,3,FALSE()),"Not Found")</f>
        <v>Apparel</v>
      </c>
      <c r="D83" s="46" t="str">
        <f aca="false">IFERROR(VLOOKUP(Orders!C83,Customers!$A$2:$F$301,5,FALSE()),"Not Found")</f>
        <v>SMB</v>
      </c>
      <c r="E83" s="46" t="n">
        <f aca="false">IFERROR(VLOOKUP(Orders!C83,Customers!$A$2:$F$301,3,FALSE()),"Not Found")</f>
        <v>57</v>
      </c>
      <c r="F83" s="46" t="str">
        <f aca="false">IFERROR(VLOOKUP(Orders!E83,Sales_Reps!$A$2:$E$31,3,FALSE()),"Not Found")</f>
        <v>East</v>
      </c>
      <c r="G83" s="46" t="n">
        <f aca="false">IFERROR(VLOOKUP(Orders!D83,Products!$A$2:$F$61,4,FALSE()),"")</f>
        <v>1886</v>
      </c>
      <c r="H83" s="47" t="n">
        <f aca="false">IF(G83="","",(Orders!G83-G83)/Orders!G83)</f>
        <v>0.403164556962025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</row>
    <row r="84" customFormat="false" ht="15" hidden="false" customHeight="false" outlineLevel="0" collapsed="false">
      <c r="A84" s="46" t="str">
        <f aca="false">Orders!A84</f>
        <v>ORD-00083</v>
      </c>
      <c r="B84" s="46" t="str">
        <f aca="false">PROPER(TRIM(Orders!K84))</f>
        <v>Hyderabad</v>
      </c>
      <c r="C84" s="46" t="str">
        <f aca="false">IFERROR(VLOOKUP(Orders!D84,Products!$A$2:$F$61,3,FALSE()),"Not Found")</f>
        <v>Apparel</v>
      </c>
      <c r="D84" s="46" t="str">
        <f aca="false">IFERROR(VLOOKUP(Orders!C84,Customers!$A$2:$F$301,5,FALSE()),"Not Found")</f>
        <v>SMB</v>
      </c>
      <c r="E84" s="46" t="n">
        <f aca="false">IFERROR(VLOOKUP(Orders!C84,Customers!$A$2:$F$301,3,FALSE()),"Not Found")</f>
        <v>36</v>
      </c>
      <c r="F84" s="46" t="str">
        <f aca="false">IFERROR(VLOOKUP(Orders!E84,Sales_Reps!$A$2:$E$31,3,FALSE()),"Not Found")</f>
        <v>North</v>
      </c>
      <c r="G84" s="46" t="n">
        <f aca="false">IFERROR(VLOOKUP(Orders!D84,Products!$A$2:$F$61,4,FALSE()),"")</f>
        <v>1173</v>
      </c>
      <c r="H84" s="47" t="n">
        <f aca="false">IF(G84="","",(Orders!G84-G84)/Orders!G84)</f>
        <v>0.527016129032258</v>
      </c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</row>
    <row r="85" customFormat="false" ht="15" hidden="false" customHeight="false" outlineLevel="0" collapsed="false">
      <c r="A85" s="46" t="str">
        <f aca="false">Orders!A85</f>
        <v>ORD-00084</v>
      </c>
      <c r="B85" s="46" t="str">
        <f aca="false">PROPER(TRIM(Orders!K85))</f>
        <v>Delhi</v>
      </c>
      <c r="C85" s="46" t="str">
        <f aca="false">IFERROR(VLOOKUP(Orders!D85,Products!$A$2:$F$61,3,FALSE()),"Not Found")</f>
        <v>Electronics</v>
      </c>
      <c r="D85" s="46" t="str">
        <f aca="false">IFERROR(VLOOKUP(Orders!C85,Customers!$A$2:$F$301,5,FALSE()),"Not Found")</f>
        <v>Retail</v>
      </c>
      <c r="E85" s="46" t="n">
        <f aca="false">IFERROR(VLOOKUP(Orders!C85,Customers!$A$2:$F$301,3,FALSE()),"Not Found")</f>
        <v>31</v>
      </c>
      <c r="F85" s="46" t="str">
        <f aca="false">IFERROR(VLOOKUP(Orders!E85,Sales_Reps!$A$2:$E$31,3,FALSE()),"Not Found")</f>
        <v>West</v>
      </c>
      <c r="G85" s="46" t="n">
        <f aca="false">IFERROR(VLOOKUP(Orders!D85,Products!$A$2:$F$61,4,FALSE()),"")</f>
        <v>1259</v>
      </c>
      <c r="H85" s="47" t="n">
        <f aca="false">IF(G85="","",(Orders!G85-G85)/Orders!G85)</f>
        <v>0.526691729323308</v>
      </c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</row>
    <row r="86" customFormat="false" ht="15" hidden="false" customHeight="false" outlineLevel="0" collapsed="false">
      <c r="A86" s="46" t="str">
        <f aca="false">Orders!A86</f>
        <v>ORD-00085</v>
      </c>
      <c r="B86" s="46" t="str">
        <f aca="false">PROPER(TRIM(Orders!K86))</f>
        <v>Hyderabad</v>
      </c>
      <c r="C86" s="46" t="str">
        <f aca="false">IFERROR(VLOOKUP(Orders!D86,Products!$A$2:$F$61,3,FALSE()),"Not Found")</f>
        <v>Beauty</v>
      </c>
      <c r="D86" s="46" t="str">
        <f aca="false">IFERROR(VLOOKUP(Orders!C86,Customers!$A$2:$F$301,5,FALSE()),"Not Found")</f>
        <v>Retail</v>
      </c>
      <c r="E86" s="46" t="n">
        <f aca="false">IFERROR(VLOOKUP(Orders!C86,Customers!$A$2:$F$301,3,FALSE()),"Not Found")</f>
        <v>28</v>
      </c>
      <c r="F86" s="46" t="str">
        <f aca="false">IFERROR(VLOOKUP(Orders!E86,Sales_Reps!$A$2:$E$31,3,FALSE()),"Not Found")</f>
        <v>South</v>
      </c>
      <c r="G86" s="46" t="n">
        <f aca="false">IFERROR(VLOOKUP(Orders!D86,Products!$A$2:$F$61,4,FALSE()),"")</f>
        <v>1626</v>
      </c>
      <c r="H86" s="47" t="n">
        <f aca="false">IF(G86="","",(Orders!G86-G86)/Orders!G86)</f>
        <v>0.46158940397351</v>
      </c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</row>
    <row r="87" customFormat="false" ht="15" hidden="false" customHeight="false" outlineLevel="0" collapsed="false">
      <c r="A87" s="46" t="str">
        <f aca="false">Orders!A87</f>
        <v>ORD-00086</v>
      </c>
      <c r="B87" s="46" t="str">
        <f aca="false">PROPER(TRIM(Orders!K87))</f>
        <v>Pune</v>
      </c>
      <c r="C87" s="46" t="str">
        <f aca="false">IFERROR(VLOOKUP(Orders!D87,Products!$A$2:$F$61,3,FALSE()),"Not Found")</f>
        <v>Apparel</v>
      </c>
      <c r="D87" s="46" t="str">
        <f aca="false">IFERROR(VLOOKUP(Orders!C87,Customers!$A$2:$F$301,5,FALSE()),"Not Found")</f>
        <v>SMB</v>
      </c>
      <c r="E87" s="46" t="n">
        <f aca="false">IFERROR(VLOOKUP(Orders!C87,Customers!$A$2:$F$301,3,FALSE()),"Not Found")</f>
        <v>44</v>
      </c>
      <c r="F87" s="46" t="str">
        <f aca="false">IFERROR(VLOOKUP(Orders!E87,Sales_Reps!$A$2:$E$31,3,FALSE()),"Not Found")</f>
        <v>West</v>
      </c>
      <c r="G87" s="46" t="n">
        <f aca="false">IFERROR(VLOOKUP(Orders!D87,Products!$A$2:$F$61,4,FALSE()),"")</f>
        <v>396</v>
      </c>
      <c r="H87" s="47" t="n">
        <f aca="false">IF(G87="","",(Orders!G87-G87)/Orders!G87)</f>
        <v>0.361290322580645</v>
      </c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</row>
    <row r="88" customFormat="false" ht="15" hidden="false" customHeight="false" outlineLevel="0" collapsed="false">
      <c r="A88" s="46" t="str">
        <f aca="false">Orders!A88</f>
        <v>ORD-00087</v>
      </c>
      <c r="B88" s="46" t="str">
        <f aca="false">PROPER(TRIM(Orders!K88))</f>
        <v>Chennai</v>
      </c>
      <c r="C88" s="46" t="str">
        <f aca="false">IFERROR(VLOOKUP(Orders!D88,Products!$A$2:$F$61,3,FALSE()),"Not Found")</f>
        <v>Sports</v>
      </c>
      <c r="D88" s="46" t="str">
        <f aca="false">IFERROR(VLOOKUP(Orders!C88,Customers!$A$2:$F$301,5,FALSE()),"Not Found")</f>
        <v>Retail</v>
      </c>
      <c r="E88" s="46" t="n">
        <f aca="false">IFERROR(VLOOKUP(Orders!C88,Customers!$A$2:$F$301,3,FALSE()),"Not Found")</f>
        <v>28</v>
      </c>
      <c r="F88" s="46" t="str">
        <f aca="false">IFERROR(VLOOKUP(Orders!E88,Sales_Reps!$A$2:$E$31,3,FALSE()),"Not Found")</f>
        <v>West</v>
      </c>
      <c r="G88" s="46" t="n">
        <f aca="false">IFERROR(VLOOKUP(Orders!D88,Products!$A$2:$F$61,4,FALSE()),"")</f>
        <v>302</v>
      </c>
      <c r="H88" s="47" t="n">
        <f aca="false">IF(G88="","",(Orders!G88-G88)/Orders!G88)</f>
        <v>0.357446808510638</v>
      </c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</row>
    <row r="89" customFormat="false" ht="15" hidden="false" customHeight="false" outlineLevel="0" collapsed="false">
      <c r="A89" s="46" t="str">
        <f aca="false">Orders!A89</f>
        <v>ORD-00088</v>
      </c>
      <c r="B89" s="46" t="str">
        <f aca="false">PROPER(TRIM(Orders!K89))</f>
        <v>Pune</v>
      </c>
      <c r="C89" s="46" t="str">
        <f aca="false">IFERROR(VLOOKUP(Orders!D89,Products!$A$2:$F$61,3,FALSE()),"Not Found")</f>
        <v>Electronics</v>
      </c>
      <c r="D89" s="46" t="str">
        <f aca="false">IFERROR(VLOOKUP(Orders!C89,Customers!$A$2:$F$301,5,FALSE()),"Not Found")</f>
        <v>Retail</v>
      </c>
      <c r="E89" s="46" t="n">
        <f aca="false">IFERROR(VLOOKUP(Orders!C89,Customers!$A$2:$F$301,3,FALSE()),"Not Found")</f>
        <v>50</v>
      </c>
      <c r="F89" s="46" t="str">
        <f aca="false">IFERROR(VLOOKUP(Orders!E89,Sales_Reps!$A$2:$E$31,3,FALSE()),"Not Found")</f>
        <v>South</v>
      </c>
      <c r="G89" s="46" t="n">
        <f aca="false">IFERROR(VLOOKUP(Orders!D89,Products!$A$2:$F$61,4,FALSE()),"")</f>
        <v>861</v>
      </c>
      <c r="H89" s="47" t="n">
        <f aca="false">IF(G89="","",(Orders!G89-G89)/Orders!G89)</f>
        <v>0.397902097902098</v>
      </c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</row>
    <row r="90" customFormat="false" ht="15" hidden="false" customHeight="false" outlineLevel="0" collapsed="false">
      <c r="A90" s="46" t="str">
        <f aca="false">Orders!A90</f>
        <v>ORD-00089</v>
      </c>
      <c r="B90" s="46" t="str">
        <f aca="false">PROPER(TRIM(Orders!K90))</f>
        <v>Bengaluru</v>
      </c>
      <c r="C90" s="46" t="str">
        <f aca="false">IFERROR(VLOOKUP(Orders!D90,Products!$A$2:$F$61,3,FALSE()),"Not Found")</f>
        <v>Apparel</v>
      </c>
      <c r="D90" s="46" t="str">
        <f aca="false">IFERROR(VLOOKUP(Orders!C90,Customers!$A$2:$F$301,5,FALSE()),"Not Found")</f>
        <v>Corporate</v>
      </c>
      <c r="E90" s="46" t="n">
        <f aca="false">IFERROR(VLOOKUP(Orders!C90,Customers!$A$2:$F$301,3,FALSE()),"Not Found")</f>
        <v>59</v>
      </c>
      <c r="F90" s="46" t="str">
        <f aca="false">IFERROR(VLOOKUP(Orders!E90,Sales_Reps!$A$2:$E$31,3,FALSE()),"Not Found")</f>
        <v>North</v>
      </c>
      <c r="G90" s="46" t="n">
        <f aca="false">IFERROR(VLOOKUP(Orders!D90,Products!$A$2:$F$61,4,FALSE()),"")</f>
        <v>396</v>
      </c>
      <c r="H90" s="47" t="n">
        <f aca="false">IF(G90="","",(Orders!G90-G90)/Orders!G90)</f>
        <v>0.361290322580645</v>
      </c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</row>
    <row r="91" customFormat="false" ht="15" hidden="false" customHeight="false" outlineLevel="0" collapsed="false">
      <c r="A91" s="46" t="str">
        <f aca="false">Orders!A91</f>
        <v>ORD-00090</v>
      </c>
      <c r="B91" s="46" t="str">
        <f aca="false">PROPER(TRIM(Orders!K91))</f>
        <v>Hyderabad</v>
      </c>
      <c r="C91" s="46" t="str">
        <f aca="false">IFERROR(VLOOKUP(Orders!D91,Products!$A$2:$F$61,3,FALSE()),"Not Found")</f>
        <v>Electronics</v>
      </c>
      <c r="D91" s="46" t="str">
        <f aca="false">IFERROR(VLOOKUP(Orders!C91,Customers!$A$2:$F$301,5,FALSE()),"Not Found")</f>
        <v>SMB</v>
      </c>
      <c r="E91" s="46" t="n">
        <f aca="false">IFERROR(VLOOKUP(Orders!C91,Customers!$A$2:$F$301,3,FALSE()),"Not Found")</f>
        <v>65</v>
      </c>
      <c r="F91" s="46" t="str">
        <f aca="false">IFERROR(VLOOKUP(Orders!E91,Sales_Reps!$A$2:$E$31,3,FALSE()),"Not Found")</f>
        <v>South</v>
      </c>
      <c r="G91" s="46" t="n">
        <f aca="false">IFERROR(VLOOKUP(Orders!D91,Products!$A$2:$F$61,4,FALSE()),"")</f>
        <v>1665</v>
      </c>
      <c r="H91" s="47" t="n">
        <f aca="false">IF(G91="","",(Orders!G91-G91)/Orders!G91)</f>
        <v>0.533613445378151</v>
      </c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</row>
    <row r="92" customFormat="false" ht="15" hidden="false" customHeight="false" outlineLevel="0" collapsed="false">
      <c r="A92" s="46" t="str">
        <f aca="false">Orders!A92</f>
        <v>ORD-00091</v>
      </c>
      <c r="B92" s="46" t="str">
        <f aca="false">PROPER(TRIM(Orders!K92))</f>
        <v>Hyderabad</v>
      </c>
      <c r="C92" s="46" t="str">
        <f aca="false">IFERROR(VLOOKUP(Orders!D92,Products!$A$2:$F$61,3,FALSE()),"Not Found")</f>
        <v>Grocery</v>
      </c>
      <c r="D92" s="46" t="str">
        <f aca="false">IFERROR(VLOOKUP(Orders!C92,Customers!$A$2:$F$301,5,FALSE()),"Not Found")</f>
        <v>Corporate</v>
      </c>
      <c r="E92" s="46" t="n">
        <f aca="false">IFERROR(VLOOKUP(Orders!C92,Customers!$A$2:$F$301,3,FALSE()),"Not Found")</f>
        <v>46</v>
      </c>
      <c r="F92" s="46" t="str">
        <f aca="false">IFERROR(VLOOKUP(Orders!E92,Sales_Reps!$A$2:$E$31,3,FALSE()),"Not Found")</f>
        <v>South</v>
      </c>
      <c r="G92" s="46" t="n">
        <f aca="false">IFERROR(VLOOKUP(Orders!D92,Products!$A$2:$F$61,4,FALSE()),"")</f>
        <v>1412</v>
      </c>
      <c r="H92" s="47" t="n">
        <f aca="false">IF(G92="","",(Orders!G92-G92)/Orders!G92)</f>
        <v>0.377973568281938</v>
      </c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</row>
    <row r="93" customFormat="false" ht="15" hidden="false" customHeight="false" outlineLevel="0" collapsed="false">
      <c r="A93" s="46" t="str">
        <f aca="false">Orders!A93</f>
        <v>ORD-00092</v>
      </c>
      <c r="B93" s="46" t="str">
        <f aca="false">PROPER(TRIM(Orders!K93))</f>
        <v>Mumbai</v>
      </c>
      <c r="C93" s="46" t="str">
        <f aca="false">IFERROR(VLOOKUP(Orders!D93,Products!$A$2:$F$61,3,FALSE()),"Not Found")</f>
        <v>Apparel</v>
      </c>
      <c r="D93" s="46" t="str">
        <f aca="false">IFERROR(VLOOKUP(Orders!C93,Customers!$A$2:$F$301,5,FALSE()),"Not Found")</f>
        <v>Retail</v>
      </c>
      <c r="E93" s="46" t="n">
        <f aca="false">IFERROR(VLOOKUP(Orders!C93,Customers!$A$2:$F$301,3,FALSE()),"Not Found")</f>
        <v>49</v>
      </c>
      <c r="F93" s="46" t="str">
        <f aca="false">IFERROR(VLOOKUP(Orders!E93,Sales_Reps!$A$2:$E$31,3,FALSE()),"Not Found")</f>
        <v>South</v>
      </c>
      <c r="G93" s="46" t="n">
        <f aca="false">IFERROR(VLOOKUP(Orders!D93,Products!$A$2:$F$61,4,FALSE()),"")</f>
        <v>1962</v>
      </c>
      <c r="H93" s="47" t="n">
        <f aca="false">IF(G93="","",(Orders!G93-G93)/Orders!G93)</f>
        <v>0.278676470588235</v>
      </c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</row>
    <row r="94" customFormat="false" ht="15" hidden="false" customHeight="false" outlineLevel="0" collapsed="false">
      <c r="A94" s="46" t="str">
        <f aca="false">Orders!A94</f>
        <v>ORD-00093</v>
      </c>
      <c r="B94" s="46" t="str">
        <f aca="false">PROPER(TRIM(Orders!K94))</f>
        <v>Chennai</v>
      </c>
      <c r="C94" s="46" t="str">
        <f aca="false">IFERROR(VLOOKUP(Orders!D94,Products!$A$2:$F$61,3,FALSE()),"Not Found")</f>
        <v>Grocery</v>
      </c>
      <c r="D94" s="46" t="str">
        <f aca="false">IFERROR(VLOOKUP(Orders!C94,Customers!$A$2:$F$301,5,FALSE()),"Not Found")</f>
        <v>Retail</v>
      </c>
      <c r="E94" s="46" t="n">
        <f aca="false">IFERROR(VLOOKUP(Orders!C94,Customers!$A$2:$F$301,3,FALSE()),"Not Found")</f>
        <v>38</v>
      </c>
      <c r="F94" s="46" t="str">
        <f aca="false">IFERROR(VLOOKUP(Orders!E94,Sales_Reps!$A$2:$E$31,3,FALSE()),"Not Found")</f>
        <v>North</v>
      </c>
      <c r="G94" s="46" t="n">
        <f aca="false">IFERROR(VLOOKUP(Orders!D94,Products!$A$2:$F$61,4,FALSE()),"")</f>
        <v>1010</v>
      </c>
      <c r="H94" s="47" t="n">
        <f aca="false">IF(G94="","",(Orders!G94-G94)/Orders!G94)</f>
        <v>0.542986425339367</v>
      </c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</row>
    <row r="95" customFormat="false" ht="15" hidden="false" customHeight="false" outlineLevel="0" collapsed="false">
      <c r="A95" s="46" t="str">
        <f aca="false">Orders!A95</f>
        <v>ORD-00094</v>
      </c>
      <c r="B95" s="46" t="str">
        <f aca="false">PROPER(TRIM(Orders!K95))</f>
        <v>Pune</v>
      </c>
      <c r="C95" s="46" t="str">
        <f aca="false">IFERROR(VLOOKUP(Orders!D95,Products!$A$2:$F$61,3,FALSE()),"Not Found")</f>
        <v>Sports</v>
      </c>
      <c r="D95" s="46" t="str">
        <f aca="false">IFERROR(VLOOKUP(Orders!C95,Customers!$A$2:$F$301,5,FALSE()),"Not Found")</f>
        <v>Retail</v>
      </c>
      <c r="E95" s="46" t="n">
        <f aca="false">IFERROR(VLOOKUP(Orders!C95,Customers!$A$2:$F$301,3,FALSE()),"Not Found")</f>
        <v>25</v>
      </c>
      <c r="F95" s="46" t="str">
        <f aca="false">IFERROR(VLOOKUP(Orders!E95,Sales_Reps!$A$2:$E$31,3,FALSE()),"Not Found")</f>
        <v>West</v>
      </c>
      <c r="G95" s="46" t="n">
        <f aca="false">IFERROR(VLOOKUP(Orders!D95,Products!$A$2:$F$61,4,FALSE()),"")</f>
        <v>147</v>
      </c>
      <c r="H95" s="47" t="n">
        <f aca="false">IF(G95="","",(Orders!G95-G95)/Orders!G95)</f>
        <v>0.226315789473684</v>
      </c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</row>
    <row r="96" customFormat="false" ht="15" hidden="false" customHeight="false" outlineLevel="0" collapsed="false">
      <c r="A96" s="46" t="str">
        <f aca="false">Orders!A96</f>
        <v>ORD-00095</v>
      </c>
      <c r="B96" s="46" t="str">
        <f aca="false">PROPER(TRIM(Orders!K96))</f>
        <v>Chennai</v>
      </c>
      <c r="C96" s="46" t="str">
        <f aca="false">IFERROR(VLOOKUP(Orders!D96,Products!$A$2:$F$61,3,FALSE()),"Not Found")</f>
        <v>Beauty</v>
      </c>
      <c r="D96" s="46" t="str">
        <f aca="false">IFERROR(VLOOKUP(Orders!C96,Customers!$A$2:$F$301,5,FALSE()),"Not Found")</f>
        <v>Retail</v>
      </c>
      <c r="E96" s="46" t="n">
        <f aca="false">IFERROR(VLOOKUP(Orders!C96,Customers!$A$2:$F$301,3,FALSE()),"Not Found")</f>
        <v>26</v>
      </c>
      <c r="F96" s="46" t="str">
        <f aca="false">IFERROR(VLOOKUP(Orders!E96,Sales_Reps!$A$2:$E$31,3,FALSE()),"Not Found")</f>
        <v>West</v>
      </c>
      <c r="G96" s="46" t="n">
        <f aca="false">IFERROR(VLOOKUP(Orders!D96,Products!$A$2:$F$61,4,FALSE()),"")</f>
        <v>2237</v>
      </c>
      <c r="H96" s="47" t="n">
        <f aca="false">IF(G96="","",(Orders!G96-G96)/Orders!G96)</f>
        <v>0.561372549019608</v>
      </c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</row>
    <row r="97" customFormat="false" ht="15" hidden="false" customHeight="false" outlineLevel="0" collapsed="false">
      <c r="A97" s="46" t="str">
        <f aca="false">Orders!A97</f>
        <v>ORD-00096</v>
      </c>
      <c r="B97" s="46" t="str">
        <f aca="false">PROPER(TRIM(Orders!K97))</f>
        <v>Chennai</v>
      </c>
      <c r="C97" s="46" t="str">
        <f aca="false">IFERROR(VLOOKUP(Orders!D97,Products!$A$2:$F$61,3,FALSE()),"Not Found")</f>
        <v>Sports</v>
      </c>
      <c r="D97" s="46" t="str">
        <f aca="false">IFERROR(VLOOKUP(Orders!C97,Customers!$A$2:$F$301,5,FALSE()),"Not Found")</f>
        <v>Corporate</v>
      </c>
      <c r="E97" s="46" t="n">
        <f aca="false">IFERROR(VLOOKUP(Orders!C97,Customers!$A$2:$F$301,3,FALSE()),"Not Found")</f>
        <v>38</v>
      </c>
      <c r="F97" s="46" t="str">
        <f aca="false">IFERROR(VLOOKUP(Orders!E97,Sales_Reps!$A$2:$E$31,3,FALSE()),"Not Found")</f>
        <v>South</v>
      </c>
      <c r="G97" s="46" t="n">
        <f aca="false">IFERROR(VLOOKUP(Orders!D97,Products!$A$2:$F$61,4,FALSE()),"")</f>
        <v>516</v>
      </c>
      <c r="H97" s="47" t="n">
        <f aca="false">IF(G97="","",(Orders!G97-G97)/Orders!G97)</f>
        <v>0.489108910891089</v>
      </c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</row>
    <row r="98" customFormat="false" ht="15" hidden="false" customHeight="false" outlineLevel="0" collapsed="false">
      <c r="A98" s="46" t="str">
        <f aca="false">Orders!A98</f>
        <v>ORD-00097</v>
      </c>
      <c r="B98" s="46" t="str">
        <f aca="false">PROPER(TRIM(Orders!K98))</f>
        <v>Hyderabad</v>
      </c>
      <c r="C98" s="46" t="str">
        <f aca="false">IFERROR(VLOOKUP(Orders!D98,Products!$A$2:$F$61,3,FALSE()),"Not Found")</f>
        <v>Home</v>
      </c>
      <c r="D98" s="46" t="str">
        <f aca="false">IFERROR(VLOOKUP(Orders!C98,Customers!$A$2:$F$301,5,FALSE()),"Not Found")</f>
        <v>Retail</v>
      </c>
      <c r="E98" s="46" t="n">
        <f aca="false">IFERROR(VLOOKUP(Orders!C98,Customers!$A$2:$F$301,3,FALSE()),"Not Found")</f>
        <v>53</v>
      </c>
      <c r="F98" s="46" t="str">
        <f aca="false">IFERROR(VLOOKUP(Orders!E98,Sales_Reps!$A$2:$E$31,3,FALSE()),"Not Found")</f>
        <v>West</v>
      </c>
      <c r="G98" s="46" t="n">
        <f aca="false">IFERROR(VLOOKUP(Orders!D98,Products!$A$2:$F$61,4,FALSE()),"")</f>
        <v>2135</v>
      </c>
      <c r="H98" s="47" t="n">
        <f aca="false">IF(G98="","",(Orders!G98-G98)/Orders!G98)</f>
        <v>0.427613941018767</v>
      </c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</row>
    <row r="99" customFormat="false" ht="15" hidden="false" customHeight="false" outlineLevel="0" collapsed="false">
      <c r="A99" s="46" t="str">
        <f aca="false">Orders!A99</f>
        <v>ORD-00098</v>
      </c>
      <c r="B99" s="46" t="str">
        <f aca="false">PROPER(TRIM(Orders!K99))</f>
        <v>Chennai</v>
      </c>
      <c r="C99" s="46" t="str">
        <f aca="false">IFERROR(VLOOKUP(Orders!D99,Products!$A$2:$F$61,3,FALSE()),"Not Found")</f>
        <v>Electronics</v>
      </c>
      <c r="D99" s="46" t="str">
        <f aca="false">IFERROR(VLOOKUP(Orders!C99,Customers!$A$2:$F$301,5,FALSE()),"Not Found")</f>
        <v>Retail</v>
      </c>
      <c r="E99" s="46" t="n">
        <f aca="false">IFERROR(VLOOKUP(Orders!C99,Customers!$A$2:$F$301,3,FALSE()),"Not Found")</f>
        <v>41</v>
      </c>
      <c r="F99" s="46" t="str">
        <f aca="false">IFERROR(VLOOKUP(Orders!E99,Sales_Reps!$A$2:$E$31,3,FALSE()),"Not Found")</f>
        <v>West</v>
      </c>
      <c r="G99" s="46" t="n">
        <f aca="false">IFERROR(VLOOKUP(Orders!D99,Products!$A$2:$F$61,4,FALSE()),"")</f>
        <v>1052</v>
      </c>
      <c r="H99" s="47" t="n">
        <f aca="false">IF(G99="","",(Orders!G99-G99)/Orders!G99)</f>
        <v>0.595384615384615</v>
      </c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</row>
    <row r="100" customFormat="false" ht="15" hidden="false" customHeight="false" outlineLevel="0" collapsed="false">
      <c r="A100" s="46" t="str">
        <f aca="false">Orders!A100</f>
        <v>ORD-00099</v>
      </c>
      <c r="B100" s="46" t="str">
        <f aca="false">PROPER(TRIM(Orders!K100))</f>
        <v>Mumbai</v>
      </c>
      <c r="C100" s="46" t="str">
        <f aca="false">IFERROR(VLOOKUP(Orders!D100,Products!$A$2:$F$61,3,FALSE()),"Not Found")</f>
        <v>Grocery</v>
      </c>
      <c r="D100" s="46" t="str">
        <f aca="false">IFERROR(VLOOKUP(Orders!C100,Customers!$A$2:$F$301,5,FALSE()),"Not Found")</f>
        <v>SMB</v>
      </c>
      <c r="E100" s="46" t="n">
        <f aca="false">IFERROR(VLOOKUP(Orders!C100,Customers!$A$2:$F$301,3,FALSE()),"Not Found")</f>
        <v>22</v>
      </c>
      <c r="F100" s="46" t="str">
        <f aca="false">IFERROR(VLOOKUP(Orders!E100,Sales_Reps!$A$2:$E$31,3,FALSE()),"Not Found")</f>
        <v>North</v>
      </c>
      <c r="G100" s="46" t="n">
        <f aca="false">IFERROR(VLOOKUP(Orders!D100,Products!$A$2:$F$61,4,FALSE()),"")</f>
        <v>2911</v>
      </c>
      <c r="H100" s="47" t="n">
        <f aca="false">IF(G100="","",(Orders!G100-G100)/Orders!G100)</f>
        <v>0.283004926108374</v>
      </c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</row>
    <row r="101" customFormat="false" ht="15" hidden="false" customHeight="false" outlineLevel="0" collapsed="false">
      <c r="A101" s="46" t="str">
        <f aca="false">Orders!A101</f>
        <v>ORD-00100</v>
      </c>
      <c r="B101" s="46" t="str">
        <f aca="false">PROPER(TRIM(Orders!K101))</f>
        <v>Chennai</v>
      </c>
      <c r="C101" s="46" t="str">
        <f aca="false">IFERROR(VLOOKUP(Orders!D101,Products!$A$2:$F$61,3,FALSE()),"Not Found")</f>
        <v>Beauty</v>
      </c>
      <c r="D101" s="46" t="str">
        <f aca="false">IFERROR(VLOOKUP(Orders!C101,Customers!$A$2:$F$301,5,FALSE()),"Not Found")</f>
        <v>Retail</v>
      </c>
      <c r="E101" s="46" t="n">
        <f aca="false">IFERROR(VLOOKUP(Orders!C101,Customers!$A$2:$F$301,3,FALSE()),"Not Found")</f>
        <v>60</v>
      </c>
      <c r="F101" s="46" t="str">
        <f aca="false">IFERROR(VLOOKUP(Orders!E101,Sales_Reps!$A$2:$E$31,3,FALSE()),"Not Found")</f>
        <v>West</v>
      </c>
      <c r="G101" s="46" t="n">
        <f aca="false">IFERROR(VLOOKUP(Orders!D101,Products!$A$2:$F$61,4,FALSE()),"")</f>
        <v>2617</v>
      </c>
      <c r="H101" s="47" t="n">
        <f aca="false">IF(G101="","",(Orders!G101-G101)/Orders!G101)</f>
        <v>0.569572368421053</v>
      </c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</row>
    <row r="102" customFormat="false" ht="15" hidden="false" customHeight="false" outlineLevel="0" collapsed="false">
      <c r="A102" s="46" t="str">
        <f aca="false">Orders!A102</f>
        <v>ORD-00101</v>
      </c>
      <c r="B102" s="46" t="str">
        <f aca="false">PROPER(TRIM(Orders!K102))</f>
        <v>Pune</v>
      </c>
      <c r="C102" s="46" t="str">
        <f aca="false">IFERROR(VLOOKUP(Orders!D102,Products!$A$2:$F$61,3,FALSE()),"Not Found")</f>
        <v>Apparel</v>
      </c>
      <c r="D102" s="46" t="str">
        <f aca="false">IFERROR(VLOOKUP(Orders!C102,Customers!$A$2:$F$301,5,FALSE()),"Not Found")</f>
        <v>SMB</v>
      </c>
      <c r="E102" s="46" t="n">
        <f aca="false">IFERROR(VLOOKUP(Orders!C102,Customers!$A$2:$F$301,3,FALSE()),"Not Found")</f>
        <v>44</v>
      </c>
      <c r="F102" s="46" t="str">
        <f aca="false">IFERROR(VLOOKUP(Orders!E102,Sales_Reps!$A$2:$E$31,3,FALSE()),"Not Found")</f>
        <v>West</v>
      </c>
      <c r="G102" s="46" t="n">
        <f aca="false">IFERROR(VLOOKUP(Orders!D102,Products!$A$2:$F$61,4,FALSE()),"")</f>
        <v>1075</v>
      </c>
      <c r="H102" s="47" t="n">
        <f aca="false">IF(G102="","",(Orders!G102-G102)/Orders!G102)</f>
        <v>0.571713147410359</v>
      </c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</row>
    <row r="103" customFormat="false" ht="15" hidden="false" customHeight="false" outlineLevel="0" collapsed="false">
      <c r="A103" s="46" t="str">
        <f aca="false">Orders!A103</f>
        <v>ORD-00102</v>
      </c>
      <c r="B103" s="46" t="str">
        <f aca="false">PROPER(TRIM(Orders!K103))</f>
        <v>Delhi</v>
      </c>
      <c r="C103" s="46" t="str">
        <f aca="false">IFERROR(VLOOKUP(Orders!D103,Products!$A$2:$F$61,3,FALSE()),"Not Found")</f>
        <v>Home</v>
      </c>
      <c r="D103" s="46" t="str">
        <f aca="false">IFERROR(VLOOKUP(Orders!C103,Customers!$A$2:$F$301,5,FALSE()),"Not Found")</f>
        <v>SMB</v>
      </c>
      <c r="E103" s="46" t="n">
        <f aca="false">IFERROR(VLOOKUP(Orders!C103,Customers!$A$2:$F$301,3,FALSE()),"Not Found")</f>
        <v>38</v>
      </c>
      <c r="F103" s="46" t="str">
        <f aca="false">IFERROR(VLOOKUP(Orders!E103,Sales_Reps!$A$2:$E$31,3,FALSE()),"Not Found")</f>
        <v>West</v>
      </c>
      <c r="G103" s="46" t="n">
        <f aca="false">IFERROR(VLOOKUP(Orders!D103,Products!$A$2:$F$61,4,FALSE()),"")</f>
        <v>1556</v>
      </c>
      <c r="H103" s="47" t="n">
        <f aca="false">IF(G103="","",(Orders!G103-G103)/Orders!G103)</f>
        <v>0.521230769230769</v>
      </c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</row>
    <row r="104" customFormat="false" ht="15" hidden="false" customHeight="false" outlineLevel="0" collapsed="false">
      <c r="A104" s="46" t="str">
        <f aca="false">Orders!A104</f>
        <v>ORD-00103</v>
      </c>
      <c r="B104" s="46" t="str">
        <f aca="false">PROPER(TRIM(Orders!K104))</f>
        <v>Delhi</v>
      </c>
      <c r="C104" s="46" t="str">
        <f aca="false">IFERROR(VLOOKUP(Orders!D104,Products!$A$2:$F$61,3,FALSE()),"Not Found")</f>
        <v>Sports</v>
      </c>
      <c r="D104" s="46" t="str">
        <f aca="false">IFERROR(VLOOKUP(Orders!C104,Customers!$A$2:$F$301,5,FALSE()),"Not Found")</f>
        <v>SMB</v>
      </c>
      <c r="E104" s="46" t="n">
        <f aca="false">IFERROR(VLOOKUP(Orders!C104,Customers!$A$2:$F$301,3,FALSE()),"Not Found")</f>
        <v>28</v>
      </c>
      <c r="F104" s="46" t="str">
        <f aca="false">IFERROR(VLOOKUP(Orders!E104,Sales_Reps!$A$2:$E$31,3,FALSE()),"Not Found")</f>
        <v>North</v>
      </c>
      <c r="G104" s="46" t="n">
        <f aca="false">IFERROR(VLOOKUP(Orders!D104,Products!$A$2:$F$61,4,FALSE()),"")</f>
        <v>2265</v>
      </c>
      <c r="H104" s="47" t="n">
        <f aca="false">IF(G104="","",(Orders!G104-G104)/Orders!G104)</f>
        <v>0.581330868761553</v>
      </c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</row>
    <row r="105" customFormat="false" ht="15" hidden="false" customHeight="false" outlineLevel="0" collapsed="false">
      <c r="A105" s="46" t="str">
        <f aca="false">Orders!A105</f>
        <v>ORD-00104</v>
      </c>
      <c r="B105" s="46" t="str">
        <f aca="false">PROPER(TRIM(Orders!K105))</f>
        <v>Chennai</v>
      </c>
      <c r="C105" s="46" t="str">
        <f aca="false">IFERROR(VLOOKUP(Orders!D105,Products!$A$2:$F$61,3,FALSE()),"Not Found")</f>
        <v>Electronics</v>
      </c>
      <c r="D105" s="46" t="str">
        <f aca="false">IFERROR(VLOOKUP(Orders!C105,Customers!$A$2:$F$301,5,FALSE()),"Not Found")</f>
        <v>Corporate</v>
      </c>
      <c r="E105" s="46" t="n">
        <f aca="false">IFERROR(VLOOKUP(Orders!C105,Customers!$A$2:$F$301,3,FALSE()),"Not Found")</f>
        <v>51</v>
      </c>
      <c r="F105" s="46" t="str">
        <f aca="false">IFERROR(VLOOKUP(Orders!E105,Sales_Reps!$A$2:$E$31,3,FALSE()),"Not Found")</f>
        <v>East</v>
      </c>
      <c r="G105" s="46" t="n">
        <f aca="false">IFERROR(VLOOKUP(Orders!D105,Products!$A$2:$F$61,4,FALSE()),"")</f>
        <v>1665</v>
      </c>
      <c r="H105" s="47" t="n">
        <f aca="false">IF(G105="","",(Orders!G105-G105)/Orders!G105)</f>
        <v>0.533613445378151</v>
      </c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</row>
    <row r="106" customFormat="false" ht="15" hidden="false" customHeight="false" outlineLevel="0" collapsed="false">
      <c r="A106" s="46" t="str">
        <f aca="false">Orders!A106</f>
        <v>ORD-00105</v>
      </c>
      <c r="B106" s="46" t="str">
        <f aca="false">PROPER(TRIM(Orders!K106))</f>
        <v>Mumbai</v>
      </c>
      <c r="C106" s="46" t="str">
        <f aca="false">IFERROR(VLOOKUP(Orders!D106,Products!$A$2:$F$61,3,FALSE()),"Not Found")</f>
        <v>Electronics</v>
      </c>
      <c r="D106" s="46" t="str">
        <f aca="false">IFERROR(VLOOKUP(Orders!C106,Customers!$A$2:$F$301,5,FALSE()),"Not Found")</f>
        <v>SMB</v>
      </c>
      <c r="E106" s="46" t="n">
        <f aca="false">IFERROR(VLOOKUP(Orders!C106,Customers!$A$2:$F$301,3,FALSE()),"Not Found")</f>
        <v>22</v>
      </c>
      <c r="F106" s="46" t="str">
        <f aca="false">IFERROR(VLOOKUP(Orders!E106,Sales_Reps!$A$2:$E$31,3,FALSE()),"Not Found")</f>
        <v>North</v>
      </c>
      <c r="G106" s="46" t="n">
        <f aca="false">IFERROR(VLOOKUP(Orders!D106,Products!$A$2:$F$61,4,FALSE()),"")</f>
        <v>2405</v>
      </c>
      <c r="H106" s="47" t="n">
        <f aca="false">IF(G106="","",(Orders!G106-G106)/Orders!G106)</f>
        <v>0.548780487804878</v>
      </c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</row>
    <row r="107" customFormat="false" ht="15" hidden="false" customHeight="false" outlineLevel="0" collapsed="false">
      <c r="A107" s="46" t="str">
        <f aca="false">Orders!A107</f>
        <v>ORD-00106</v>
      </c>
      <c r="B107" s="46" t="str">
        <f aca="false">PROPER(TRIM(Orders!K107))</f>
        <v>Mumbai</v>
      </c>
      <c r="C107" s="46" t="str">
        <f aca="false">IFERROR(VLOOKUP(Orders!D107,Products!$A$2:$F$61,3,FALSE()),"Not Found")</f>
        <v>Grocery</v>
      </c>
      <c r="D107" s="46" t="str">
        <f aca="false">IFERROR(VLOOKUP(Orders!C107,Customers!$A$2:$F$301,5,FALSE()),"Not Found")</f>
        <v>Retail</v>
      </c>
      <c r="E107" s="46" t="n">
        <f aca="false">IFERROR(VLOOKUP(Orders!C107,Customers!$A$2:$F$301,3,FALSE()),"Not Found")</f>
        <v>25</v>
      </c>
      <c r="F107" s="46" t="str">
        <f aca="false">IFERROR(VLOOKUP(Orders!E107,Sales_Reps!$A$2:$E$31,3,FALSE()),"Not Found")</f>
        <v>East</v>
      </c>
      <c r="G107" s="46" t="n">
        <f aca="false">IFERROR(VLOOKUP(Orders!D107,Products!$A$2:$F$61,4,FALSE()),"")</f>
        <v>1182</v>
      </c>
      <c r="H107" s="47" t="n">
        <f aca="false">IF(G107="","",(Orders!G107-G107)/Orders!G107)</f>
        <v>0.503361344537815</v>
      </c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</row>
    <row r="108" customFormat="false" ht="15" hidden="false" customHeight="false" outlineLevel="0" collapsed="false">
      <c r="A108" s="46" t="str">
        <f aca="false">Orders!A108</f>
        <v>ORD-00107</v>
      </c>
      <c r="B108" s="46" t="str">
        <f aca="false">PROPER(TRIM(Orders!K108))</f>
        <v>Chennai</v>
      </c>
      <c r="C108" s="46" t="str">
        <f aca="false">IFERROR(VLOOKUP(Orders!D108,Products!$A$2:$F$61,3,FALSE()),"Not Found")</f>
        <v>Sports</v>
      </c>
      <c r="D108" s="46" t="str">
        <f aca="false">IFERROR(VLOOKUP(Orders!C108,Customers!$A$2:$F$301,5,FALSE()),"Not Found")</f>
        <v>SMB</v>
      </c>
      <c r="E108" s="46" t="n">
        <f aca="false">IFERROR(VLOOKUP(Orders!C108,Customers!$A$2:$F$301,3,FALSE()),"Not Found")</f>
        <v>62</v>
      </c>
      <c r="F108" s="46" t="str">
        <f aca="false">IFERROR(VLOOKUP(Orders!E108,Sales_Reps!$A$2:$E$31,3,FALSE()),"Not Found")</f>
        <v>West</v>
      </c>
      <c r="G108" s="46" t="n">
        <f aca="false">IFERROR(VLOOKUP(Orders!D108,Products!$A$2:$F$61,4,FALSE()),"")</f>
        <v>516</v>
      </c>
      <c r="H108" s="47" t="n">
        <f aca="false">IF(G108="","",(Orders!G108-G108)/Orders!G108)</f>
        <v>0.489108910891089</v>
      </c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</row>
    <row r="109" customFormat="false" ht="15" hidden="false" customHeight="false" outlineLevel="0" collapsed="false">
      <c r="A109" s="46" t="str">
        <f aca="false">Orders!A109</f>
        <v>ORD-00108</v>
      </c>
      <c r="B109" s="46" t="str">
        <f aca="false">PROPER(TRIM(Orders!K109))</f>
        <v>Mumbai</v>
      </c>
      <c r="C109" s="46" t="str">
        <f aca="false">IFERROR(VLOOKUP(Orders!D109,Products!$A$2:$F$61,3,FALSE()),"Not Found")</f>
        <v>Grocery</v>
      </c>
      <c r="D109" s="46" t="str">
        <f aca="false">IFERROR(VLOOKUP(Orders!C109,Customers!$A$2:$F$301,5,FALSE()),"Not Found")</f>
        <v>Retail</v>
      </c>
      <c r="E109" s="46" t="n">
        <f aca="false">IFERROR(VLOOKUP(Orders!C109,Customers!$A$2:$F$301,3,FALSE()),"Not Found")</f>
        <v>42</v>
      </c>
      <c r="F109" s="46" t="str">
        <f aca="false">IFERROR(VLOOKUP(Orders!E109,Sales_Reps!$A$2:$E$31,3,FALSE()),"Not Found")</f>
        <v>West</v>
      </c>
      <c r="G109" s="46" t="n">
        <f aca="false">IFERROR(VLOOKUP(Orders!D109,Products!$A$2:$F$61,4,FALSE()),"")</f>
        <v>2214</v>
      </c>
      <c r="H109" s="47" t="n">
        <f aca="false">IF(G109="","",(Orders!G109-G109)/Orders!G109)</f>
        <v>0.395081967213115</v>
      </c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</row>
    <row r="110" customFormat="false" ht="15" hidden="false" customHeight="false" outlineLevel="0" collapsed="false">
      <c r="A110" s="46" t="str">
        <f aca="false">Orders!A110</f>
        <v>ORD-00109</v>
      </c>
      <c r="B110" s="46" t="str">
        <f aca="false">PROPER(TRIM(Orders!K110))</f>
        <v>Pune</v>
      </c>
      <c r="C110" s="46" t="str">
        <f aca="false">IFERROR(VLOOKUP(Orders!D110,Products!$A$2:$F$61,3,FALSE()),"Not Found")</f>
        <v>Grocery</v>
      </c>
      <c r="D110" s="46" t="str">
        <f aca="false">IFERROR(VLOOKUP(Orders!C110,Customers!$A$2:$F$301,5,FALSE()),"Not Found")</f>
        <v>Retail</v>
      </c>
      <c r="E110" s="46" t="n">
        <f aca="false">IFERROR(VLOOKUP(Orders!C110,Customers!$A$2:$F$301,3,FALSE()),"Not Found")</f>
        <v>43</v>
      </c>
      <c r="F110" s="46" t="str">
        <f aca="false">IFERROR(VLOOKUP(Orders!E110,Sales_Reps!$A$2:$E$31,3,FALSE()),"Not Found")</f>
        <v>South</v>
      </c>
      <c r="G110" s="46" t="n">
        <f aca="false">IFERROR(VLOOKUP(Orders!D110,Products!$A$2:$F$61,4,FALSE()),"")</f>
        <v>2027</v>
      </c>
      <c r="H110" s="47" t="n">
        <f aca="false">IF(G110="","",(Orders!G110-G110)/Orders!G110)</f>
        <v>0.501965601965602</v>
      </c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</row>
    <row r="111" customFormat="false" ht="15" hidden="false" customHeight="false" outlineLevel="0" collapsed="false">
      <c r="A111" s="46" t="str">
        <f aca="false">Orders!A111</f>
        <v>ORD-00110</v>
      </c>
      <c r="B111" s="46" t="str">
        <f aca="false">PROPER(TRIM(Orders!K111))</f>
        <v>Hyderabad</v>
      </c>
      <c r="C111" s="46" t="str">
        <f aca="false">IFERROR(VLOOKUP(Orders!D111,Products!$A$2:$F$61,3,FALSE()),"Not Found")</f>
        <v>Home</v>
      </c>
      <c r="D111" s="46" t="str">
        <f aca="false">IFERROR(VLOOKUP(Orders!C111,Customers!$A$2:$F$301,5,FALSE()),"Not Found")</f>
        <v>Corporate</v>
      </c>
      <c r="E111" s="46" t="n">
        <f aca="false">IFERROR(VLOOKUP(Orders!C111,Customers!$A$2:$F$301,3,FALSE()),"Not Found")</f>
        <v>56</v>
      </c>
      <c r="F111" s="46" t="str">
        <f aca="false">IFERROR(VLOOKUP(Orders!E111,Sales_Reps!$A$2:$E$31,3,FALSE()),"Not Found")</f>
        <v>West</v>
      </c>
      <c r="G111" s="46" t="n">
        <f aca="false">IFERROR(VLOOKUP(Orders!D111,Products!$A$2:$F$61,4,FALSE()),"")</f>
        <v>329</v>
      </c>
      <c r="H111" s="47" t="n">
        <f aca="false">IF(G111="","",(Orders!G111-G111)/Orders!G111)</f>
        <v>0.501515151515152</v>
      </c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</row>
    <row r="112" customFormat="false" ht="15" hidden="false" customHeight="false" outlineLevel="0" collapsed="false">
      <c r="A112" s="46" t="str">
        <f aca="false">Orders!A112</f>
        <v>ORD-00111</v>
      </c>
      <c r="B112" s="46" t="str">
        <f aca="false">PROPER(TRIM(Orders!K112))</f>
        <v>Bengaluru</v>
      </c>
      <c r="C112" s="46" t="str">
        <f aca="false">IFERROR(VLOOKUP(Orders!D112,Products!$A$2:$F$61,3,FALSE()),"Not Found")</f>
        <v>Home</v>
      </c>
      <c r="D112" s="46" t="str">
        <f aca="false">IFERROR(VLOOKUP(Orders!C112,Customers!$A$2:$F$301,5,FALSE()),"Not Found")</f>
        <v>SMB</v>
      </c>
      <c r="E112" s="46" t="n">
        <f aca="false">IFERROR(VLOOKUP(Orders!C112,Customers!$A$2:$F$301,3,FALSE()),"Not Found")</f>
        <v>44</v>
      </c>
      <c r="F112" s="46" t="str">
        <f aca="false">IFERROR(VLOOKUP(Orders!E112,Sales_Reps!$A$2:$E$31,3,FALSE()),"Not Found")</f>
        <v>West</v>
      </c>
      <c r="G112" s="46" t="n">
        <f aca="false">IFERROR(VLOOKUP(Orders!D112,Products!$A$2:$F$61,4,FALSE()),"")</f>
        <v>519</v>
      </c>
      <c r="H112" s="47" t="n">
        <f aca="false">IF(G112="","",(Orders!G112-G112)/Orders!G112)</f>
        <v>0.519444444444445</v>
      </c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</row>
    <row r="113" customFormat="false" ht="15" hidden="false" customHeight="false" outlineLevel="0" collapsed="false">
      <c r="A113" s="46" t="str">
        <f aca="false">Orders!A113</f>
        <v>ORD-00112</v>
      </c>
      <c r="B113" s="46" t="str">
        <f aca="false">PROPER(TRIM(Orders!K113))</f>
        <v>Chennai</v>
      </c>
      <c r="C113" s="46" t="str">
        <f aca="false">IFERROR(VLOOKUP(Orders!D113,Products!$A$2:$F$61,3,FALSE()),"Not Found")</f>
        <v>Apparel</v>
      </c>
      <c r="D113" s="46" t="str">
        <f aca="false">IFERROR(VLOOKUP(Orders!C113,Customers!$A$2:$F$301,5,FALSE()),"Not Found")</f>
        <v>SMB</v>
      </c>
      <c r="E113" s="46" t="n">
        <f aca="false">IFERROR(VLOOKUP(Orders!C113,Customers!$A$2:$F$301,3,FALSE()),"Not Found")</f>
        <v>53</v>
      </c>
      <c r="F113" s="46" t="str">
        <f aca="false">IFERROR(VLOOKUP(Orders!E113,Sales_Reps!$A$2:$E$31,3,FALSE()),"Not Found")</f>
        <v>North</v>
      </c>
      <c r="G113" s="46" t="n">
        <f aca="false">IFERROR(VLOOKUP(Orders!D113,Products!$A$2:$F$61,4,FALSE()),"")</f>
        <v>391</v>
      </c>
      <c r="H113" s="47" t="n">
        <f aca="false">IF(G113="","",(Orders!G113-G113)/Orders!G113)</f>
        <v>0.523170731707317</v>
      </c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</row>
    <row r="114" customFormat="false" ht="15" hidden="false" customHeight="false" outlineLevel="0" collapsed="false">
      <c r="A114" s="46" t="str">
        <f aca="false">Orders!A114</f>
        <v>ORD-00113</v>
      </c>
      <c r="B114" s="46" t="str">
        <f aca="false">PROPER(TRIM(Orders!K114))</f>
        <v>Delhi</v>
      </c>
      <c r="C114" s="46" t="str">
        <f aca="false">IFERROR(VLOOKUP(Orders!D114,Products!$A$2:$F$61,3,FALSE()),"Not Found")</f>
        <v>Beauty</v>
      </c>
      <c r="D114" s="46" t="str">
        <f aca="false">IFERROR(VLOOKUP(Orders!C114,Customers!$A$2:$F$301,5,FALSE()),"Not Found")</f>
        <v>SMB</v>
      </c>
      <c r="E114" s="46" t="n">
        <f aca="false">IFERROR(VLOOKUP(Orders!C114,Customers!$A$2:$F$301,3,FALSE()),"Not Found")</f>
        <v>27</v>
      </c>
      <c r="F114" s="46" t="str">
        <f aca="false">IFERROR(VLOOKUP(Orders!E114,Sales_Reps!$A$2:$E$31,3,FALSE()),"Not Found")</f>
        <v>West</v>
      </c>
      <c r="G114" s="46" t="n">
        <f aca="false">IFERROR(VLOOKUP(Orders!D114,Products!$A$2:$F$61,4,FALSE()),"")</f>
        <v>675</v>
      </c>
      <c r="H114" s="47" t="n">
        <f aca="false">IF(G114="","",(Orders!G114-G114)/Orders!G114)</f>
        <v>0.296875</v>
      </c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</row>
    <row r="115" customFormat="false" ht="15" hidden="false" customHeight="false" outlineLevel="0" collapsed="false">
      <c r="A115" s="46" t="str">
        <f aca="false">Orders!A115</f>
        <v>ORD-00114</v>
      </c>
      <c r="B115" s="46" t="str">
        <f aca="false">PROPER(TRIM(Orders!K115))</f>
        <v>Delhi</v>
      </c>
      <c r="C115" s="46" t="str">
        <f aca="false">IFERROR(VLOOKUP(Orders!D115,Products!$A$2:$F$61,3,FALSE()),"Not Found")</f>
        <v>Electronics</v>
      </c>
      <c r="D115" s="46" t="str">
        <f aca="false">IFERROR(VLOOKUP(Orders!C115,Customers!$A$2:$F$301,5,FALSE()),"Not Found")</f>
        <v>Corporate</v>
      </c>
      <c r="E115" s="46" t="n">
        <f aca="false">IFERROR(VLOOKUP(Orders!C115,Customers!$A$2:$F$301,3,FALSE()),"Not Found")</f>
        <v>27</v>
      </c>
      <c r="F115" s="46" t="str">
        <f aca="false">IFERROR(VLOOKUP(Orders!E115,Sales_Reps!$A$2:$E$31,3,FALSE()),"Not Found")</f>
        <v>South</v>
      </c>
      <c r="G115" s="46" t="n">
        <f aca="false">IFERROR(VLOOKUP(Orders!D115,Products!$A$2:$F$61,4,FALSE()),"")</f>
        <v>1052</v>
      </c>
      <c r="H115" s="47" t="n">
        <f aca="false">IF(G115="","",(Orders!G115-G115)/Orders!G115)</f>
        <v>0.595384615384615</v>
      </c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</row>
    <row r="116" customFormat="false" ht="15" hidden="false" customHeight="false" outlineLevel="0" collapsed="false">
      <c r="A116" s="46" t="str">
        <f aca="false">Orders!A116</f>
        <v>ORD-00115</v>
      </c>
      <c r="B116" s="46" t="str">
        <f aca="false">PROPER(TRIM(Orders!K116))</f>
        <v>Pune</v>
      </c>
      <c r="C116" s="46" t="str">
        <f aca="false">IFERROR(VLOOKUP(Orders!D116,Products!$A$2:$F$61,3,FALSE()),"Not Found")</f>
        <v>Home</v>
      </c>
      <c r="D116" s="46" t="str">
        <f aca="false">IFERROR(VLOOKUP(Orders!C116,Customers!$A$2:$F$301,5,FALSE()),"Not Found")</f>
        <v>Retail</v>
      </c>
      <c r="E116" s="46" t="n">
        <f aca="false">IFERROR(VLOOKUP(Orders!C116,Customers!$A$2:$F$301,3,FALSE()),"Not Found")</f>
        <v>63</v>
      </c>
      <c r="F116" s="46" t="str">
        <f aca="false">IFERROR(VLOOKUP(Orders!E116,Sales_Reps!$A$2:$E$31,3,FALSE()),"Not Found")</f>
        <v>West</v>
      </c>
      <c r="G116" s="46" t="n">
        <f aca="false">IFERROR(VLOOKUP(Orders!D116,Products!$A$2:$F$61,4,FALSE()),"")</f>
        <v>1143</v>
      </c>
      <c r="H116" s="47" t="n">
        <f aca="false">IF(G116="","",(Orders!G116-G116)/Orders!G116)</f>
        <v>0.436945812807882</v>
      </c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</row>
    <row r="117" customFormat="false" ht="15" hidden="false" customHeight="false" outlineLevel="0" collapsed="false">
      <c r="A117" s="46" t="str">
        <f aca="false">Orders!A117</f>
        <v>ORD-00116</v>
      </c>
      <c r="B117" s="46" t="str">
        <f aca="false">PROPER(TRIM(Orders!K117))</f>
        <v>Bengaluru</v>
      </c>
      <c r="C117" s="46" t="str">
        <f aca="false">IFERROR(VLOOKUP(Orders!D117,Products!$A$2:$F$61,3,FALSE()),"Not Found")</f>
        <v>Beauty</v>
      </c>
      <c r="D117" s="46" t="str">
        <f aca="false">IFERROR(VLOOKUP(Orders!C117,Customers!$A$2:$F$301,5,FALSE()),"Not Found")</f>
        <v>Retail</v>
      </c>
      <c r="E117" s="46" t="n">
        <f aca="false">IFERROR(VLOOKUP(Orders!C117,Customers!$A$2:$F$301,3,FALSE()),"Not Found")</f>
        <v>23</v>
      </c>
      <c r="F117" s="46" t="str">
        <f aca="false">IFERROR(VLOOKUP(Orders!E117,Sales_Reps!$A$2:$E$31,3,FALSE()),"Not Found")</f>
        <v>West</v>
      </c>
      <c r="G117" s="46" t="n">
        <f aca="false">IFERROR(VLOOKUP(Orders!D117,Products!$A$2:$F$61,4,FALSE()),"")</f>
        <v>1219</v>
      </c>
      <c r="H117" s="47" t="n">
        <f aca="false">IF(G117="","",(Orders!G117-G117)/Orders!G117)</f>
        <v>0.467685589519651</v>
      </c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</row>
    <row r="118" customFormat="false" ht="15" hidden="false" customHeight="false" outlineLevel="0" collapsed="false">
      <c r="A118" s="46" t="str">
        <f aca="false">Orders!A118</f>
        <v>ORD-00117</v>
      </c>
      <c r="B118" s="46" t="str">
        <f aca="false">PROPER(TRIM(Orders!K118))</f>
        <v>Hyderabad</v>
      </c>
      <c r="C118" s="46" t="str">
        <f aca="false">IFERROR(VLOOKUP(Orders!D118,Products!$A$2:$F$61,3,FALSE()),"Not Found")</f>
        <v>Home</v>
      </c>
      <c r="D118" s="46" t="str">
        <f aca="false">IFERROR(VLOOKUP(Orders!C118,Customers!$A$2:$F$301,5,FALSE()),"Not Found")</f>
        <v>Retail</v>
      </c>
      <c r="E118" s="46" t="n">
        <f aca="false">IFERROR(VLOOKUP(Orders!C118,Customers!$A$2:$F$301,3,FALSE()),"Not Found")</f>
        <v>44</v>
      </c>
      <c r="F118" s="46" t="str">
        <f aca="false">IFERROR(VLOOKUP(Orders!E118,Sales_Reps!$A$2:$E$31,3,FALSE()),"Not Found")</f>
        <v>West</v>
      </c>
      <c r="G118" s="46" t="n">
        <f aca="false">IFERROR(VLOOKUP(Orders!D118,Products!$A$2:$F$61,4,FALSE()),"")</f>
        <v>2135</v>
      </c>
      <c r="H118" s="47" t="n">
        <f aca="false">IF(G118="","",(Orders!G118-G118)/Orders!G118)</f>
        <v>0.427613941018767</v>
      </c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</row>
    <row r="119" customFormat="false" ht="15" hidden="false" customHeight="false" outlineLevel="0" collapsed="false">
      <c r="A119" s="46" t="str">
        <f aca="false">Orders!A119</f>
        <v>ORD-00118</v>
      </c>
      <c r="B119" s="46" t="str">
        <f aca="false">PROPER(TRIM(Orders!K119))</f>
        <v>Pune</v>
      </c>
      <c r="C119" s="46" t="str">
        <f aca="false">IFERROR(VLOOKUP(Orders!D119,Products!$A$2:$F$61,3,FALSE()),"Not Found")</f>
        <v>Electronics</v>
      </c>
      <c r="D119" s="46" t="str">
        <f aca="false">IFERROR(VLOOKUP(Orders!C119,Customers!$A$2:$F$301,5,FALSE()),"Not Found")</f>
        <v>SMB</v>
      </c>
      <c r="E119" s="46" t="n">
        <f aca="false">IFERROR(VLOOKUP(Orders!C119,Customers!$A$2:$F$301,3,FALSE()),"Not Found")</f>
        <v>54</v>
      </c>
      <c r="F119" s="46" t="str">
        <f aca="false">IFERROR(VLOOKUP(Orders!E119,Sales_Reps!$A$2:$E$31,3,FALSE()),"Not Found")</f>
        <v>South</v>
      </c>
      <c r="G119" s="46" t="n">
        <f aca="false">IFERROR(VLOOKUP(Orders!D119,Products!$A$2:$F$61,4,FALSE()),"")</f>
        <v>128</v>
      </c>
      <c r="H119" s="47" t="n">
        <f aca="false">IF(G119="","",(Orders!G119-G119)/Orders!G119)</f>
        <v>0.573333333333333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</row>
    <row r="120" customFormat="false" ht="15" hidden="false" customHeight="false" outlineLevel="0" collapsed="false">
      <c r="A120" s="46" t="str">
        <f aca="false">Orders!A120</f>
        <v>ORD-00119</v>
      </c>
      <c r="B120" s="46" t="str">
        <f aca="false">PROPER(TRIM(Orders!K120))</f>
        <v>Mumbai</v>
      </c>
      <c r="C120" s="46" t="str">
        <f aca="false">IFERROR(VLOOKUP(Orders!D120,Products!$A$2:$F$61,3,FALSE()),"Not Found")</f>
        <v>Electronics</v>
      </c>
      <c r="D120" s="46" t="str">
        <f aca="false">IFERROR(VLOOKUP(Orders!C120,Customers!$A$2:$F$301,5,FALSE()),"Not Found")</f>
        <v>Retail</v>
      </c>
      <c r="E120" s="46" t="n">
        <f aca="false">IFERROR(VLOOKUP(Orders!C120,Customers!$A$2:$F$301,3,FALSE()),"Not Found")</f>
        <v>50</v>
      </c>
      <c r="F120" s="46" t="str">
        <f aca="false">IFERROR(VLOOKUP(Orders!E120,Sales_Reps!$A$2:$E$31,3,FALSE()),"Not Found")</f>
        <v>South</v>
      </c>
      <c r="G120" s="46" t="n">
        <f aca="false">IFERROR(VLOOKUP(Orders!D120,Products!$A$2:$F$61,4,FALSE()),"")</f>
        <v>128</v>
      </c>
      <c r="H120" s="47" t="n">
        <f aca="false">IF(G120="","",(Orders!G120-G120)/Orders!G120)</f>
        <v>0.573333333333333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</row>
    <row r="121" customFormat="false" ht="15" hidden="false" customHeight="false" outlineLevel="0" collapsed="false">
      <c r="A121" s="46" t="str">
        <f aca="false">Orders!A121</f>
        <v>ORD-00120</v>
      </c>
      <c r="B121" s="46" t="str">
        <f aca="false">PROPER(TRIM(Orders!K121))</f>
        <v>Bengaluru</v>
      </c>
      <c r="C121" s="46" t="str">
        <f aca="false">IFERROR(VLOOKUP(Orders!D121,Products!$A$2:$F$61,3,FALSE()),"Not Found")</f>
        <v>Beauty</v>
      </c>
      <c r="D121" s="46" t="str">
        <f aca="false">IFERROR(VLOOKUP(Orders!C121,Customers!$A$2:$F$301,5,FALSE()),"Not Found")</f>
        <v>SMB</v>
      </c>
      <c r="E121" s="46" t="n">
        <f aca="false">IFERROR(VLOOKUP(Orders!C121,Customers!$A$2:$F$301,3,FALSE()),"Not Found")</f>
        <v>28</v>
      </c>
      <c r="F121" s="46" t="str">
        <f aca="false">IFERROR(VLOOKUP(Orders!E121,Sales_Reps!$A$2:$E$31,3,FALSE()),"Not Found")</f>
        <v>North</v>
      </c>
      <c r="G121" s="46" t="n">
        <f aca="false">IFERROR(VLOOKUP(Orders!D121,Products!$A$2:$F$61,4,FALSE()),"")</f>
        <v>1728</v>
      </c>
      <c r="H121" s="47" t="n">
        <f aca="false">IF(G121="","",(Orders!G121-G121)/Orders!G121)</f>
        <v>0.484179104477612</v>
      </c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</row>
    <row r="122" customFormat="false" ht="15" hidden="false" customHeight="false" outlineLevel="0" collapsed="false">
      <c r="A122" s="46" t="str">
        <f aca="false">Orders!A122</f>
        <v>ORD-00121</v>
      </c>
      <c r="B122" s="46" t="str">
        <f aca="false">PROPER(TRIM(Orders!K122))</f>
        <v>Bengaluru</v>
      </c>
      <c r="C122" s="46" t="str">
        <f aca="false">IFERROR(VLOOKUP(Orders!D122,Products!$A$2:$F$61,3,FALSE()),"Not Found")</f>
        <v>Electronics</v>
      </c>
      <c r="D122" s="46" t="str">
        <f aca="false">IFERROR(VLOOKUP(Orders!C122,Customers!$A$2:$F$301,5,FALSE()),"Not Found")</f>
        <v>SMB</v>
      </c>
      <c r="E122" s="46" t="n">
        <f aca="false">IFERROR(VLOOKUP(Orders!C122,Customers!$A$2:$F$301,3,FALSE()),"Not Found")</f>
        <v>46</v>
      </c>
      <c r="F122" s="46" t="str">
        <f aca="false">IFERROR(VLOOKUP(Orders!E122,Sales_Reps!$A$2:$E$31,3,FALSE()),"Not Found")</f>
        <v>North</v>
      </c>
      <c r="G122" s="46" t="n">
        <f aca="false">IFERROR(VLOOKUP(Orders!D122,Products!$A$2:$F$61,4,FALSE()),"")</f>
        <v>2405</v>
      </c>
      <c r="H122" s="47" t="n">
        <f aca="false">IF(G122="","",(Orders!G122-G122)/Orders!G122)</f>
        <v>0.548780487804878</v>
      </c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</row>
    <row r="123" customFormat="false" ht="15" hidden="false" customHeight="false" outlineLevel="0" collapsed="false">
      <c r="A123" s="46" t="str">
        <f aca="false">Orders!A123</f>
        <v>ORD-00122</v>
      </c>
      <c r="B123" s="46" t="str">
        <f aca="false">PROPER(TRIM(Orders!K123))</f>
        <v>Delhi</v>
      </c>
      <c r="C123" s="46" t="str">
        <f aca="false">IFERROR(VLOOKUP(Orders!D123,Products!$A$2:$F$61,3,FALSE()),"Not Found")</f>
        <v>Apparel</v>
      </c>
      <c r="D123" s="46" t="str">
        <f aca="false">IFERROR(VLOOKUP(Orders!C123,Customers!$A$2:$F$301,5,FALSE()),"Not Found")</f>
        <v>Retail</v>
      </c>
      <c r="E123" s="46" t="n">
        <f aca="false">IFERROR(VLOOKUP(Orders!C123,Customers!$A$2:$F$301,3,FALSE()),"Not Found")</f>
        <v>30</v>
      </c>
      <c r="F123" s="46" t="str">
        <f aca="false">IFERROR(VLOOKUP(Orders!E123,Sales_Reps!$A$2:$E$31,3,FALSE()),"Not Found")</f>
        <v>North</v>
      </c>
      <c r="G123" s="46" t="n">
        <f aca="false">IFERROR(VLOOKUP(Orders!D123,Products!$A$2:$F$61,4,FALSE()),"")</f>
        <v>2509</v>
      </c>
      <c r="H123" s="47" t="n">
        <f aca="false">IF(G123="","",(Orders!G123-G123)/Orders!G123)</f>
        <v>0.306906077348066</v>
      </c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</row>
    <row r="124" customFormat="false" ht="15" hidden="false" customHeight="false" outlineLevel="0" collapsed="false">
      <c r="A124" s="46" t="str">
        <f aca="false">Orders!A124</f>
        <v>ORD-00123</v>
      </c>
      <c r="B124" s="46" t="str">
        <f aca="false">PROPER(TRIM(Orders!K124))</f>
        <v>Delhi</v>
      </c>
      <c r="C124" s="46" t="str">
        <f aca="false">IFERROR(VLOOKUP(Orders!D124,Products!$A$2:$F$61,3,FALSE()),"Not Found")</f>
        <v>Apparel</v>
      </c>
      <c r="D124" s="46" t="str">
        <f aca="false">IFERROR(VLOOKUP(Orders!C124,Customers!$A$2:$F$301,5,FALSE()),"Not Found")</f>
        <v>SMB</v>
      </c>
      <c r="E124" s="46" t="n">
        <f aca="false">IFERROR(VLOOKUP(Orders!C124,Customers!$A$2:$F$301,3,FALSE()),"Not Found")</f>
        <v>53</v>
      </c>
      <c r="F124" s="46" t="str">
        <f aca="false">IFERROR(VLOOKUP(Orders!E124,Sales_Reps!$A$2:$E$31,3,FALSE()),"Not Found")</f>
        <v>North</v>
      </c>
      <c r="G124" s="46" t="n">
        <f aca="false">IFERROR(VLOOKUP(Orders!D124,Products!$A$2:$F$61,4,FALSE()),"")</f>
        <v>2509</v>
      </c>
      <c r="H124" s="47" t="n">
        <f aca="false">IF(G124="","",(Orders!G124-G124)/Orders!G124)</f>
        <v>0.306906077348066</v>
      </c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</row>
    <row r="125" customFormat="false" ht="15" hidden="false" customHeight="false" outlineLevel="0" collapsed="false">
      <c r="A125" s="46" t="str">
        <f aca="false">Orders!A125</f>
        <v>ORD-00124</v>
      </c>
      <c r="B125" s="46" t="str">
        <f aca="false">PROPER(TRIM(Orders!K125))</f>
        <v>Chennai</v>
      </c>
      <c r="C125" s="46" t="str">
        <f aca="false">IFERROR(VLOOKUP(Orders!D125,Products!$A$2:$F$61,3,FALSE()),"Not Found")</f>
        <v>Sports</v>
      </c>
      <c r="D125" s="46" t="str">
        <f aca="false">IFERROR(VLOOKUP(Orders!C125,Customers!$A$2:$F$301,5,FALSE()),"Not Found")</f>
        <v>SMB</v>
      </c>
      <c r="E125" s="46" t="n">
        <f aca="false">IFERROR(VLOOKUP(Orders!C125,Customers!$A$2:$F$301,3,FALSE()),"Not Found")</f>
        <v>51</v>
      </c>
      <c r="F125" s="46" t="str">
        <f aca="false">IFERROR(VLOOKUP(Orders!E125,Sales_Reps!$A$2:$E$31,3,FALSE()),"Not Found")</f>
        <v>North</v>
      </c>
      <c r="G125" s="46" t="n">
        <f aca="false">IFERROR(VLOOKUP(Orders!D125,Products!$A$2:$F$61,4,FALSE()),"")</f>
        <v>705</v>
      </c>
      <c r="H125" s="47" t="n">
        <f aca="false">IF(G125="","",(Orders!G125-G125)/Orders!G125)</f>
        <v>0.265625</v>
      </c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</row>
    <row r="126" customFormat="false" ht="15" hidden="false" customHeight="false" outlineLevel="0" collapsed="false">
      <c r="A126" s="46" t="str">
        <f aca="false">Orders!A126</f>
        <v>ORD-00125</v>
      </c>
      <c r="B126" s="46" t="str">
        <f aca="false">PROPER(TRIM(Orders!K126))</f>
        <v>Bengaluru</v>
      </c>
      <c r="C126" s="46" t="str">
        <f aca="false">IFERROR(VLOOKUP(Orders!D126,Products!$A$2:$F$61,3,FALSE()),"Not Found")</f>
        <v>Beauty</v>
      </c>
      <c r="D126" s="46" t="str">
        <f aca="false">IFERROR(VLOOKUP(Orders!C126,Customers!$A$2:$F$301,5,FALSE()),"Not Found")</f>
        <v>Retail</v>
      </c>
      <c r="E126" s="46" t="n">
        <f aca="false">IFERROR(VLOOKUP(Orders!C126,Customers!$A$2:$F$301,3,FALSE()),"Not Found")</f>
        <v>59</v>
      </c>
      <c r="F126" s="46" t="str">
        <f aca="false">IFERROR(VLOOKUP(Orders!E126,Sales_Reps!$A$2:$E$31,3,FALSE()),"Not Found")</f>
        <v>West</v>
      </c>
      <c r="G126" s="46" t="n">
        <f aca="false">IFERROR(VLOOKUP(Orders!D126,Products!$A$2:$F$61,4,FALSE()),"")</f>
        <v>1222</v>
      </c>
      <c r="H126" s="47" t="n">
        <f aca="false">IF(G126="","",(Orders!G126-G126)/Orders!G126)</f>
        <v>0.259393939393939</v>
      </c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</row>
    <row r="127" customFormat="false" ht="15" hidden="false" customHeight="false" outlineLevel="0" collapsed="false">
      <c r="A127" s="46" t="str">
        <f aca="false">Orders!A127</f>
        <v>ORD-00126</v>
      </c>
      <c r="B127" s="46" t="str">
        <f aca="false">PROPER(TRIM(Orders!K127))</f>
        <v>Chennai</v>
      </c>
      <c r="C127" s="46" t="str">
        <f aca="false">IFERROR(VLOOKUP(Orders!D127,Products!$A$2:$F$61,3,FALSE()),"Not Found")</f>
        <v>Beauty</v>
      </c>
      <c r="D127" s="46" t="str">
        <f aca="false">IFERROR(VLOOKUP(Orders!C127,Customers!$A$2:$F$301,5,FALSE()),"Not Found")</f>
        <v>Corporate</v>
      </c>
      <c r="E127" s="46" t="n">
        <f aca="false">IFERROR(VLOOKUP(Orders!C127,Customers!$A$2:$F$301,3,FALSE()),"Not Found")</f>
        <v>24</v>
      </c>
      <c r="F127" s="46" t="str">
        <f aca="false">IFERROR(VLOOKUP(Orders!E127,Sales_Reps!$A$2:$E$31,3,FALSE()),"Not Found")</f>
        <v>South</v>
      </c>
      <c r="G127" s="46" t="n">
        <f aca="false">IFERROR(VLOOKUP(Orders!D127,Products!$A$2:$F$61,4,FALSE()),"")</f>
        <v>675</v>
      </c>
      <c r="H127" s="47" t="n">
        <f aca="false">IF(G127="","",(Orders!G127-G127)/Orders!G127)</f>
        <v>0.296875</v>
      </c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</row>
    <row r="128" customFormat="false" ht="15" hidden="false" customHeight="false" outlineLevel="0" collapsed="false">
      <c r="A128" s="46" t="str">
        <f aca="false">Orders!A128</f>
        <v>ORD-00127</v>
      </c>
      <c r="B128" s="46" t="str">
        <f aca="false">PROPER(TRIM(Orders!K128))</f>
        <v>Pune</v>
      </c>
      <c r="C128" s="46" t="str">
        <f aca="false">IFERROR(VLOOKUP(Orders!D128,Products!$A$2:$F$61,3,FALSE()),"Not Found")</f>
        <v>Electronics</v>
      </c>
      <c r="D128" s="46" t="str">
        <f aca="false">IFERROR(VLOOKUP(Orders!C128,Customers!$A$2:$F$301,5,FALSE()),"Not Found")</f>
        <v>SMB</v>
      </c>
      <c r="E128" s="46" t="n">
        <f aca="false">IFERROR(VLOOKUP(Orders!C128,Customers!$A$2:$F$301,3,FALSE()),"Not Found")</f>
        <v>53</v>
      </c>
      <c r="F128" s="46" t="str">
        <f aca="false">IFERROR(VLOOKUP(Orders!E128,Sales_Reps!$A$2:$E$31,3,FALSE()),"Not Found")</f>
        <v>North</v>
      </c>
      <c r="G128" s="46" t="n">
        <f aca="false">IFERROR(VLOOKUP(Orders!D128,Products!$A$2:$F$61,4,FALSE()),"")</f>
        <v>2865</v>
      </c>
      <c r="H128" s="47" t="n">
        <f aca="false">IF(G128="","",(Orders!G128-G128)/Orders!G128)</f>
        <v>0.278337531486146</v>
      </c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</row>
    <row r="129" customFormat="false" ht="15" hidden="false" customHeight="false" outlineLevel="0" collapsed="false">
      <c r="A129" s="46" t="str">
        <f aca="false">Orders!A129</f>
        <v>ORD-00128</v>
      </c>
      <c r="B129" s="46" t="str">
        <f aca="false">PROPER(TRIM(Orders!K129))</f>
        <v>Hyderabad</v>
      </c>
      <c r="C129" s="46" t="str">
        <f aca="false">IFERROR(VLOOKUP(Orders!D129,Products!$A$2:$F$61,3,FALSE()),"Not Found")</f>
        <v>Grocery</v>
      </c>
      <c r="D129" s="46" t="str">
        <f aca="false">IFERROR(VLOOKUP(Orders!C129,Customers!$A$2:$F$301,5,FALSE()),"Not Found")</f>
        <v>Retail</v>
      </c>
      <c r="E129" s="46" t="n">
        <f aca="false">IFERROR(VLOOKUP(Orders!C129,Customers!$A$2:$F$301,3,FALSE()),"Not Found")</f>
        <v>29</v>
      </c>
      <c r="F129" s="46" t="str">
        <f aca="false">IFERROR(VLOOKUP(Orders!E129,Sales_Reps!$A$2:$E$31,3,FALSE()),"Not Found")</f>
        <v>North</v>
      </c>
      <c r="G129" s="46" t="n">
        <f aca="false">IFERROR(VLOOKUP(Orders!D129,Products!$A$2:$F$61,4,FALSE()),"")</f>
        <v>434</v>
      </c>
      <c r="H129" s="47" t="n">
        <f aca="false">IF(G129="","",(Orders!G129-G129)/Orders!G129)</f>
        <v>0.552577319587629</v>
      </c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</row>
    <row r="130" customFormat="false" ht="15" hidden="false" customHeight="false" outlineLevel="0" collapsed="false">
      <c r="A130" s="46" t="str">
        <f aca="false">Orders!A130</f>
        <v>ORD-00129</v>
      </c>
      <c r="B130" s="46" t="str">
        <f aca="false">PROPER(TRIM(Orders!K130))</f>
        <v>Mumbai</v>
      </c>
      <c r="C130" s="46" t="str">
        <f aca="false">IFERROR(VLOOKUP(Orders!D130,Products!$A$2:$F$61,3,FALSE()),"Not Found")</f>
        <v>Home</v>
      </c>
      <c r="D130" s="46" t="str">
        <f aca="false">IFERROR(VLOOKUP(Orders!C130,Customers!$A$2:$F$301,5,FALSE()),"Not Found")</f>
        <v>Retail</v>
      </c>
      <c r="E130" s="46" t="n">
        <f aca="false">IFERROR(VLOOKUP(Orders!C130,Customers!$A$2:$F$301,3,FALSE()),"Not Found")</f>
        <v>61</v>
      </c>
      <c r="F130" s="46" t="str">
        <f aca="false">IFERROR(VLOOKUP(Orders!E130,Sales_Reps!$A$2:$E$31,3,FALSE()),"Not Found")</f>
        <v>North</v>
      </c>
      <c r="G130" s="46" t="n">
        <f aca="false">IFERROR(VLOOKUP(Orders!D130,Products!$A$2:$F$61,4,FALSE()),"")</f>
        <v>1143</v>
      </c>
      <c r="H130" s="47" t="n">
        <f aca="false">IF(G130="","",(Orders!G130-G130)/Orders!G130)</f>
        <v>0.436945812807882</v>
      </c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</row>
    <row r="131" customFormat="false" ht="15" hidden="false" customHeight="false" outlineLevel="0" collapsed="false">
      <c r="A131" s="46" t="str">
        <f aca="false">Orders!A131</f>
        <v>ORD-00130</v>
      </c>
      <c r="B131" s="46" t="str">
        <f aca="false">PROPER(TRIM(Orders!K131))</f>
        <v>Pune</v>
      </c>
      <c r="C131" s="46" t="str">
        <f aca="false">IFERROR(VLOOKUP(Orders!D131,Products!$A$2:$F$61,3,FALSE()),"Not Found")</f>
        <v>Grocery</v>
      </c>
      <c r="D131" s="46" t="str">
        <f aca="false">IFERROR(VLOOKUP(Orders!C131,Customers!$A$2:$F$301,5,FALSE()),"Not Found")</f>
        <v>Retail</v>
      </c>
      <c r="E131" s="46" t="n">
        <f aca="false">IFERROR(VLOOKUP(Orders!C131,Customers!$A$2:$F$301,3,FALSE()),"Not Found")</f>
        <v>22</v>
      </c>
      <c r="F131" s="46" t="str">
        <f aca="false">IFERROR(VLOOKUP(Orders!E131,Sales_Reps!$A$2:$E$31,3,FALSE()),"Not Found")</f>
        <v>East</v>
      </c>
      <c r="G131" s="46" t="n">
        <f aca="false">IFERROR(VLOOKUP(Orders!D131,Products!$A$2:$F$61,4,FALSE()),"")</f>
        <v>1203</v>
      </c>
      <c r="H131" s="47" t="n">
        <f aca="false">IF(G131="","",(Orders!G131-G131)/Orders!G131)</f>
        <v>0.470044052863436</v>
      </c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</row>
    <row r="132" customFormat="false" ht="15" hidden="false" customHeight="false" outlineLevel="0" collapsed="false">
      <c r="A132" s="46" t="str">
        <f aca="false">Orders!A132</f>
        <v>ORD-00131</v>
      </c>
      <c r="B132" s="46" t="str">
        <f aca="false">PROPER(TRIM(Orders!K132))</f>
        <v>Hyderabad</v>
      </c>
      <c r="C132" s="46" t="str">
        <f aca="false">IFERROR(VLOOKUP(Orders!D132,Products!$A$2:$F$61,3,FALSE()),"Not Found")</f>
        <v>Beauty</v>
      </c>
      <c r="D132" s="46" t="str">
        <f aca="false">IFERROR(VLOOKUP(Orders!C132,Customers!$A$2:$F$301,5,FALSE()),"Not Found")</f>
        <v>Corporate</v>
      </c>
      <c r="E132" s="46" t="n">
        <f aca="false">IFERROR(VLOOKUP(Orders!C132,Customers!$A$2:$F$301,3,FALSE()),"Not Found")</f>
        <v>32</v>
      </c>
      <c r="F132" s="46" t="str">
        <f aca="false">IFERROR(VLOOKUP(Orders!E132,Sales_Reps!$A$2:$E$31,3,FALSE()),"Not Found")</f>
        <v>North</v>
      </c>
      <c r="G132" s="46" t="n">
        <f aca="false">IFERROR(VLOOKUP(Orders!D132,Products!$A$2:$F$61,4,FALSE()),"")</f>
        <v>2768</v>
      </c>
      <c r="H132" s="47" t="n">
        <f aca="false">IF(G132="","",(Orders!G132-G132)/Orders!G132)</f>
        <v>0.432786885245902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</row>
    <row r="133" customFormat="false" ht="15" hidden="false" customHeight="false" outlineLevel="0" collapsed="false">
      <c r="A133" s="46" t="str">
        <f aca="false">Orders!A133</f>
        <v>ORD-00132</v>
      </c>
      <c r="B133" s="46" t="str">
        <f aca="false">PROPER(TRIM(Orders!K133))</f>
        <v>Bengaluru</v>
      </c>
      <c r="C133" s="46" t="str">
        <f aca="false">IFERROR(VLOOKUP(Orders!D133,Products!$A$2:$F$61,3,FALSE()),"Not Found")</f>
        <v>Electronics</v>
      </c>
      <c r="D133" s="46" t="str">
        <f aca="false">IFERROR(VLOOKUP(Orders!C133,Customers!$A$2:$F$301,5,FALSE()),"Not Found")</f>
        <v>Corporate</v>
      </c>
      <c r="E133" s="46" t="n">
        <f aca="false">IFERROR(VLOOKUP(Orders!C133,Customers!$A$2:$F$301,3,FALSE()),"Not Found")</f>
        <v>42</v>
      </c>
      <c r="F133" s="46" t="str">
        <f aca="false">IFERROR(VLOOKUP(Orders!E133,Sales_Reps!$A$2:$E$31,3,FALSE()),"Not Found")</f>
        <v>South</v>
      </c>
      <c r="G133" s="46" t="n">
        <f aca="false">IFERROR(VLOOKUP(Orders!D133,Products!$A$2:$F$61,4,FALSE()),"")</f>
        <v>1559</v>
      </c>
      <c r="H133" s="47" t="n">
        <f aca="false">IF(G133="","",(Orders!G133-G133)/Orders!G133)</f>
        <v>0.597157622739018</v>
      </c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</row>
    <row r="134" customFormat="false" ht="15" hidden="false" customHeight="false" outlineLevel="0" collapsed="false">
      <c r="A134" s="46" t="str">
        <f aca="false">Orders!A134</f>
        <v>ORD-00133</v>
      </c>
      <c r="B134" s="46" t="str">
        <f aca="false">PROPER(TRIM(Orders!K134))</f>
        <v>Hyderabad</v>
      </c>
      <c r="C134" s="46" t="str">
        <f aca="false">IFERROR(VLOOKUP(Orders!D134,Products!$A$2:$F$61,3,FALSE()),"Not Found")</f>
        <v>Beauty</v>
      </c>
      <c r="D134" s="46" t="str">
        <f aca="false">IFERROR(VLOOKUP(Orders!C134,Customers!$A$2:$F$301,5,FALSE()),"Not Found")</f>
        <v>Retail</v>
      </c>
      <c r="E134" s="46" t="n">
        <f aca="false">IFERROR(VLOOKUP(Orders!C134,Customers!$A$2:$F$301,3,FALSE()),"Not Found")</f>
        <v>22</v>
      </c>
      <c r="F134" s="46" t="str">
        <f aca="false">IFERROR(VLOOKUP(Orders!E134,Sales_Reps!$A$2:$E$31,3,FALSE()),"Not Found")</f>
        <v>North</v>
      </c>
      <c r="G134" s="46" t="n">
        <f aca="false">IFERROR(VLOOKUP(Orders!D134,Products!$A$2:$F$61,4,FALSE()),"")</f>
        <v>1219</v>
      </c>
      <c r="H134" s="47" t="n">
        <f aca="false">IF(G134="","",(Orders!G134-G134)/Orders!G134)</f>
        <v>0.467685589519651</v>
      </c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</row>
    <row r="135" customFormat="false" ht="15" hidden="false" customHeight="false" outlineLevel="0" collapsed="false">
      <c r="A135" s="46" t="str">
        <f aca="false">Orders!A135</f>
        <v>ORD-00134</v>
      </c>
      <c r="B135" s="46" t="str">
        <f aca="false">PROPER(TRIM(Orders!K135))</f>
        <v>Delhi</v>
      </c>
      <c r="C135" s="46" t="str">
        <f aca="false">IFERROR(VLOOKUP(Orders!D135,Products!$A$2:$F$61,3,FALSE()),"Not Found")</f>
        <v>Grocery</v>
      </c>
      <c r="D135" s="46" t="str">
        <f aca="false">IFERROR(VLOOKUP(Orders!C135,Customers!$A$2:$F$301,5,FALSE()),"Not Found")</f>
        <v>Retail</v>
      </c>
      <c r="E135" s="46" t="n">
        <f aca="false">IFERROR(VLOOKUP(Orders!C135,Customers!$A$2:$F$301,3,FALSE()),"Not Found")</f>
        <v>44</v>
      </c>
      <c r="F135" s="46" t="str">
        <f aca="false">IFERROR(VLOOKUP(Orders!E135,Sales_Reps!$A$2:$E$31,3,FALSE()),"Not Found")</f>
        <v>East</v>
      </c>
      <c r="G135" s="46" t="n">
        <f aca="false">IFERROR(VLOOKUP(Orders!D135,Products!$A$2:$F$61,4,FALSE()),"")</f>
        <v>1182</v>
      </c>
      <c r="H135" s="47" t="n">
        <f aca="false">IF(G135="","",(Orders!G135-G135)/Orders!G135)</f>
        <v>0.503361344537815</v>
      </c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</row>
    <row r="136" customFormat="false" ht="15" hidden="false" customHeight="false" outlineLevel="0" collapsed="false">
      <c r="A136" s="46" t="str">
        <f aca="false">Orders!A136</f>
        <v>ORD-00135</v>
      </c>
      <c r="B136" s="46" t="str">
        <f aca="false">PROPER(TRIM(Orders!K136))</f>
        <v>Chennai</v>
      </c>
      <c r="C136" s="46" t="str">
        <f aca="false">IFERROR(VLOOKUP(Orders!D136,Products!$A$2:$F$61,3,FALSE()),"Not Found")</f>
        <v>Grocery</v>
      </c>
      <c r="D136" s="46" t="str">
        <f aca="false">IFERROR(VLOOKUP(Orders!C136,Customers!$A$2:$F$301,5,FALSE()),"Not Found")</f>
        <v>SMB</v>
      </c>
      <c r="E136" s="46" t="n">
        <f aca="false">IFERROR(VLOOKUP(Orders!C136,Customers!$A$2:$F$301,3,FALSE()),"Not Found")</f>
        <v>64</v>
      </c>
      <c r="F136" s="46" t="str">
        <f aca="false">IFERROR(VLOOKUP(Orders!E136,Sales_Reps!$A$2:$E$31,3,FALSE()),"Not Found")</f>
        <v>South</v>
      </c>
      <c r="G136" s="46" t="n">
        <f aca="false">IFERROR(VLOOKUP(Orders!D136,Products!$A$2:$F$61,4,FALSE()),"")</f>
        <v>1010</v>
      </c>
      <c r="H136" s="47" t="n">
        <f aca="false">IF(G136="","",(Orders!G136-G136)/Orders!G136)</f>
        <v>0.542986425339367</v>
      </c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</row>
    <row r="137" customFormat="false" ht="15" hidden="false" customHeight="false" outlineLevel="0" collapsed="false">
      <c r="A137" s="46" t="str">
        <f aca="false">Orders!A137</f>
        <v>ORD-01445</v>
      </c>
      <c r="B137" s="46" t="str">
        <f aca="false">PROPER(TRIM(Orders!K137))</f>
        <v>Pune</v>
      </c>
      <c r="C137" s="46" t="str">
        <f aca="false">IFERROR(VLOOKUP(Orders!D137,Products!$A$2:$F$61,3,FALSE()),"Not Found")</f>
        <v>Electronics</v>
      </c>
      <c r="D137" s="46" t="str">
        <f aca="false">IFERROR(VLOOKUP(Orders!C137,Customers!$A$2:$F$301,5,FALSE()),"Not Found")</f>
        <v>SMB</v>
      </c>
      <c r="E137" s="46" t="n">
        <f aca="false">IFERROR(VLOOKUP(Orders!C137,Customers!$A$2:$F$301,3,FALSE()),"Not Found")</f>
        <v>29</v>
      </c>
      <c r="F137" s="46" t="str">
        <f aca="false">IFERROR(VLOOKUP(Orders!E137,Sales_Reps!$A$2:$E$31,3,FALSE()),"Not Found")</f>
        <v>East</v>
      </c>
      <c r="G137" s="46" t="n">
        <f aca="false">IFERROR(VLOOKUP(Orders!D137,Products!$A$2:$F$61,4,FALSE()),"")</f>
        <v>2405</v>
      </c>
      <c r="H137" s="47" t="n">
        <f aca="false">IF(G137="","",(Orders!G137-G137)/Orders!G137)</f>
        <v>0.548780487804878</v>
      </c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</row>
    <row r="138" customFormat="false" ht="15" hidden="false" customHeight="false" outlineLevel="0" collapsed="false">
      <c r="A138" s="46" t="str">
        <f aca="false">Orders!A138</f>
        <v>ORD-00137</v>
      </c>
      <c r="B138" s="46" t="str">
        <f aca="false">PROPER(TRIM(Orders!K138))</f>
        <v>Chennai</v>
      </c>
      <c r="C138" s="46" t="str">
        <f aca="false">IFERROR(VLOOKUP(Orders!D138,Products!$A$2:$F$61,3,FALSE()),"Not Found")</f>
        <v>Electronics</v>
      </c>
      <c r="D138" s="46" t="str">
        <f aca="false">IFERROR(VLOOKUP(Orders!C138,Customers!$A$2:$F$301,5,FALSE()),"Not Found")</f>
        <v>SMB</v>
      </c>
      <c r="E138" s="46" t="n">
        <f aca="false">IFERROR(VLOOKUP(Orders!C138,Customers!$A$2:$F$301,3,FALSE()),"Not Found")</f>
        <v>64</v>
      </c>
      <c r="F138" s="46" t="str">
        <f aca="false">IFERROR(VLOOKUP(Orders!E138,Sales_Reps!$A$2:$E$31,3,FALSE()),"Not Found")</f>
        <v>East</v>
      </c>
      <c r="G138" s="46" t="n">
        <f aca="false">IFERROR(VLOOKUP(Orders!D138,Products!$A$2:$F$61,4,FALSE()),"")</f>
        <v>2865</v>
      </c>
      <c r="H138" s="47" t="n">
        <f aca="false">IF(G138="","",(Orders!G138-G138)/Orders!G138)</f>
        <v>0.278337531486146</v>
      </c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</row>
    <row r="139" customFormat="false" ht="15" hidden="false" customHeight="false" outlineLevel="0" collapsed="false">
      <c r="A139" s="46" t="str">
        <f aca="false">Orders!A139</f>
        <v>ORD-00138</v>
      </c>
      <c r="B139" s="46" t="str">
        <f aca="false">PROPER(TRIM(Orders!K139))</f>
        <v>Pune</v>
      </c>
      <c r="C139" s="46" t="str">
        <f aca="false">IFERROR(VLOOKUP(Orders!D139,Products!$A$2:$F$61,3,FALSE()),"Not Found")</f>
        <v>Apparel</v>
      </c>
      <c r="D139" s="46" t="str">
        <f aca="false">IFERROR(VLOOKUP(Orders!C139,Customers!$A$2:$F$301,5,FALSE()),"Not Found")</f>
        <v>Corporate</v>
      </c>
      <c r="E139" s="46" t="n">
        <f aca="false">IFERROR(VLOOKUP(Orders!C139,Customers!$A$2:$F$301,3,FALSE()),"Not Found")</f>
        <v>48</v>
      </c>
      <c r="F139" s="46" t="str">
        <f aca="false">IFERROR(VLOOKUP(Orders!E139,Sales_Reps!$A$2:$E$31,3,FALSE()),"Not Found")</f>
        <v>East</v>
      </c>
      <c r="G139" s="46" t="n">
        <f aca="false">IFERROR(VLOOKUP(Orders!D139,Products!$A$2:$F$61,4,FALSE()),"")</f>
        <v>1886</v>
      </c>
      <c r="H139" s="47" t="n">
        <f aca="false">IF(G139="","",(Orders!G139-G139)/Orders!G139)</f>
        <v>0.403164556962025</v>
      </c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</row>
    <row r="140" customFormat="false" ht="15" hidden="false" customHeight="false" outlineLevel="0" collapsed="false">
      <c r="A140" s="46" t="str">
        <f aca="false">Orders!A140</f>
        <v>ORD-00139</v>
      </c>
      <c r="B140" s="46" t="str">
        <f aca="false">PROPER(TRIM(Orders!K140))</f>
        <v>Bengaluru</v>
      </c>
      <c r="C140" s="46" t="str">
        <f aca="false">IFERROR(VLOOKUP(Orders!D140,Products!$A$2:$F$61,3,FALSE()),"Not Found")</f>
        <v>Sports</v>
      </c>
      <c r="D140" s="46" t="str">
        <f aca="false">IFERROR(VLOOKUP(Orders!C140,Customers!$A$2:$F$301,5,FALSE()),"Not Found")</f>
        <v>Retail</v>
      </c>
      <c r="E140" s="46" t="n">
        <f aca="false">IFERROR(VLOOKUP(Orders!C140,Customers!$A$2:$F$301,3,FALSE()),"Not Found")</f>
        <v>55</v>
      </c>
      <c r="F140" s="46" t="str">
        <f aca="false">IFERROR(VLOOKUP(Orders!E140,Sales_Reps!$A$2:$E$31,3,FALSE()),"Not Found")</f>
        <v>South</v>
      </c>
      <c r="G140" s="46" t="n">
        <f aca="false">IFERROR(VLOOKUP(Orders!D140,Products!$A$2:$F$61,4,FALSE()),"")</f>
        <v>147</v>
      </c>
      <c r="H140" s="47" t="n">
        <f aca="false">IF(G140="","",(Orders!G140-G140)/Orders!G140)</f>
        <v>0.226315789473684</v>
      </c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</row>
    <row r="141" customFormat="false" ht="15" hidden="false" customHeight="false" outlineLevel="0" collapsed="false">
      <c r="A141" s="46" t="str">
        <f aca="false">Orders!A141</f>
        <v>ORD-00140</v>
      </c>
      <c r="B141" s="46" t="str">
        <f aca="false">PROPER(TRIM(Orders!K141))</f>
        <v>Delhi</v>
      </c>
      <c r="C141" s="46" t="str">
        <f aca="false">IFERROR(VLOOKUP(Orders!D141,Products!$A$2:$F$61,3,FALSE()),"Not Found")</f>
        <v>Grocery</v>
      </c>
      <c r="D141" s="46" t="str">
        <f aca="false">IFERROR(VLOOKUP(Orders!C141,Customers!$A$2:$F$301,5,FALSE()),"Not Found")</f>
        <v>Retail</v>
      </c>
      <c r="E141" s="46" t="n">
        <f aca="false">IFERROR(VLOOKUP(Orders!C141,Customers!$A$2:$F$301,3,FALSE()),"Not Found")</f>
        <v>31</v>
      </c>
      <c r="F141" s="46" t="str">
        <f aca="false">IFERROR(VLOOKUP(Orders!E141,Sales_Reps!$A$2:$E$31,3,FALSE()),"Not Found")</f>
        <v>North</v>
      </c>
      <c r="G141" s="46" t="n">
        <f aca="false">IFERROR(VLOOKUP(Orders!D141,Products!$A$2:$F$61,4,FALSE()),"")</f>
        <v>1435</v>
      </c>
      <c r="H141" s="47" t="n">
        <f aca="false">IF(G141="","",(Orders!G141-G141)/Orders!G141)</f>
        <v>0.480072463768116</v>
      </c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</row>
    <row r="142" customFormat="false" ht="15" hidden="false" customHeight="false" outlineLevel="0" collapsed="false">
      <c r="A142" s="46" t="str">
        <f aca="false">Orders!A142</f>
        <v>ORD-00141</v>
      </c>
      <c r="B142" s="46" t="str">
        <f aca="false">PROPER(TRIM(Orders!K142))</f>
        <v>Mumbai</v>
      </c>
      <c r="C142" s="46" t="str">
        <f aca="false">IFERROR(VLOOKUP(Orders!D142,Products!$A$2:$F$61,3,FALSE()),"Not Found")</f>
        <v>Grocery</v>
      </c>
      <c r="D142" s="46" t="str">
        <f aca="false">IFERROR(VLOOKUP(Orders!C142,Customers!$A$2:$F$301,5,FALSE()),"Not Found")</f>
        <v>Retail</v>
      </c>
      <c r="E142" s="46" t="n">
        <f aca="false">IFERROR(VLOOKUP(Orders!C142,Customers!$A$2:$F$301,3,FALSE()),"Not Found")</f>
        <v>42</v>
      </c>
      <c r="F142" s="46" t="str">
        <f aca="false">IFERROR(VLOOKUP(Orders!E142,Sales_Reps!$A$2:$E$31,3,FALSE()),"Not Found")</f>
        <v>East</v>
      </c>
      <c r="G142" s="46" t="n">
        <f aca="false">IFERROR(VLOOKUP(Orders!D142,Products!$A$2:$F$61,4,FALSE()),"")</f>
        <v>1412</v>
      </c>
      <c r="H142" s="47" t="n">
        <f aca="false">IF(G142="","",(Orders!G142-G142)/Orders!G142)</f>
        <v>0.377973568281938</v>
      </c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</row>
    <row r="143" customFormat="false" ht="15" hidden="false" customHeight="false" outlineLevel="0" collapsed="false">
      <c r="A143" s="46" t="str">
        <f aca="false">Orders!A143</f>
        <v>ORD-00142</v>
      </c>
      <c r="B143" s="46" t="str">
        <f aca="false">PROPER(TRIM(Orders!K143))</f>
        <v>Hyderabad</v>
      </c>
      <c r="C143" s="46" t="str">
        <f aca="false">IFERROR(VLOOKUP(Orders!D143,Products!$A$2:$F$61,3,FALSE()),"Not Found")</f>
        <v>Sports</v>
      </c>
      <c r="D143" s="46" t="str">
        <f aca="false">IFERROR(VLOOKUP(Orders!C143,Customers!$A$2:$F$301,5,FALSE()),"Not Found")</f>
        <v>Retail</v>
      </c>
      <c r="E143" s="46" t="n">
        <f aca="false">IFERROR(VLOOKUP(Orders!C143,Customers!$A$2:$F$301,3,FALSE()),"Not Found")</f>
        <v>32</v>
      </c>
      <c r="F143" s="46" t="str">
        <f aca="false">IFERROR(VLOOKUP(Orders!E143,Sales_Reps!$A$2:$E$31,3,FALSE()),"Not Found")</f>
        <v>North</v>
      </c>
      <c r="G143" s="46" t="n">
        <f aca="false">IFERROR(VLOOKUP(Orders!D143,Products!$A$2:$F$61,4,FALSE()),"")</f>
        <v>2265</v>
      </c>
      <c r="H143" s="47" t="n">
        <f aca="false">IF(G143="","",(Orders!G143-G143)/Orders!G143)</f>
        <v>0.581330868761553</v>
      </c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</row>
    <row r="144" customFormat="false" ht="15" hidden="false" customHeight="false" outlineLevel="0" collapsed="false">
      <c r="A144" s="46" t="str">
        <f aca="false">Orders!A144</f>
        <v>ORD-00143</v>
      </c>
      <c r="B144" s="46" t="str">
        <f aca="false">PROPER(TRIM(Orders!K144))</f>
        <v>Delhi</v>
      </c>
      <c r="C144" s="46" t="str">
        <f aca="false">IFERROR(VLOOKUP(Orders!D144,Products!$A$2:$F$61,3,FALSE()),"Not Found")</f>
        <v>Grocery</v>
      </c>
      <c r="D144" s="46" t="str">
        <f aca="false">IFERROR(VLOOKUP(Orders!C144,Customers!$A$2:$F$301,5,FALSE()),"Not Found")</f>
        <v>Corporate</v>
      </c>
      <c r="E144" s="46" t="n">
        <f aca="false">IFERROR(VLOOKUP(Orders!C144,Customers!$A$2:$F$301,3,FALSE()),"Not Found")</f>
        <v>31</v>
      </c>
      <c r="F144" s="46" t="str">
        <f aca="false">IFERROR(VLOOKUP(Orders!E144,Sales_Reps!$A$2:$E$31,3,FALSE()),"Not Found")</f>
        <v>South</v>
      </c>
      <c r="G144" s="46" t="n">
        <f aca="false">IFERROR(VLOOKUP(Orders!D144,Products!$A$2:$F$61,4,FALSE()),"")</f>
        <v>1203</v>
      </c>
      <c r="H144" s="47" t="n">
        <f aca="false">IF(G144="","",(Orders!G144-G144)/Orders!G144)</f>
        <v>0.470044052863436</v>
      </c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</row>
    <row r="145" customFormat="false" ht="15" hidden="false" customHeight="false" outlineLevel="0" collapsed="false">
      <c r="A145" s="46" t="str">
        <f aca="false">Orders!A145</f>
        <v>ORD-00144</v>
      </c>
      <c r="B145" s="46" t="str">
        <f aca="false">PROPER(TRIM(Orders!K145))</f>
        <v>Delhi</v>
      </c>
      <c r="C145" s="46" t="str">
        <f aca="false">IFERROR(VLOOKUP(Orders!D145,Products!$A$2:$F$61,3,FALSE()),"Not Found")</f>
        <v>Apparel</v>
      </c>
      <c r="D145" s="46" t="str">
        <f aca="false">IFERROR(VLOOKUP(Orders!C145,Customers!$A$2:$F$301,5,FALSE()),"Not Found")</f>
        <v>SMB</v>
      </c>
      <c r="E145" s="46" t="n">
        <f aca="false">IFERROR(VLOOKUP(Orders!C145,Customers!$A$2:$F$301,3,FALSE()),"Not Found")</f>
        <v>27</v>
      </c>
      <c r="F145" s="46" t="str">
        <f aca="false">IFERROR(VLOOKUP(Orders!E145,Sales_Reps!$A$2:$E$31,3,FALSE()),"Not Found")</f>
        <v>North</v>
      </c>
      <c r="G145" s="46" t="n">
        <f aca="false">IFERROR(VLOOKUP(Orders!D145,Products!$A$2:$F$61,4,FALSE()),"")</f>
        <v>1886</v>
      </c>
      <c r="H145" s="47" t="n">
        <f aca="false">IF(G145="","",(Orders!G145-G145)/Orders!G145)</f>
        <v>0.403164556962025</v>
      </c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</row>
    <row r="146" customFormat="false" ht="15" hidden="false" customHeight="false" outlineLevel="0" collapsed="false">
      <c r="A146" s="46" t="str">
        <f aca="false">Orders!A146</f>
        <v>ORD-00145</v>
      </c>
      <c r="B146" s="46" t="str">
        <f aca="false">PROPER(TRIM(Orders!K146))</f>
        <v>Pune</v>
      </c>
      <c r="C146" s="46" t="str">
        <f aca="false">IFERROR(VLOOKUP(Orders!D146,Products!$A$2:$F$61,3,FALSE()),"Not Found")</f>
        <v>Grocery</v>
      </c>
      <c r="D146" s="46" t="str">
        <f aca="false">IFERROR(VLOOKUP(Orders!C146,Customers!$A$2:$F$301,5,FALSE()),"Not Found")</f>
        <v>SMB</v>
      </c>
      <c r="E146" s="46" t="n">
        <f aca="false">IFERROR(VLOOKUP(Orders!C146,Customers!$A$2:$F$301,3,FALSE()),"Not Found")</f>
        <v>29</v>
      </c>
      <c r="F146" s="46" t="str">
        <f aca="false">IFERROR(VLOOKUP(Orders!E146,Sales_Reps!$A$2:$E$31,3,FALSE()),"Not Found")</f>
        <v>West</v>
      </c>
      <c r="G146" s="46" t="n">
        <f aca="false">IFERROR(VLOOKUP(Orders!D146,Products!$A$2:$F$61,4,FALSE()),"")</f>
        <v>2911</v>
      </c>
      <c r="H146" s="47" t="n">
        <f aca="false">IF(G146="","",(Orders!G146-G146)/Orders!G146)</f>
        <v>0.283004926108374</v>
      </c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</row>
    <row r="147" customFormat="false" ht="15" hidden="false" customHeight="false" outlineLevel="0" collapsed="false">
      <c r="A147" s="46" t="str">
        <f aca="false">Orders!A147</f>
        <v>ORD-00146</v>
      </c>
      <c r="B147" s="46" t="str">
        <f aca="false">PROPER(TRIM(Orders!K147))</f>
        <v>Pune</v>
      </c>
      <c r="C147" s="46" t="str">
        <f aca="false">IFERROR(VLOOKUP(Orders!D147,Products!$A$2:$F$61,3,FALSE()),"Not Found")</f>
        <v>Apparel</v>
      </c>
      <c r="D147" s="46" t="str">
        <f aca="false">IFERROR(VLOOKUP(Orders!C147,Customers!$A$2:$F$301,5,FALSE()),"Not Found")</f>
        <v>Not Found</v>
      </c>
      <c r="E147" s="46" t="str">
        <f aca="false">IFERROR(VLOOKUP(Orders!C147,Customers!$A$2:$F$301,3,FALSE()),"Not Found")</f>
        <v>Not Found</v>
      </c>
      <c r="F147" s="46" t="str">
        <f aca="false">IFERROR(VLOOKUP(Orders!E147,Sales_Reps!$A$2:$E$31,3,FALSE()),"Not Found")</f>
        <v>East</v>
      </c>
      <c r="G147" s="46" t="n">
        <f aca="false">IFERROR(VLOOKUP(Orders!D147,Products!$A$2:$F$61,4,FALSE()),"")</f>
        <v>391</v>
      </c>
      <c r="H147" s="47" t="n">
        <f aca="false">IF(G147="","",(Orders!G147-G147)/Orders!G147)</f>
        <v>0.523170731707317</v>
      </c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</row>
    <row r="148" customFormat="false" ht="15" hidden="false" customHeight="false" outlineLevel="0" collapsed="false">
      <c r="A148" s="46" t="str">
        <f aca="false">Orders!A148</f>
        <v>ORD-00147</v>
      </c>
      <c r="B148" s="46" t="str">
        <f aca="false">PROPER(TRIM(Orders!K148))</f>
        <v>Pune</v>
      </c>
      <c r="C148" s="46" t="str">
        <f aca="false">IFERROR(VLOOKUP(Orders!D148,Products!$A$2:$F$61,3,FALSE()),"Not Found")</f>
        <v>Home</v>
      </c>
      <c r="D148" s="46" t="str">
        <f aca="false">IFERROR(VLOOKUP(Orders!C148,Customers!$A$2:$F$301,5,FALSE()),"Not Found")</f>
        <v>SMB</v>
      </c>
      <c r="E148" s="46" t="n">
        <f aca="false">IFERROR(VLOOKUP(Orders!C148,Customers!$A$2:$F$301,3,FALSE()),"Not Found")</f>
        <v>30</v>
      </c>
      <c r="F148" s="46" t="str">
        <f aca="false">IFERROR(VLOOKUP(Orders!E148,Sales_Reps!$A$2:$E$31,3,FALSE()),"Not Found")</f>
        <v>North</v>
      </c>
      <c r="G148" s="46" t="n">
        <f aca="false">IFERROR(VLOOKUP(Orders!D148,Products!$A$2:$F$61,4,FALSE()),"")</f>
        <v>288</v>
      </c>
      <c r="H148" s="47" t="n">
        <f aca="false">IF(G148="","",(Orders!G148-G148)/Orders!G148)</f>
        <v>0.221621621621622</v>
      </c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</row>
    <row r="149" customFormat="false" ht="15" hidden="false" customHeight="false" outlineLevel="0" collapsed="false">
      <c r="A149" s="46" t="str">
        <f aca="false">Orders!A149</f>
        <v>ORD-00148</v>
      </c>
      <c r="B149" s="46" t="str">
        <f aca="false">PROPER(TRIM(Orders!K149))</f>
        <v>Pune</v>
      </c>
      <c r="C149" s="46" t="str">
        <f aca="false">IFERROR(VLOOKUP(Orders!D149,Products!$A$2:$F$61,3,FALSE()),"Not Found")</f>
        <v>Home</v>
      </c>
      <c r="D149" s="46" t="str">
        <f aca="false">IFERROR(VLOOKUP(Orders!C149,Customers!$A$2:$F$301,5,FALSE()),"Not Found")</f>
        <v>Retail</v>
      </c>
      <c r="E149" s="46" t="n">
        <f aca="false">IFERROR(VLOOKUP(Orders!C149,Customers!$A$2:$F$301,3,FALSE()),"Not Found")</f>
        <v>65</v>
      </c>
      <c r="F149" s="46" t="str">
        <f aca="false">IFERROR(VLOOKUP(Orders!E149,Sales_Reps!$A$2:$E$31,3,FALSE()),"Not Found")</f>
        <v>North</v>
      </c>
      <c r="G149" s="46" t="n">
        <f aca="false">IFERROR(VLOOKUP(Orders!D149,Products!$A$2:$F$61,4,FALSE()),"")</f>
        <v>2459</v>
      </c>
      <c r="H149" s="47" t="n">
        <f aca="false">IF(G149="","",(Orders!G149-G149)/Orders!G149)</f>
        <v>0.515944881889764</v>
      </c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</row>
    <row r="150" customFormat="false" ht="15" hidden="false" customHeight="false" outlineLevel="0" collapsed="false">
      <c r="A150" s="46" t="str">
        <f aca="false">Orders!A150</f>
        <v>ORD-00149</v>
      </c>
      <c r="B150" s="46" t="str">
        <f aca="false">PROPER(TRIM(Orders!K150))</f>
        <v>Pune</v>
      </c>
      <c r="C150" s="46" t="str">
        <f aca="false">IFERROR(VLOOKUP(Orders!D150,Products!$A$2:$F$61,3,FALSE()),"Not Found")</f>
        <v>Grocery</v>
      </c>
      <c r="D150" s="46" t="str">
        <f aca="false">IFERROR(VLOOKUP(Orders!C150,Customers!$A$2:$F$301,5,FALSE()),"Not Found")</f>
        <v>SMB</v>
      </c>
      <c r="E150" s="46" t="n">
        <f aca="false">IFERROR(VLOOKUP(Orders!C150,Customers!$A$2:$F$301,3,FALSE()),"Not Found")</f>
        <v>54</v>
      </c>
      <c r="F150" s="46" t="str">
        <f aca="false">IFERROR(VLOOKUP(Orders!E150,Sales_Reps!$A$2:$E$31,3,FALSE()),"Not Found")</f>
        <v>South</v>
      </c>
      <c r="G150" s="46" t="n">
        <f aca="false">IFERROR(VLOOKUP(Orders!D150,Products!$A$2:$F$61,4,FALSE()),"")</f>
        <v>2027</v>
      </c>
      <c r="H150" s="47" t="n">
        <f aca="false">IF(G150="","",(Orders!G150-G150)/Orders!G150)</f>
        <v>0.501965601965602</v>
      </c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</row>
    <row r="151" customFormat="false" ht="15" hidden="false" customHeight="false" outlineLevel="0" collapsed="false">
      <c r="A151" s="46" t="str">
        <f aca="false">Orders!A151</f>
        <v>ORD-00150</v>
      </c>
      <c r="B151" s="46" t="str">
        <f aca="false">PROPER(TRIM(Orders!K151))</f>
        <v>Pune</v>
      </c>
      <c r="C151" s="46" t="str">
        <f aca="false">IFERROR(VLOOKUP(Orders!D151,Products!$A$2:$F$61,3,FALSE()),"Not Found")</f>
        <v>Electronics</v>
      </c>
      <c r="D151" s="46" t="str">
        <f aca="false">IFERROR(VLOOKUP(Orders!C151,Customers!$A$2:$F$301,5,FALSE()),"Not Found")</f>
        <v>SMB</v>
      </c>
      <c r="E151" s="46" t="n">
        <f aca="false">IFERROR(VLOOKUP(Orders!C151,Customers!$A$2:$F$301,3,FALSE()),"Not Found")</f>
        <v>30</v>
      </c>
      <c r="F151" s="46" t="str">
        <f aca="false">IFERROR(VLOOKUP(Orders!E151,Sales_Reps!$A$2:$E$31,3,FALSE()),"Not Found")</f>
        <v>West</v>
      </c>
      <c r="G151" s="46" t="n">
        <f aca="false">IFERROR(VLOOKUP(Orders!D151,Products!$A$2:$F$61,4,FALSE()),"")</f>
        <v>128</v>
      </c>
      <c r="H151" s="47" t="n">
        <f aca="false">IF(G151="","",(Orders!G151-G151)/Orders!G151)</f>
        <v>0.573333333333333</v>
      </c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</row>
    <row r="152" customFormat="false" ht="15" hidden="false" customHeight="false" outlineLevel="0" collapsed="false">
      <c r="A152" s="46" t="str">
        <f aca="false">Orders!A152</f>
        <v>ORD-00151</v>
      </c>
      <c r="B152" s="46" t="str">
        <f aca="false">PROPER(TRIM(Orders!K152))</f>
        <v>Mumbai</v>
      </c>
      <c r="C152" s="46" t="str">
        <f aca="false">IFERROR(VLOOKUP(Orders!D152,Products!$A$2:$F$61,3,FALSE()),"Not Found")</f>
        <v>Beauty</v>
      </c>
      <c r="D152" s="46" t="str">
        <f aca="false">IFERROR(VLOOKUP(Orders!C152,Customers!$A$2:$F$301,5,FALSE()),"Not Found")</f>
        <v>Retail</v>
      </c>
      <c r="E152" s="46" t="n">
        <f aca="false">IFERROR(VLOOKUP(Orders!C152,Customers!$A$2:$F$301,3,FALSE()),"Not Found")</f>
        <v>41</v>
      </c>
      <c r="F152" s="46" t="str">
        <f aca="false">IFERROR(VLOOKUP(Orders!E152,Sales_Reps!$A$2:$E$31,3,FALSE()),"Not Found")</f>
        <v>South</v>
      </c>
      <c r="G152" s="46" t="n">
        <f aca="false">IFERROR(VLOOKUP(Orders!D152,Products!$A$2:$F$61,4,FALSE()),"")</f>
        <v>2237</v>
      </c>
      <c r="H152" s="47" t="n">
        <f aca="false">IF(G152="","",(Orders!G152-G152)/Orders!G152)</f>
        <v>0.561372549019608</v>
      </c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</row>
    <row r="153" customFormat="false" ht="15" hidden="false" customHeight="false" outlineLevel="0" collapsed="false">
      <c r="A153" s="46" t="str">
        <f aca="false">Orders!A153</f>
        <v>ORD-00152</v>
      </c>
      <c r="B153" s="46" t="str">
        <f aca="false">PROPER(TRIM(Orders!K153))</f>
        <v>Chennai</v>
      </c>
      <c r="C153" s="46" t="str">
        <f aca="false">IFERROR(VLOOKUP(Orders!D153,Products!$A$2:$F$61,3,FALSE()),"Not Found")</f>
        <v>Home</v>
      </c>
      <c r="D153" s="46" t="str">
        <f aca="false">IFERROR(VLOOKUP(Orders!C153,Customers!$A$2:$F$301,5,FALSE()),"Not Found")</f>
        <v>Retail</v>
      </c>
      <c r="E153" s="46" t="n">
        <f aca="false">IFERROR(VLOOKUP(Orders!C153,Customers!$A$2:$F$301,3,FALSE()),"Not Found")</f>
        <v>37</v>
      </c>
      <c r="F153" s="46" t="str">
        <f aca="false">IFERROR(VLOOKUP(Orders!E153,Sales_Reps!$A$2:$E$31,3,FALSE()),"Not Found")</f>
        <v>South</v>
      </c>
      <c r="G153" s="46" t="n">
        <f aca="false">IFERROR(VLOOKUP(Orders!D153,Products!$A$2:$F$61,4,FALSE()),"")</f>
        <v>2549</v>
      </c>
      <c r="H153" s="47" t="n">
        <f aca="false">IF(G153="","",(Orders!G153-G153)/Orders!G153)</f>
        <v>0.535701275045537</v>
      </c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</row>
    <row r="154" customFormat="false" ht="15" hidden="false" customHeight="false" outlineLevel="0" collapsed="false">
      <c r="A154" s="46" t="str">
        <f aca="false">Orders!A154</f>
        <v>ORD-00153</v>
      </c>
      <c r="B154" s="46" t="str">
        <f aca="false">PROPER(TRIM(Orders!K154))</f>
        <v>Delhi</v>
      </c>
      <c r="C154" s="46" t="str">
        <f aca="false">IFERROR(VLOOKUP(Orders!D154,Products!$A$2:$F$61,3,FALSE()),"Not Found")</f>
        <v>Apparel</v>
      </c>
      <c r="D154" s="46" t="str">
        <f aca="false">IFERROR(VLOOKUP(Orders!C154,Customers!$A$2:$F$301,5,FALSE()),"Not Found")</f>
        <v>SMB</v>
      </c>
      <c r="E154" s="46" t="n">
        <f aca="false">IFERROR(VLOOKUP(Orders!C154,Customers!$A$2:$F$301,3,FALSE()),"Not Found")</f>
        <v>34</v>
      </c>
      <c r="F154" s="46" t="str">
        <f aca="false">IFERROR(VLOOKUP(Orders!E154,Sales_Reps!$A$2:$E$31,3,FALSE()),"Not Found")</f>
        <v>South</v>
      </c>
      <c r="G154" s="46" t="n">
        <f aca="false">IFERROR(VLOOKUP(Orders!D154,Products!$A$2:$F$61,4,FALSE()),"")</f>
        <v>1748</v>
      </c>
      <c r="H154" s="47" t="n">
        <f aca="false">IF(G154="","",(Orders!G154-G154)/Orders!G154)</f>
        <v>0.493333333333333</v>
      </c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</row>
    <row r="155" customFormat="false" ht="15" hidden="false" customHeight="false" outlineLevel="0" collapsed="false">
      <c r="A155" s="46" t="str">
        <f aca="false">Orders!A155</f>
        <v>ORD-00154</v>
      </c>
      <c r="B155" s="46" t="str">
        <f aca="false">PROPER(TRIM(Orders!K155))</f>
        <v>Hyderabad</v>
      </c>
      <c r="C155" s="46" t="str">
        <f aca="false">IFERROR(VLOOKUP(Orders!D155,Products!$A$2:$F$61,3,FALSE()),"Not Found")</f>
        <v>Grocery</v>
      </c>
      <c r="D155" s="46" t="str">
        <f aca="false">IFERROR(VLOOKUP(Orders!C155,Customers!$A$2:$F$301,5,FALSE()),"Not Found")</f>
        <v>Corporate</v>
      </c>
      <c r="E155" s="46" t="n">
        <f aca="false">IFERROR(VLOOKUP(Orders!C155,Customers!$A$2:$F$301,3,FALSE()),"Not Found")</f>
        <v>43</v>
      </c>
      <c r="F155" s="46" t="str">
        <f aca="false">IFERROR(VLOOKUP(Orders!E155,Sales_Reps!$A$2:$E$31,3,FALSE()),"Not Found")</f>
        <v>North</v>
      </c>
      <c r="G155" s="46" t="n">
        <f aca="false">IFERROR(VLOOKUP(Orders!D155,Products!$A$2:$F$61,4,FALSE()),"")</f>
        <v>1010</v>
      </c>
      <c r="H155" s="47" t="n">
        <f aca="false">IF(G155="","",(Orders!G155-G155)/Orders!G155)</f>
        <v>0.542986425339367</v>
      </c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</row>
    <row r="156" customFormat="false" ht="15" hidden="false" customHeight="false" outlineLevel="0" collapsed="false">
      <c r="A156" s="46" t="str">
        <f aca="false">Orders!A156</f>
        <v>ORD-00155</v>
      </c>
      <c r="B156" s="46" t="str">
        <f aca="false">PROPER(TRIM(Orders!K156))</f>
        <v>Hyderabad</v>
      </c>
      <c r="C156" s="46" t="str">
        <f aca="false">IFERROR(VLOOKUP(Orders!D156,Products!$A$2:$F$61,3,FALSE()),"Not Found")</f>
        <v>Home</v>
      </c>
      <c r="D156" s="46" t="str">
        <f aca="false">IFERROR(VLOOKUP(Orders!C156,Customers!$A$2:$F$301,5,FALSE()),"Not Found")</f>
        <v>SMB</v>
      </c>
      <c r="E156" s="46" t="n">
        <f aca="false">IFERROR(VLOOKUP(Orders!C156,Customers!$A$2:$F$301,3,FALSE()),"Not Found")</f>
        <v>36</v>
      </c>
      <c r="F156" s="46" t="str">
        <f aca="false">IFERROR(VLOOKUP(Orders!E156,Sales_Reps!$A$2:$E$31,3,FALSE()),"Not Found")</f>
        <v>South</v>
      </c>
      <c r="G156" s="46" t="n">
        <f aca="false">IFERROR(VLOOKUP(Orders!D156,Products!$A$2:$F$61,4,FALSE()),"")</f>
        <v>1556</v>
      </c>
      <c r="H156" s="47" t="n">
        <f aca="false">IF(G156="","",(Orders!G156-G156)/Orders!G156)</f>
        <v>0.521230769230769</v>
      </c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</row>
    <row r="157" customFormat="false" ht="15" hidden="false" customHeight="false" outlineLevel="0" collapsed="false">
      <c r="A157" s="46" t="str">
        <f aca="false">Orders!A157</f>
        <v>ORD-00156</v>
      </c>
      <c r="B157" s="46" t="str">
        <f aca="false">PROPER(TRIM(Orders!K157))</f>
        <v>Pune</v>
      </c>
      <c r="C157" s="46" t="str">
        <f aca="false">IFERROR(VLOOKUP(Orders!D157,Products!$A$2:$F$61,3,FALSE()),"Not Found")</f>
        <v>Apparel</v>
      </c>
      <c r="D157" s="46" t="str">
        <f aca="false">IFERROR(VLOOKUP(Orders!C157,Customers!$A$2:$F$301,5,FALSE()),"Not Found")</f>
        <v>Retail</v>
      </c>
      <c r="E157" s="46" t="n">
        <f aca="false">IFERROR(VLOOKUP(Orders!C157,Customers!$A$2:$F$301,3,FALSE()),"Not Found")</f>
        <v>29</v>
      </c>
      <c r="F157" s="46" t="str">
        <f aca="false">IFERROR(VLOOKUP(Orders!E157,Sales_Reps!$A$2:$E$31,3,FALSE()),"Not Found")</f>
        <v>North</v>
      </c>
      <c r="G157" s="46" t="n">
        <f aca="false">IFERROR(VLOOKUP(Orders!D157,Products!$A$2:$F$61,4,FALSE()),"")</f>
        <v>1886</v>
      </c>
      <c r="H157" s="47" t="n">
        <f aca="false">IF(G157="","",(Orders!G157-G157)/Orders!G157)</f>
        <v>0.403164556962025</v>
      </c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</row>
    <row r="158" customFormat="false" ht="15" hidden="false" customHeight="false" outlineLevel="0" collapsed="false">
      <c r="A158" s="46" t="str">
        <f aca="false">Orders!A158</f>
        <v>ORD-00157</v>
      </c>
      <c r="B158" s="46" t="str">
        <f aca="false">PROPER(TRIM(Orders!K158))</f>
        <v>Pune</v>
      </c>
      <c r="C158" s="46" t="str">
        <f aca="false">IFERROR(VLOOKUP(Orders!D158,Products!$A$2:$F$61,3,FALSE()),"Not Found")</f>
        <v>Electronics</v>
      </c>
      <c r="D158" s="46" t="str">
        <f aca="false">IFERROR(VLOOKUP(Orders!C158,Customers!$A$2:$F$301,5,FALSE()),"Not Found")</f>
        <v>SMB</v>
      </c>
      <c r="E158" s="46" t="n">
        <f aca="false">IFERROR(VLOOKUP(Orders!C158,Customers!$A$2:$F$301,3,FALSE()),"Not Found")</f>
        <v>53</v>
      </c>
      <c r="F158" s="46" t="str">
        <f aca="false">IFERROR(VLOOKUP(Orders!E158,Sales_Reps!$A$2:$E$31,3,FALSE()),"Not Found")</f>
        <v>West</v>
      </c>
      <c r="G158" s="46" t="n">
        <f aca="false">IFERROR(VLOOKUP(Orders!D158,Products!$A$2:$F$61,4,FALSE()),"")</f>
        <v>1559</v>
      </c>
      <c r="H158" s="47" t="n">
        <f aca="false">IF(G158="","",(Orders!G158-G158)/Orders!G158)</f>
        <v>0.597157622739018</v>
      </c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</row>
    <row r="159" customFormat="false" ht="15" hidden="false" customHeight="false" outlineLevel="0" collapsed="false">
      <c r="A159" s="46" t="str">
        <f aca="false">Orders!A159</f>
        <v>ORD-00158</v>
      </c>
      <c r="B159" s="46" t="str">
        <f aca="false">PROPER(TRIM(Orders!K159))</f>
        <v>Pune</v>
      </c>
      <c r="C159" s="46" t="str">
        <f aca="false">IFERROR(VLOOKUP(Orders!D159,Products!$A$2:$F$61,3,FALSE()),"Not Found")</f>
        <v>Sports</v>
      </c>
      <c r="D159" s="46" t="str">
        <f aca="false">IFERROR(VLOOKUP(Orders!C159,Customers!$A$2:$F$301,5,FALSE()),"Not Found")</f>
        <v>Corporate</v>
      </c>
      <c r="E159" s="46" t="n">
        <f aca="false">IFERROR(VLOOKUP(Orders!C159,Customers!$A$2:$F$301,3,FALSE()),"Not Found")</f>
        <v>37</v>
      </c>
      <c r="F159" s="46" t="str">
        <f aca="false">IFERROR(VLOOKUP(Orders!E159,Sales_Reps!$A$2:$E$31,3,FALSE()),"Not Found")</f>
        <v>East</v>
      </c>
      <c r="G159" s="46" t="n">
        <f aca="false">IFERROR(VLOOKUP(Orders!D159,Products!$A$2:$F$61,4,FALSE()),"")</f>
        <v>1860</v>
      </c>
      <c r="H159" s="47" t="n">
        <f aca="false">IF(G159="","",(Orders!G159-G159)/Orders!G159)</f>
        <v>0.507936507936508</v>
      </c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</row>
    <row r="160" customFormat="false" ht="15" hidden="false" customHeight="false" outlineLevel="0" collapsed="false">
      <c r="A160" s="46" t="str">
        <f aca="false">Orders!A160</f>
        <v>ORD-00159</v>
      </c>
      <c r="B160" s="46" t="str">
        <f aca="false">PROPER(TRIM(Orders!K160))</f>
        <v>Bengaluru</v>
      </c>
      <c r="C160" s="46" t="str">
        <f aca="false">IFERROR(VLOOKUP(Orders!D160,Products!$A$2:$F$61,3,FALSE()),"Not Found")</f>
        <v>Beauty</v>
      </c>
      <c r="D160" s="46" t="str">
        <f aca="false">IFERROR(VLOOKUP(Orders!C160,Customers!$A$2:$F$301,5,FALSE()),"Not Found")</f>
        <v>Retail</v>
      </c>
      <c r="E160" s="46" t="n">
        <f aca="false">IFERROR(VLOOKUP(Orders!C160,Customers!$A$2:$F$301,3,FALSE()),"Not Found")</f>
        <v>55</v>
      </c>
      <c r="F160" s="46" t="str">
        <f aca="false">IFERROR(VLOOKUP(Orders!E160,Sales_Reps!$A$2:$E$31,3,FALSE()),"Not Found")</f>
        <v>East</v>
      </c>
      <c r="G160" s="46" t="n">
        <f aca="false">IFERROR(VLOOKUP(Orders!D160,Products!$A$2:$F$61,4,FALSE()),"")</f>
        <v>1626</v>
      </c>
      <c r="H160" s="47" t="n">
        <f aca="false">IF(G160="","",(Orders!G160-G160)/Orders!G160)</f>
        <v>0.46158940397351</v>
      </c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</row>
    <row r="161" customFormat="false" ht="15" hidden="false" customHeight="false" outlineLevel="0" collapsed="false">
      <c r="A161" s="46" t="str">
        <f aca="false">Orders!A161</f>
        <v>ORD-00160</v>
      </c>
      <c r="B161" s="46" t="str">
        <f aca="false">PROPER(TRIM(Orders!K161))</f>
        <v>Mumbai</v>
      </c>
      <c r="C161" s="46" t="str">
        <f aca="false">IFERROR(VLOOKUP(Orders!D161,Products!$A$2:$F$61,3,FALSE()),"Not Found")</f>
        <v>Home</v>
      </c>
      <c r="D161" s="46" t="str">
        <f aca="false">IFERROR(VLOOKUP(Orders!C161,Customers!$A$2:$F$301,5,FALSE()),"Not Found")</f>
        <v>Retail</v>
      </c>
      <c r="E161" s="46" t="n">
        <f aca="false">IFERROR(VLOOKUP(Orders!C161,Customers!$A$2:$F$301,3,FALSE()),"Not Found")</f>
        <v>61</v>
      </c>
      <c r="F161" s="46" t="str">
        <f aca="false">IFERROR(VLOOKUP(Orders!E161,Sales_Reps!$A$2:$E$31,3,FALSE()),"Not Found")</f>
        <v>South</v>
      </c>
      <c r="G161" s="46" t="n">
        <f aca="false">IFERROR(VLOOKUP(Orders!D161,Products!$A$2:$F$61,4,FALSE()),"")</f>
        <v>2135</v>
      </c>
      <c r="H161" s="47" t="n">
        <f aca="false">IF(G161="","",(Orders!G161-G161)/Orders!G161)</f>
        <v>0.427613941018767</v>
      </c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</row>
    <row r="162" customFormat="false" ht="15" hidden="false" customHeight="false" outlineLevel="0" collapsed="false">
      <c r="A162" s="46" t="str">
        <f aca="false">Orders!A162</f>
        <v>ORD-00161</v>
      </c>
      <c r="B162" s="46" t="str">
        <f aca="false">PROPER(TRIM(Orders!K162))</f>
        <v>Hyderabad</v>
      </c>
      <c r="C162" s="46" t="str">
        <f aca="false">IFERROR(VLOOKUP(Orders!D162,Products!$A$2:$F$61,3,FALSE()),"Not Found")</f>
        <v>Beauty</v>
      </c>
      <c r="D162" s="46" t="str">
        <f aca="false">IFERROR(VLOOKUP(Orders!C162,Customers!$A$2:$F$301,5,FALSE()),"Not Found")</f>
        <v>SMB</v>
      </c>
      <c r="E162" s="46" t="n">
        <f aca="false">IFERROR(VLOOKUP(Orders!C162,Customers!$A$2:$F$301,3,FALSE()),"Not Found")</f>
        <v>65</v>
      </c>
      <c r="F162" s="46" t="str">
        <f aca="false">IFERROR(VLOOKUP(Orders!E162,Sales_Reps!$A$2:$E$31,3,FALSE()),"Not Found")</f>
        <v>East</v>
      </c>
      <c r="G162" s="46" t="n">
        <f aca="false">IFERROR(VLOOKUP(Orders!D162,Products!$A$2:$F$61,4,FALSE()),"")</f>
        <v>2768</v>
      </c>
      <c r="H162" s="47" t="n">
        <f aca="false">IF(G162="","",(Orders!G162-G162)/Orders!G162)</f>
        <v>0.432786885245902</v>
      </c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</row>
    <row r="163" customFormat="false" ht="15" hidden="false" customHeight="false" outlineLevel="0" collapsed="false">
      <c r="A163" s="46" t="str">
        <f aca="false">Orders!A163</f>
        <v>ORD-00162</v>
      </c>
      <c r="B163" s="46" t="str">
        <f aca="false">PROPER(TRIM(Orders!K163))</f>
        <v>Pune</v>
      </c>
      <c r="C163" s="46" t="str">
        <f aca="false">IFERROR(VLOOKUP(Orders!D163,Products!$A$2:$F$61,3,FALSE()),"Not Found")</f>
        <v>Grocery</v>
      </c>
      <c r="D163" s="46" t="str">
        <f aca="false">IFERROR(VLOOKUP(Orders!C163,Customers!$A$2:$F$301,5,FALSE()),"Not Found")</f>
        <v>Retail</v>
      </c>
      <c r="E163" s="46" t="n">
        <f aca="false">IFERROR(VLOOKUP(Orders!C163,Customers!$A$2:$F$301,3,FALSE()),"Not Found")</f>
        <v>63</v>
      </c>
      <c r="F163" s="46" t="str">
        <f aca="false">IFERROR(VLOOKUP(Orders!E163,Sales_Reps!$A$2:$E$31,3,FALSE()),"Not Found")</f>
        <v>West</v>
      </c>
      <c r="G163" s="46" t="n">
        <f aca="false">IFERROR(VLOOKUP(Orders!D163,Products!$A$2:$F$61,4,FALSE()),"")</f>
        <v>434</v>
      </c>
      <c r="H163" s="47" t="n">
        <f aca="false">IF(G163="","",(Orders!G163-G163)/Orders!G163)</f>
        <v>0.552577319587629</v>
      </c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</row>
    <row r="164" customFormat="false" ht="15" hidden="false" customHeight="false" outlineLevel="0" collapsed="false">
      <c r="A164" s="46" t="str">
        <f aca="false">Orders!A164</f>
        <v>ORD-00163</v>
      </c>
      <c r="B164" s="46" t="str">
        <f aca="false">PROPER(TRIM(Orders!K164))</f>
        <v>Bengaluru</v>
      </c>
      <c r="C164" s="46" t="str">
        <f aca="false">IFERROR(VLOOKUP(Orders!D164,Products!$A$2:$F$61,3,FALSE()),"Not Found")</f>
        <v>Electronics</v>
      </c>
      <c r="D164" s="46" t="str">
        <f aca="false">IFERROR(VLOOKUP(Orders!C164,Customers!$A$2:$F$301,5,FALSE()),"Not Found")</f>
        <v>SMB</v>
      </c>
      <c r="E164" s="46" t="n">
        <f aca="false">IFERROR(VLOOKUP(Orders!C164,Customers!$A$2:$F$301,3,FALSE()),"Not Found")</f>
        <v>43</v>
      </c>
      <c r="F164" s="46" t="str">
        <f aca="false">IFERROR(VLOOKUP(Orders!E164,Sales_Reps!$A$2:$E$31,3,FALSE()),"Not Found")</f>
        <v>East</v>
      </c>
      <c r="G164" s="46" t="n">
        <f aca="false">IFERROR(VLOOKUP(Orders!D164,Products!$A$2:$F$61,4,FALSE()),"")</f>
        <v>1259</v>
      </c>
      <c r="H164" s="47" t="n">
        <f aca="false">IF(G164="","",(Orders!G164-G164)/Orders!G164)</f>
        <v>0.526691729323308</v>
      </c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</row>
    <row r="165" customFormat="false" ht="15" hidden="false" customHeight="false" outlineLevel="0" collapsed="false">
      <c r="A165" s="46" t="str">
        <f aca="false">Orders!A165</f>
        <v>ORD-00164</v>
      </c>
      <c r="B165" s="46" t="str">
        <f aca="false">PROPER(TRIM(Orders!K165))</f>
        <v>Delhi</v>
      </c>
      <c r="C165" s="46" t="str">
        <f aca="false">IFERROR(VLOOKUP(Orders!D165,Products!$A$2:$F$61,3,FALSE()),"Not Found")</f>
        <v>Apparel</v>
      </c>
      <c r="D165" s="46" t="str">
        <f aca="false">IFERROR(VLOOKUP(Orders!C165,Customers!$A$2:$F$301,5,FALSE()),"Not Found")</f>
        <v>SMB</v>
      </c>
      <c r="E165" s="46" t="n">
        <f aca="false">IFERROR(VLOOKUP(Orders!C165,Customers!$A$2:$F$301,3,FALSE()),"Not Found")</f>
        <v>27</v>
      </c>
      <c r="F165" s="46" t="str">
        <f aca="false">IFERROR(VLOOKUP(Orders!E165,Sales_Reps!$A$2:$E$31,3,FALSE()),"Not Found")</f>
        <v>South</v>
      </c>
      <c r="G165" s="46" t="n">
        <f aca="false">IFERROR(VLOOKUP(Orders!D165,Products!$A$2:$F$61,4,FALSE()),"")</f>
        <v>391</v>
      </c>
      <c r="H165" s="47" t="n">
        <f aca="false">IF(G165="","",(Orders!G165-G165)/Orders!G165)</f>
        <v>0.523170731707317</v>
      </c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</row>
    <row r="166" customFormat="false" ht="15" hidden="false" customHeight="false" outlineLevel="0" collapsed="false">
      <c r="A166" s="46" t="str">
        <f aca="false">Orders!A166</f>
        <v>ORD-00165</v>
      </c>
      <c r="B166" s="46" t="str">
        <f aca="false">PROPER(TRIM(Orders!K166))</f>
        <v>Chennai</v>
      </c>
      <c r="C166" s="46" t="str">
        <f aca="false">IFERROR(VLOOKUP(Orders!D166,Products!$A$2:$F$61,3,FALSE()),"Not Found")</f>
        <v>Home</v>
      </c>
      <c r="D166" s="46" t="str">
        <f aca="false">IFERROR(VLOOKUP(Orders!C166,Customers!$A$2:$F$301,5,FALSE()),"Not Found")</f>
        <v>Corporate</v>
      </c>
      <c r="E166" s="46" t="n">
        <f aca="false">IFERROR(VLOOKUP(Orders!C166,Customers!$A$2:$F$301,3,FALSE()),"Not Found")</f>
        <v>35</v>
      </c>
      <c r="F166" s="46" t="str">
        <f aca="false">IFERROR(VLOOKUP(Orders!E166,Sales_Reps!$A$2:$E$31,3,FALSE()),"Not Found")</f>
        <v>South</v>
      </c>
      <c r="G166" s="46" t="n">
        <f aca="false">IFERROR(VLOOKUP(Orders!D166,Products!$A$2:$F$61,4,FALSE()),"")</f>
        <v>1143</v>
      </c>
      <c r="H166" s="47" t="n">
        <f aca="false">IF(G166="","",(Orders!G166-G166)/Orders!G166)</f>
        <v>0.436945812807882</v>
      </c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</row>
    <row r="167" customFormat="false" ht="15" hidden="false" customHeight="false" outlineLevel="0" collapsed="false">
      <c r="A167" s="46" t="str">
        <f aca="false">Orders!A167</f>
        <v>ORD-00166</v>
      </c>
      <c r="B167" s="46" t="str">
        <f aca="false">PROPER(TRIM(Orders!K167))</f>
        <v>Delhi</v>
      </c>
      <c r="C167" s="46" t="str">
        <f aca="false">IFERROR(VLOOKUP(Orders!D167,Products!$A$2:$F$61,3,FALSE()),"Not Found")</f>
        <v>Apparel</v>
      </c>
      <c r="D167" s="46" t="str">
        <f aca="false">IFERROR(VLOOKUP(Orders!C167,Customers!$A$2:$F$301,5,FALSE()),"Not Found")</f>
        <v>SMB</v>
      </c>
      <c r="E167" s="46" t="n">
        <f aca="false">IFERROR(VLOOKUP(Orders!C167,Customers!$A$2:$F$301,3,FALSE()),"Not Found")</f>
        <v>59</v>
      </c>
      <c r="F167" s="46" t="str">
        <f aca="false">IFERROR(VLOOKUP(Orders!E167,Sales_Reps!$A$2:$E$31,3,FALSE()),"Not Found")</f>
        <v>South</v>
      </c>
      <c r="G167" s="46" t="n">
        <f aca="false">IFERROR(VLOOKUP(Orders!D167,Products!$A$2:$F$61,4,FALSE()),"")</f>
        <v>396</v>
      </c>
      <c r="H167" s="47" t="n">
        <f aca="false">IF(G167="","",(Orders!G167-G167)/Orders!G167)</f>
        <v>0.361290322580645</v>
      </c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</row>
    <row r="168" customFormat="false" ht="15" hidden="false" customHeight="false" outlineLevel="0" collapsed="false">
      <c r="A168" s="46" t="str">
        <f aca="false">Orders!A168</f>
        <v>ORD-00167</v>
      </c>
      <c r="B168" s="46" t="str">
        <f aca="false">PROPER(TRIM(Orders!K168))</f>
        <v>Delhi</v>
      </c>
      <c r="C168" s="46" t="str">
        <f aca="false">IFERROR(VLOOKUP(Orders!D168,Products!$A$2:$F$61,3,FALSE()),"Not Found")</f>
        <v>Grocery</v>
      </c>
      <c r="D168" s="46" t="str">
        <f aca="false">IFERROR(VLOOKUP(Orders!C168,Customers!$A$2:$F$301,5,FALSE()),"Not Found")</f>
        <v>SMB</v>
      </c>
      <c r="E168" s="46" t="n">
        <f aca="false">IFERROR(VLOOKUP(Orders!C168,Customers!$A$2:$F$301,3,FALSE()),"Not Found")</f>
        <v>34</v>
      </c>
      <c r="F168" s="46" t="str">
        <f aca="false">IFERROR(VLOOKUP(Orders!E168,Sales_Reps!$A$2:$E$31,3,FALSE()),"Not Found")</f>
        <v>East</v>
      </c>
      <c r="G168" s="46" t="n">
        <f aca="false">IFERROR(VLOOKUP(Orders!D168,Products!$A$2:$F$61,4,FALSE()),"")</f>
        <v>1412</v>
      </c>
      <c r="H168" s="47" t="n">
        <f aca="false">IF(G168="","",(Orders!G168-G168)/Orders!G168)</f>
        <v>0.377973568281938</v>
      </c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</row>
    <row r="169" customFormat="false" ht="15" hidden="false" customHeight="false" outlineLevel="0" collapsed="false">
      <c r="A169" s="46" t="str">
        <f aca="false">Orders!A169</f>
        <v>ORD-00168</v>
      </c>
      <c r="B169" s="46" t="str">
        <f aca="false">PROPER(TRIM(Orders!K169))</f>
        <v>Hyderabad</v>
      </c>
      <c r="C169" s="46" t="str">
        <f aca="false">IFERROR(VLOOKUP(Orders!D169,Products!$A$2:$F$61,3,FALSE()),"Not Found")</f>
        <v>Sports</v>
      </c>
      <c r="D169" s="46" t="str">
        <f aca="false">IFERROR(VLOOKUP(Orders!C169,Customers!$A$2:$F$301,5,FALSE()),"Not Found")</f>
        <v>SMB</v>
      </c>
      <c r="E169" s="46" t="n">
        <f aca="false">IFERROR(VLOOKUP(Orders!C169,Customers!$A$2:$F$301,3,FALSE()),"Not Found")</f>
        <v>40</v>
      </c>
      <c r="F169" s="46" t="str">
        <f aca="false">IFERROR(VLOOKUP(Orders!E169,Sales_Reps!$A$2:$E$31,3,FALSE()),"Not Found")</f>
        <v>South</v>
      </c>
      <c r="G169" s="46" t="n">
        <f aca="false">IFERROR(VLOOKUP(Orders!D169,Products!$A$2:$F$61,4,FALSE()),"")</f>
        <v>302</v>
      </c>
      <c r="H169" s="47" t="n">
        <f aca="false">IF(G169="","",(Orders!G169-G169)/Orders!G169)</f>
        <v>0.357446808510638</v>
      </c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</row>
    <row r="170" customFormat="false" ht="15" hidden="false" customHeight="false" outlineLevel="0" collapsed="false">
      <c r="A170" s="46" t="str">
        <f aca="false">Orders!A170</f>
        <v>ORD-00169</v>
      </c>
      <c r="B170" s="46" t="str">
        <f aca="false">PROPER(TRIM(Orders!K170))</f>
        <v>Pune</v>
      </c>
      <c r="C170" s="46" t="str">
        <f aca="false">IFERROR(VLOOKUP(Orders!D170,Products!$A$2:$F$61,3,FALSE()),"Not Found")</f>
        <v>Electronics</v>
      </c>
      <c r="D170" s="46" t="str">
        <f aca="false">IFERROR(VLOOKUP(Orders!C170,Customers!$A$2:$F$301,5,FALSE()),"Not Found")</f>
        <v>Retail</v>
      </c>
      <c r="E170" s="46" t="n">
        <f aca="false">IFERROR(VLOOKUP(Orders!C170,Customers!$A$2:$F$301,3,FALSE()),"Not Found")</f>
        <v>63</v>
      </c>
      <c r="F170" s="46" t="str">
        <f aca="false">IFERROR(VLOOKUP(Orders!E170,Sales_Reps!$A$2:$E$31,3,FALSE()),"Not Found")</f>
        <v>North</v>
      </c>
      <c r="G170" s="46" t="n">
        <f aca="false">IFERROR(VLOOKUP(Orders!D170,Products!$A$2:$F$61,4,FALSE()),"")</f>
        <v>2405</v>
      </c>
      <c r="H170" s="47" t="n">
        <f aca="false">IF(G170="","",(Orders!G170-G170)/Orders!G170)</f>
        <v>0.548780487804878</v>
      </c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</row>
    <row r="171" customFormat="false" ht="15" hidden="false" customHeight="false" outlineLevel="0" collapsed="false">
      <c r="A171" s="46" t="str">
        <f aca="false">Orders!A171</f>
        <v>ORD-00170</v>
      </c>
      <c r="B171" s="46" t="str">
        <f aca="false">PROPER(TRIM(Orders!K171))</f>
        <v>Pune</v>
      </c>
      <c r="C171" s="46" t="str">
        <f aca="false">IFERROR(VLOOKUP(Orders!D171,Products!$A$2:$F$61,3,FALSE()),"Not Found")</f>
        <v>Beauty</v>
      </c>
      <c r="D171" s="46" t="str">
        <f aca="false">IFERROR(VLOOKUP(Orders!C171,Customers!$A$2:$F$301,5,FALSE()),"Not Found")</f>
        <v>SMB</v>
      </c>
      <c r="E171" s="46" t="n">
        <f aca="false">IFERROR(VLOOKUP(Orders!C171,Customers!$A$2:$F$301,3,FALSE()),"Not Found")</f>
        <v>49</v>
      </c>
      <c r="F171" s="46" t="str">
        <f aca="false">IFERROR(VLOOKUP(Orders!E171,Sales_Reps!$A$2:$E$31,3,FALSE()),"Not Found")</f>
        <v>North</v>
      </c>
      <c r="G171" s="46" t="n">
        <f aca="false">IFERROR(VLOOKUP(Orders!D171,Products!$A$2:$F$61,4,FALSE()),"")</f>
        <v>2617</v>
      </c>
      <c r="H171" s="47" t="n">
        <f aca="false">IF(G171="","",(Orders!G171-G171)/Orders!G171)</f>
        <v>0.569572368421053</v>
      </c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</row>
    <row r="172" customFormat="false" ht="15" hidden="false" customHeight="false" outlineLevel="0" collapsed="false">
      <c r="A172" s="46" t="str">
        <f aca="false">Orders!A172</f>
        <v>ORD-00171</v>
      </c>
      <c r="B172" s="46" t="str">
        <f aca="false">PROPER(TRIM(Orders!K172))</f>
        <v>Delhi</v>
      </c>
      <c r="C172" s="46" t="str">
        <f aca="false">IFERROR(VLOOKUP(Orders!D172,Products!$A$2:$F$61,3,FALSE()),"Not Found")</f>
        <v>Grocery</v>
      </c>
      <c r="D172" s="46" t="str">
        <f aca="false">IFERROR(VLOOKUP(Orders!C172,Customers!$A$2:$F$301,5,FALSE()),"Not Found")</f>
        <v>Retail</v>
      </c>
      <c r="E172" s="46" t="n">
        <f aca="false">IFERROR(VLOOKUP(Orders!C172,Customers!$A$2:$F$301,3,FALSE()),"Not Found")</f>
        <v>54</v>
      </c>
      <c r="F172" s="46" t="str">
        <f aca="false">IFERROR(VLOOKUP(Orders!E172,Sales_Reps!$A$2:$E$31,3,FALSE()),"Not Found")</f>
        <v>East</v>
      </c>
      <c r="G172" s="46" t="n">
        <f aca="false">IFERROR(VLOOKUP(Orders!D172,Products!$A$2:$F$61,4,FALSE()),"")</f>
        <v>2436</v>
      </c>
      <c r="H172" s="47" t="n">
        <f aca="false">IF(G172="","",(Orders!G172-G172)/Orders!G172)</f>
        <v>0.355555555555556</v>
      </c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</row>
    <row r="173" customFormat="false" ht="15" hidden="false" customHeight="false" outlineLevel="0" collapsed="false">
      <c r="A173" s="46" t="str">
        <f aca="false">Orders!A173</f>
        <v>ORD-00172</v>
      </c>
      <c r="B173" s="46" t="str">
        <f aca="false">PROPER(TRIM(Orders!K173))</f>
        <v>Hyderabad</v>
      </c>
      <c r="C173" s="46" t="str">
        <f aca="false">IFERROR(VLOOKUP(Orders!D173,Products!$A$2:$F$61,3,FALSE()),"Not Found")</f>
        <v>Apparel</v>
      </c>
      <c r="D173" s="46" t="str">
        <f aca="false">IFERROR(VLOOKUP(Orders!C173,Customers!$A$2:$F$301,5,FALSE()),"Not Found")</f>
        <v>Corporate</v>
      </c>
      <c r="E173" s="46" t="n">
        <f aca="false">IFERROR(VLOOKUP(Orders!C173,Customers!$A$2:$F$301,3,FALSE()),"Not Found")</f>
        <v>52</v>
      </c>
      <c r="F173" s="46" t="str">
        <f aca="false">IFERROR(VLOOKUP(Orders!E173,Sales_Reps!$A$2:$E$31,3,FALSE()),"Not Found")</f>
        <v>South</v>
      </c>
      <c r="G173" s="46" t="n">
        <f aca="false">IFERROR(VLOOKUP(Orders!D173,Products!$A$2:$F$61,4,FALSE()),"")</f>
        <v>396</v>
      </c>
      <c r="H173" s="47" t="n">
        <f aca="false">IF(G173="","",(Orders!G173-G173)/Orders!G173)</f>
        <v>0.361290322580645</v>
      </c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</row>
    <row r="174" customFormat="false" ht="15" hidden="false" customHeight="false" outlineLevel="0" collapsed="false">
      <c r="A174" s="46" t="str">
        <f aca="false">Orders!A174</f>
        <v>ORD-00173</v>
      </c>
      <c r="B174" s="46" t="str">
        <f aca="false">PROPER(TRIM(Orders!K174))</f>
        <v>Pune</v>
      </c>
      <c r="C174" s="46" t="str">
        <f aca="false">IFERROR(VLOOKUP(Orders!D174,Products!$A$2:$F$61,3,FALSE()),"Not Found")</f>
        <v>Apparel</v>
      </c>
      <c r="D174" s="46" t="str">
        <f aca="false">IFERROR(VLOOKUP(Orders!C174,Customers!$A$2:$F$301,5,FALSE()),"Not Found")</f>
        <v>Corporate</v>
      </c>
      <c r="E174" s="46" t="n">
        <f aca="false">IFERROR(VLOOKUP(Orders!C174,Customers!$A$2:$F$301,3,FALSE()),"Not Found")</f>
        <v>48</v>
      </c>
      <c r="F174" s="46" t="str">
        <f aca="false">IFERROR(VLOOKUP(Orders!E174,Sales_Reps!$A$2:$E$31,3,FALSE()),"Not Found")</f>
        <v>West</v>
      </c>
      <c r="G174" s="46" t="n">
        <f aca="false">IFERROR(VLOOKUP(Orders!D174,Products!$A$2:$F$61,4,FALSE()),"")</f>
        <v>1075</v>
      </c>
      <c r="H174" s="47" t="n">
        <f aca="false">IF(G174="","",(Orders!G174-G174)/Orders!G174)</f>
        <v>0.571713147410359</v>
      </c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</row>
    <row r="175" customFormat="false" ht="15" hidden="false" customHeight="false" outlineLevel="0" collapsed="false">
      <c r="A175" s="46" t="str">
        <f aca="false">Orders!A175</f>
        <v>ORD-00174</v>
      </c>
      <c r="B175" s="46" t="str">
        <f aca="false">PROPER(TRIM(Orders!K175))</f>
        <v>Pune</v>
      </c>
      <c r="C175" s="46" t="str">
        <f aca="false">IFERROR(VLOOKUP(Orders!D175,Products!$A$2:$F$61,3,FALSE()),"Not Found")</f>
        <v>Apparel</v>
      </c>
      <c r="D175" s="46" t="str">
        <f aca="false">IFERROR(VLOOKUP(Orders!C175,Customers!$A$2:$F$301,5,FALSE()),"Not Found")</f>
        <v>Retail</v>
      </c>
      <c r="E175" s="46" t="n">
        <f aca="false">IFERROR(VLOOKUP(Orders!C175,Customers!$A$2:$F$301,3,FALSE()),"Not Found")</f>
        <v>49</v>
      </c>
      <c r="F175" s="46" t="str">
        <f aca="false">IFERROR(VLOOKUP(Orders!E175,Sales_Reps!$A$2:$E$31,3,FALSE()),"Not Found")</f>
        <v>East</v>
      </c>
      <c r="G175" s="46" t="n">
        <f aca="false">IFERROR(VLOOKUP(Orders!D175,Products!$A$2:$F$61,4,FALSE()),"")</f>
        <v>1962</v>
      </c>
      <c r="H175" s="47" t="n">
        <f aca="false">IF(G175="","",(Orders!G175-G175)/Orders!G175)</f>
        <v>0.278676470588235</v>
      </c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</row>
    <row r="176" customFormat="false" ht="15" hidden="false" customHeight="false" outlineLevel="0" collapsed="false">
      <c r="A176" s="46" t="str">
        <f aca="false">Orders!A176</f>
        <v>ORD-00175</v>
      </c>
      <c r="B176" s="46" t="str">
        <f aca="false">PROPER(TRIM(Orders!K176))</f>
        <v>Pune</v>
      </c>
      <c r="C176" s="46" t="str">
        <f aca="false">IFERROR(VLOOKUP(Orders!D176,Products!$A$2:$F$61,3,FALSE()),"Not Found")</f>
        <v>Sports</v>
      </c>
      <c r="D176" s="46" t="str">
        <f aca="false">IFERROR(VLOOKUP(Orders!C176,Customers!$A$2:$F$301,5,FALSE()),"Not Found")</f>
        <v>Corporate</v>
      </c>
      <c r="E176" s="46" t="n">
        <f aca="false">IFERROR(VLOOKUP(Orders!C176,Customers!$A$2:$F$301,3,FALSE()),"Not Found")</f>
        <v>29</v>
      </c>
      <c r="F176" s="46" t="str">
        <f aca="false">IFERROR(VLOOKUP(Orders!E176,Sales_Reps!$A$2:$E$31,3,FALSE()),"Not Found")</f>
        <v>East</v>
      </c>
      <c r="G176" s="46" t="n">
        <f aca="false">IFERROR(VLOOKUP(Orders!D176,Products!$A$2:$F$61,4,FALSE()),"")</f>
        <v>302</v>
      </c>
      <c r="H176" s="47" t="n">
        <f aca="false">IF(G176="","",(Orders!G176-G176)/Orders!G176)</f>
        <v>0.357446808510638</v>
      </c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</row>
    <row r="177" customFormat="false" ht="15" hidden="false" customHeight="false" outlineLevel="0" collapsed="false">
      <c r="A177" s="46" t="str">
        <f aca="false">Orders!A177</f>
        <v>ORD-00176</v>
      </c>
      <c r="B177" s="46" t="str">
        <f aca="false">PROPER(TRIM(Orders!K177))</f>
        <v>Hyderabad</v>
      </c>
      <c r="C177" s="46" t="str">
        <f aca="false">IFERROR(VLOOKUP(Orders!D177,Products!$A$2:$F$61,3,FALSE()),"Not Found")</f>
        <v>Home</v>
      </c>
      <c r="D177" s="46" t="str">
        <f aca="false">IFERROR(VLOOKUP(Orders!C177,Customers!$A$2:$F$301,5,FALSE()),"Not Found")</f>
        <v>Retail</v>
      </c>
      <c r="E177" s="46" t="n">
        <f aca="false">IFERROR(VLOOKUP(Orders!C177,Customers!$A$2:$F$301,3,FALSE()),"Not Found")</f>
        <v>46</v>
      </c>
      <c r="F177" s="46" t="str">
        <f aca="false">IFERROR(VLOOKUP(Orders!E177,Sales_Reps!$A$2:$E$31,3,FALSE()),"Not Found")</f>
        <v>East</v>
      </c>
      <c r="G177" s="46" t="n">
        <f aca="false">IFERROR(VLOOKUP(Orders!D177,Products!$A$2:$F$61,4,FALSE()),"")</f>
        <v>1556</v>
      </c>
      <c r="H177" s="47" t="n">
        <f aca="false">IF(G177="","",(Orders!G177-G177)/Orders!G177)</f>
        <v>0.521230769230769</v>
      </c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</row>
    <row r="178" customFormat="false" ht="15" hidden="false" customHeight="false" outlineLevel="0" collapsed="false">
      <c r="A178" s="46" t="str">
        <f aca="false">Orders!A178</f>
        <v>ORD-00177</v>
      </c>
      <c r="B178" s="46" t="str">
        <f aca="false">PROPER(TRIM(Orders!K178))</f>
        <v>Delhi</v>
      </c>
      <c r="C178" s="46" t="str">
        <f aca="false">IFERROR(VLOOKUP(Orders!D178,Products!$A$2:$F$61,3,FALSE()),"Not Found")</f>
        <v>Home</v>
      </c>
      <c r="D178" s="46" t="str">
        <f aca="false">IFERROR(VLOOKUP(Orders!C178,Customers!$A$2:$F$301,5,FALSE()),"Not Found")</f>
        <v>Retail</v>
      </c>
      <c r="E178" s="46" t="n">
        <f aca="false">IFERROR(VLOOKUP(Orders!C178,Customers!$A$2:$F$301,3,FALSE()),"Not Found")</f>
        <v>59</v>
      </c>
      <c r="F178" s="46" t="str">
        <f aca="false">IFERROR(VLOOKUP(Orders!E178,Sales_Reps!$A$2:$E$31,3,FALSE()),"Not Found")</f>
        <v>West</v>
      </c>
      <c r="G178" s="46" t="n">
        <f aca="false">IFERROR(VLOOKUP(Orders!D178,Products!$A$2:$F$61,4,FALSE()),"")</f>
        <v>2459</v>
      </c>
      <c r="H178" s="47" t="n">
        <f aca="false">IF(G178="","",(Orders!G178-G178)/Orders!G178)</f>
        <v>0.515944881889764</v>
      </c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</row>
    <row r="179" customFormat="false" ht="15" hidden="false" customHeight="false" outlineLevel="0" collapsed="false">
      <c r="A179" s="46" t="str">
        <f aca="false">Orders!A179</f>
        <v>ORD-00178</v>
      </c>
      <c r="B179" s="46" t="str">
        <f aca="false">PROPER(TRIM(Orders!K179))</f>
        <v>Pune</v>
      </c>
      <c r="C179" s="46" t="str">
        <f aca="false">IFERROR(VLOOKUP(Orders!D179,Products!$A$2:$F$61,3,FALSE()),"Not Found")</f>
        <v>Electronics</v>
      </c>
      <c r="D179" s="46" t="str">
        <f aca="false">IFERROR(VLOOKUP(Orders!C179,Customers!$A$2:$F$301,5,FALSE()),"Not Found")</f>
        <v>Retail</v>
      </c>
      <c r="E179" s="46" t="n">
        <f aca="false">IFERROR(VLOOKUP(Orders!C179,Customers!$A$2:$F$301,3,FALSE()),"Not Found")</f>
        <v>65</v>
      </c>
      <c r="F179" s="46" t="str">
        <f aca="false">IFERROR(VLOOKUP(Orders!E179,Sales_Reps!$A$2:$E$31,3,FALSE()),"Not Found")</f>
        <v>South</v>
      </c>
      <c r="G179" s="46" t="n">
        <f aca="false">IFERROR(VLOOKUP(Orders!D179,Products!$A$2:$F$61,4,FALSE()),"")</f>
        <v>1665</v>
      </c>
      <c r="H179" s="47" t="n">
        <f aca="false">IF(G179="","",(Orders!G179-G179)/Orders!G179)</f>
        <v>0.533613445378151</v>
      </c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</row>
    <row r="180" customFormat="false" ht="15" hidden="false" customHeight="false" outlineLevel="0" collapsed="false">
      <c r="A180" s="46" t="str">
        <f aca="false">Orders!A180</f>
        <v>ORD-00179</v>
      </c>
      <c r="B180" s="46" t="str">
        <f aca="false">PROPER(TRIM(Orders!K180))</f>
        <v>Pune</v>
      </c>
      <c r="C180" s="46" t="str">
        <f aca="false">IFERROR(VLOOKUP(Orders!D180,Products!$A$2:$F$61,3,FALSE()),"Not Found")</f>
        <v>Apparel</v>
      </c>
      <c r="D180" s="46" t="str">
        <f aca="false">IFERROR(VLOOKUP(Orders!C180,Customers!$A$2:$F$301,5,FALSE()),"Not Found")</f>
        <v>Retail</v>
      </c>
      <c r="E180" s="46" t="n">
        <f aca="false">IFERROR(VLOOKUP(Orders!C180,Customers!$A$2:$F$301,3,FALSE()),"Not Found")</f>
        <v>57</v>
      </c>
      <c r="F180" s="46" t="str">
        <f aca="false">IFERROR(VLOOKUP(Orders!E180,Sales_Reps!$A$2:$E$31,3,FALSE()),"Not Found")</f>
        <v>South</v>
      </c>
      <c r="G180" s="46" t="n">
        <f aca="false">IFERROR(VLOOKUP(Orders!D180,Products!$A$2:$F$61,4,FALSE()),"")</f>
        <v>2611</v>
      </c>
      <c r="H180" s="47" t="n">
        <f aca="false">IF(G180="","",(Orders!G180-G180)/Orders!G180)</f>
        <v>0.282692307692308</v>
      </c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</row>
    <row r="181" customFormat="false" ht="15" hidden="false" customHeight="false" outlineLevel="0" collapsed="false">
      <c r="A181" s="46" t="str">
        <f aca="false">Orders!A181</f>
        <v>ORD-00180</v>
      </c>
      <c r="B181" s="46" t="str">
        <f aca="false">PROPER(TRIM(Orders!K181))</f>
        <v>Pune</v>
      </c>
      <c r="C181" s="46" t="str">
        <f aca="false">IFERROR(VLOOKUP(Orders!D181,Products!$A$2:$F$61,3,FALSE()),"Not Found")</f>
        <v>Grocery</v>
      </c>
      <c r="D181" s="46" t="str">
        <f aca="false">IFERROR(VLOOKUP(Orders!C181,Customers!$A$2:$F$301,5,FALSE()),"Not Found")</f>
        <v>Retail</v>
      </c>
      <c r="E181" s="46" t="n">
        <f aca="false">IFERROR(VLOOKUP(Orders!C181,Customers!$A$2:$F$301,3,FALSE()),"Not Found")</f>
        <v>63</v>
      </c>
      <c r="F181" s="46" t="str">
        <f aca="false">IFERROR(VLOOKUP(Orders!E181,Sales_Reps!$A$2:$E$31,3,FALSE()),"Not Found")</f>
        <v>North</v>
      </c>
      <c r="G181" s="46" t="n">
        <f aca="false">IFERROR(VLOOKUP(Orders!D181,Products!$A$2:$F$61,4,FALSE()),"")</f>
        <v>2027</v>
      </c>
      <c r="H181" s="47" t="n">
        <f aca="false">IF(G181="","",(Orders!G181-G181)/Orders!G181)</f>
        <v>0.501965601965602</v>
      </c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</row>
    <row r="182" customFormat="false" ht="15" hidden="false" customHeight="false" outlineLevel="0" collapsed="false">
      <c r="A182" s="46" t="str">
        <f aca="false">Orders!A182</f>
        <v>ORD-00181</v>
      </c>
      <c r="B182" s="46" t="str">
        <f aca="false">PROPER(TRIM(Orders!K182))</f>
        <v>Mumbai</v>
      </c>
      <c r="C182" s="46" t="str">
        <f aca="false">IFERROR(VLOOKUP(Orders!D182,Products!$A$2:$F$61,3,FALSE()),"Not Found")</f>
        <v>Apparel</v>
      </c>
      <c r="D182" s="46" t="str">
        <f aca="false">IFERROR(VLOOKUP(Orders!C182,Customers!$A$2:$F$301,5,FALSE()),"Not Found")</f>
        <v>Retail</v>
      </c>
      <c r="E182" s="46" t="n">
        <f aca="false">IFERROR(VLOOKUP(Orders!C182,Customers!$A$2:$F$301,3,FALSE()),"Not Found")</f>
        <v>34</v>
      </c>
      <c r="F182" s="46" t="str">
        <f aca="false">IFERROR(VLOOKUP(Orders!E182,Sales_Reps!$A$2:$E$31,3,FALSE()),"Not Found")</f>
        <v>South</v>
      </c>
      <c r="G182" s="46" t="n">
        <f aca="false">IFERROR(VLOOKUP(Orders!D182,Products!$A$2:$F$61,4,FALSE()),"")</f>
        <v>1748</v>
      </c>
      <c r="H182" s="47" t="n">
        <f aca="false">IF(G182="","",(Orders!G182-G182)/Orders!G182)</f>
        <v>0.493333333333333</v>
      </c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</row>
    <row r="183" customFormat="false" ht="15" hidden="false" customHeight="false" outlineLevel="0" collapsed="false">
      <c r="A183" s="46" t="str">
        <f aca="false">Orders!A183</f>
        <v>ORD-00182</v>
      </c>
      <c r="B183" s="46" t="str">
        <f aca="false">PROPER(TRIM(Orders!K183))</f>
        <v>Hyderabad</v>
      </c>
      <c r="C183" s="46" t="str">
        <f aca="false">IFERROR(VLOOKUP(Orders!D183,Products!$A$2:$F$61,3,FALSE()),"Not Found")</f>
        <v>Home</v>
      </c>
      <c r="D183" s="46" t="str">
        <f aca="false">IFERROR(VLOOKUP(Orders!C183,Customers!$A$2:$F$301,5,FALSE()),"Not Found")</f>
        <v>Retail</v>
      </c>
      <c r="E183" s="46" t="n">
        <f aca="false">IFERROR(VLOOKUP(Orders!C183,Customers!$A$2:$F$301,3,FALSE()),"Not Found")</f>
        <v>60</v>
      </c>
      <c r="F183" s="46" t="str">
        <f aca="false">IFERROR(VLOOKUP(Orders!E183,Sales_Reps!$A$2:$E$31,3,FALSE()),"Not Found")</f>
        <v>West</v>
      </c>
      <c r="G183" s="46" t="n">
        <f aca="false">IFERROR(VLOOKUP(Orders!D183,Products!$A$2:$F$61,4,FALSE()),"")</f>
        <v>2459</v>
      </c>
      <c r="H183" s="47" t="n">
        <f aca="false">IF(G183="","",(Orders!G183-G183)/Orders!G183)</f>
        <v>0.515944881889764</v>
      </c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</row>
    <row r="184" customFormat="false" ht="15" hidden="false" customHeight="false" outlineLevel="0" collapsed="false">
      <c r="A184" s="46" t="str">
        <f aca="false">Orders!A184</f>
        <v>ORD-00183</v>
      </c>
      <c r="B184" s="46" t="str">
        <f aca="false">PROPER(TRIM(Orders!K184))</f>
        <v>Hyderabad</v>
      </c>
      <c r="C184" s="46" t="str">
        <f aca="false">IFERROR(VLOOKUP(Orders!D184,Products!$A$2:$F$61,3,FALSE()),"Not Found")</f>
        <v>Grocery</v>
      </c>
      <c r="D184" s="46" t="str">
        <f aca="false">IFERROR(VLOOKUP(Orders!C184,Customers!$A$2:$F$301,5,FALSE()),"Not Found")</f>
        <v>Retail</v>
      </c>
      <c r="E184" s="46" t="n">
        <f aca="false">IFERROR(VLOOKUP(Orders!C184,Customers!$A$2:$F$301,3,FALSE()),"Not Found")</f>
        <v>28</v>
      </c>
      <c r="F184" s="46" t="str">
        <f aca="false">IFERROR(VLOOKUP(Orders!E184,Sales_Reps!$A$2:$E$31,3,FALSE()),"Not Found")</f>
        <v>West</v>
      </c>
      <c r="G184" s="46" t="n">
        <f aca="false">IFERROR(VLOOKUP(Orders!D184,Products!$A$2:$F$61,4,FALSE()),"")</f>
        <v>1435</v>
      </c>
      <c r="H184" s="47" t="n">
        <f aca="false">IF(G184="","",(Orders!G184-G184)/Orders!G184)</f>
        <v>0.480072463768116</v>
      </c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</row>
    <row r="185" customFormat="false" ht="15" hidden="false" customHeight="false" outlineLevel="0" collapsed="false">
      <c r="A185" s="46" t="str">
        <f aca="false">Orders!A185</f>
        <v>ORD-00184</v>
      </c>
      <c r="B185" s="46" t="str">
        <f aca="false">PROPER(TRIM(Orders!K185))</f>
        <v>Mumbai</v>
      </c>
      <c r="C185" s="46" t="str">
        <f aca="false">IFERROR(VLOOKUP(Orders!D185,Products!$A$2:$F$61,3,FALSE()),"Not Found")</f>
        <v>Beauty</v>
      </c>
      <c r="D185" s="46" t="str">
        <f aca="false">IFERROR(VLOOKUP(Orders!C185,Customers!$A$2:$F$301,5,FALSE()),"Not Found")</f>
        <v>Retail</v>
      </c>
      <c r="E185" s="46" t="n">
        <f aca="false">IFERROR(VLOOKUP(Orders!C185,Customers!$A$2:$F$301,3,FALSE()),"Not Found")</f>
        <v>61</v>
      </c>
      <c r="F185" s="46" t="str">
        <f aca="false">IFERROR(VLOOKUP(Orders!E185,Sales_Reps!$A$2:$E$31,3,FALSE()),"Not Found")</f>
        <v>South</v>
      </c>
      <c r="G185" s="46" t="n">
        <f aca="false">IFERROR(VLOOKUP(Orders!D185,Products!$A$2:$F$61,4,FALSE()),"")</f>
        <v>1222</v>
      </c>
      <c r="H185" s="47" t="n">
        <f aca="false">IF(G185="","",(Orders!G185-G185)/Orders!G185)</f>
        <v>0.259393939393939</v>
      </c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</row>
    <row r="186" customFormat="false" ht="15" hidden="false" customHeight="false" outlineLevel="0" collapsed="false">
      <c r="A186" s="46" t="str">
        <f aca="false">Orders!A186</f>
        <v>ORD-00185</v>
      </c>
      <c r="B186" s="46" t="str">
        <f aca="false">PROPER(TRIM(Orders!K186))</f>
        <v>Hyderabad</v>
      </c>
      <c r="C186" s="46" t="str">
        <f aca="false">IFERROR(VLOOKUP(Orders!D186,Products!$A$2:$F$61,3,FALSE()),"Not Found")</f>
        <v>Electronics</v>
      </c>
      <c r="D186" s="46" t="str">
        <f aca="false">IFERROR(VLOOKUP(Orders!C186,Customers!$A$2:$F$301,5,FALSE()),"Not Found")</f>
        <v>SMB</v>
      </c>
      <c r="E186" s="46" t="n">
        <f aca="false">IFERROR(VLOOKUP(Orders!C186,Customers!$A$2:$F$301,3,FALSE()),"Not Found")</f>
        <v>43</v>
      </c>
      <c r="F186" s="46" t="str">
        <f aca="false">IFERROR(VLOOKUP(Orders!E186,Sales_Reps!$A$2:$E$31,3,FALSE()),"Not Found")</f>
        <v>North</v>
      </c>
      <c r="G186" s="46" t="n">
        <f aca="false">IFERROR(VLOOKUP(Orders!D186,Products!$A$2:$F$61,4,FALSE()),"")</f>
        <v>1559</v>
      </c>
      <c r="H186" s="47" t="n">
        <f aca="false">IF(G186="","",(Orders!G186-G186)/Orders!G186)</f>
        <v>0.597157622739018</v>
      </c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</row>
    <row r="187" customFormat="false" ht="15" hidden="false" customHeight="false" outlineLevel="0" collapsed="false">
      <c r="A187" s="46" t="str">
        <f aca="false">Orders!A187</f>
        <v>ORD-00186</v>
      </c>
      <c r="B187" s="46" t="str">
        <f aca="false">PROPER(TRIM(Orders!K187))</f>
        <v>Hyderabad</v>
      </c>
      <c r="C187" s="46" t="str">
        <f aca="false">IFERROR(VLOOKUP(Orders!D187,Products!$A$2:$F$61,3,FALSE()),"Not Found")</f>
        <v>Home</v>
      </c>
      <c r="D187" s="46" t="str">
        <f aca="false">IFERROR(VLOOKUP(Orders!C187,Customers!$A$2:$F$301,5,FALSE()),"Not Found")</f>
        <v>SMB</v>
      </c>
      <c r="E187" s="46" t="n">
        <f aca="false">IFERROR(VLOOKUP(Orders!C187,Customers!$A$2:$F$301,3,FALSE()),"Not Found")</f>
        <v>65</v>
      </c>
      <c r="F187" s="46" t="str">
        <f aca="false">IFERROR(VLOOKUP(Orders!E187,Sales_Reps!$A$2:$E$31,3,FALSE()),"Not Found")</f>
        <v>East</v>
      </c>
      <c r="G187" s="46" t="n">
        <f aca="false">IFERROR(VLOOKUP(Orders!D187,Products!$A$2:$F$61,4,FALSE()),"")</f>
        <v>464</v>
      </c>
      <c r="H187" s="47" t="n">
        <f aca="false">IF(G187="","",(Orders!G187-G187)/Orders!G187)</f>
        <v>0.574311926605505</v>
      </c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</row>
    <row r="188" customFormat="false" ht="15" hidden="false" customHeight="false" outlineLevel="0" collapsed="false">
      <c r="A188" s="46" t="str">
        <f aca="false">Orders!A188</f>
        <v>ORD-00187</v>
      </c>
      <c r="B188" s="46" t="str">
        <f aca="false">PROPER(TRIM(Orders!K188))</f>
        <v>Bengaluru</v>
      </c>
      <c r="C188" s="46" t="str">
        <f aca="false">IFERROR(VLOOKUP(Orders!D188,Products!$A$2:$F$61,3,FALSE()),"Not Found")</f>
        <v>Beauty</v>
      </c>
      <c r="D188" s="46" t="str">
        <f aca="false">IFERROR(VLOOKUP(Orders!C188,Customers!$A$2:$F$301,5,FALSE()),"Not Found")</f>
        <v>Corporate</v>
      </c>
      <c r="E188" s="46" t="n">
        <f aca="false">IFERROR(VLOOKUP(Orders!C188,Customers!$A$2:$F$301,3,FALSE()),"Not Found")</f>
        <v>36</v>
      </c>
      <c r="F188" s="46" t="str">
        <f aca="false">IFERROR(VLOOKUP(Orders!E188,Sales_Reps!$A$2:$E$31,3,FALSE()),"Not Found")</f>
        <v>West</v>
      </c>
      <c r="G188" s="46" t="n">
        <f aca="false">IFERROR(VLOOKUP(Orders!D188,Products!$A$2:$F$61,4,FALSE()),"")</f>
        <v>675</v>
      </c>
      <c r="H188" s="47" t="n">
        <f aca="false">IF(G188="","",(Orders!G188-G188)/Orders!G188)</f>
        <v>0.296875</v>
      </c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</row>
    <row r="189" customFormat="false" ht="15" hidden="false" customHeight="false" outlineLevel="0" collapsed="false">
      <c r="A189" s="46" t="str">
        <f aca="false">Orders!A189</f>
        <v>ORD-00188</v>
      </c>
      <c r="B189" s="46" t="str">
        <f aca="false">PROPER(TRIM(Orders!K189))</f>
        <v>Bengaluru</v>
      </c>
      <c r="C189" s="46" t="str">
        <f aca="false">IFERROR(VLOOKUP(Orders!D189,Products!$A$2:$F$61,3,FALSE()),"Not Found")</f>
        <v>Beauty</v>
      </c>
      <c r="D189" s="46" t="str">
        <f aca="false">IFERROR(VLOOKUP(Orders!C189,Customers!$A$2:$F$301,5,FALSE()),"Not Found")</f>
        <v>Retail</v>
      </c>
      <c r="E189" s="46" t="n">
        <f aca="false">IFERROR(VLOOKUP(Orders!C189,Customers!$A$2:$F$301,3,FALSE()),"Not Found")</f>
        <v>34</v>
      </c>
      <c r="F189" s="46" t="str">
        <f aca="false">IFERROR(VLOOKUP(Orders!E189,Sales_Reps!$A$2:$E$31,3,FALSE()),"Not Found")</f>
        <v>East</v>
      </c>
      <c r="G189" s="46" t="n">
        <f aca="false">IFERROR(VLOOKUP(Orders!D189,Products!$A$2:$F$61,4,FALSE()),"")</f>
        <v>1728</v>
      </c>
      <c r="H189" s="47" t="n">
        <f aca="false">IF(G189="","",(Orders!G189-G189)/Orders!G189)</f>
        <v>0.484179104477612</v>
      </c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</row>
    <row r="190" customFormat="false" ht="15" hidden="false" customHeight="false" outlineLevel="0" collapsed="false">
      <c r="A190" s="46" t="str">
        <f aca="false">Orders!A190</f>
        <v>ORD-00189</v>
      </c>
      <c r="B190" s="46" t="str">
        <f aca="false">PROPER(TRIM(Orders!K190))</f>
        <v>Pune</v>
      </c>
      <c r="C190" s="46" t="str">
        <f aca="false">IFERROR(VLOOKUP(Orders!D190,Products!$A$2:$F$61,3,FALSE()),"Not Found")</f>
        <v>Grocery</v>
      </c>
      <c r="D190" s="46" t="str">
        <f aca="false">IFERROR(VLOOKUP(Orders!C190,Customers!$A$2:$F$301,5,FALSE()),"Not Found")</f>
        <v>Retail</v>
      </c>
      <c r="E190" s="46" t="n">
        <f aca="false">IFERROR(VLOOKUP(Orders!C190,Customers!$A$2:$F$301,3,FALSE()),"Not Found")</f>
        <v>59</v>
      </c>
      <c r="F190" s="46" t="str">
        <f aca="false">IFERROR(VLOOKUP(Orders!E190,Sales_Reps!$A$2:$E$31,3,FALSE()),"Not Found")</f>
        <v>North</v>
      </c>
      <c r="G190" s="46" t="n">
        <f aca="false">IFERROR(VLOOKUP(Orders!D190,Products!$A$2:$F$61,4,FALSE()),"")</f>
        <v>1412</v>
      </c>
      <c r="H190" s="47" t="n">
        <f aca="false">IF(G190="","",(Orders!G190-G190)/Orders!G190)</f>
        <v>0.377973568281938</v>
      </c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</row>
    <row r="191" customFormat="false" ht="15" hidden="false" customHeight="false" outlineLevel="0" collapsed="false">
      <c r="A191" s="46" t="str">
        <f aca="false">Orders!A191</f>
        <v>ORD-00190</v>
      </c>
      <c r="B191" s="46" t="str">
        <f aca="false">PROPER(TRIM(Orders!K191))</f>
        <v>Bengaluru</v>
      </c>
      <c r="C191" s="46" t="str">
        <f aca="false">IFERROR(VLOOKUP(Orders!D191,Products!$A$2:$F$61,3,FALSE()),"Not Found")</f>
        <v>Home</v>
      </c>
      <c r="D191" s="46" t="str">
        <f aca="false">IFERROR(VLOOKUP(Orders!C191,Customers!$A$2:$F$301,5,FALSE()),"Not Found")</f>
        <v>Retail</v>
      </c>
      <c r="E191" s="46" t="n">
        <f aca="false">IFERROR(VLOOKUP(Orders!C191,Customers!$A$2:$F$301,3,FALSE()),"Not Found")</f>
        <v>55</v>
      </c>
      <c r="F191" s="46" t="str">
        <f aca="false">IFERROR(VLOOKUP(Orders!E191,Sales_Reps!$A$2:$E$31,3,FALSE()),"Not Found")</f>
        <v>East</v>
      </c>
      <c r="G191" s="46" t="n">
        <f aca="false">IFERROR(VLOOKUP(Orders!D191,Products!$A$2:$F$61,4,FALSE()),"")</f>
        <v>1850</v>
      </c>
      <c r="H191" s="47" t="n">
        <f aca="false">IF(G191="","",(Orders!G191-G191)/Orders!G191)</f>
        <v>0.598698481561822</v>
      </c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</row>
    <row r="192" customFormat="false" ht="15" hidden="false" customHeight="false" outlineLevel="0" collapsed="false">
      <c r="A192" s="46" t="str">
        <f aca="false">Orders!A192</f>
        <v>ORD-00191</v>
      </c>
      <c r="B192" s="46" t="str">
        <f aca="false">PROPER(TRIM(Orders!K192))</f>
        <v>Bengaluru</v>
      </c>
      <c r="C192" s="46" t="str">
        <f aca="false">IFERROR(VLOOKUP(Orders!D192,Products!$A$2:$F$61,3,FALSE()),"Not Found")</f>
        <v>Apparel</v>
      </c>
      <c r="D192" s="46" t="str">
        <f aca="false">IFERROR(VLOOKUP(Orders!C192,Customers!$A$2:$F$301,5,FALSE()),"Not Found")</f>
        <v>SMB</v>
      </c>
      <c r="E192" s="46" t="n">
        <f aca="false">IFERROR(VLOOKUP(Orders!C192,Customers!$A$2:$F$301,3,FALSE()),"Not Found")</f>
        <v>26</v>
      </c>
      <c r="F192" s="46" t="str">
        <f aca="false">IFERROR(VLOOKUP(Orders!E192,Sales_Reps!$A$2:$E$31,3,FALSE()),"Not Found")</f>
        <v>South</v>
      </c>
      <c r="G192" s="46" t="n">
        <f aca="false">IFERROR(VLOOKUP(Orders!D192,Products!$A$2:$F$61,4,FALSE()),"")</f>
        <v>1886</v>
      </c>
      <c r="H192" s="47" t="n">
        <f aca="false">IF(G192="","",(Orders!G192-G192)/Orders!G192)</f>
        <v>0.403164556962025</v>
      </c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</row>
    <row r="193" customFormat="false" ht="15" hidden="false" customHeight="false" outlineLevel="0" collapsed="false">
      <c r="A193" s="46" t="str">
        <f aca="false">Orders!A193</f>
        <v>ORD-00192</v>
      </c>
      <c r="B193" s="46" t="str">
        <f aca="false">PROPER(TRIM(Orders!K193))</f>
        <v>Hyderabad</v>
      </c>
      <c r="C193" s="46" t="str">
        <f aca="false">IFERROR(VLOOKUP(Orders!D193,Products!$A$2:$F$61,3,FALSE()),"Not Found")</f>
        <v>Grocery</v>
      </c>
      <c r="D193" s="46" t="str">
        <f aca="false">IFERROR(VLOOKUP(Orders!C193,Customers!$A$2:$F$301,5,FALSE()),"Not Found")</f>
        <v>Retail</v>
      </c>
      <c r="E193" s="46" t="n">
        <f aca="false">IFERROR(VLOOKUP(Orders!C193,Customers!$A$2:$F$301,3,FALSE()),"Not Found")</f>
        <v>61</v>
      </c>
      <c r="F193" s="46" t="str">
        <f aca="false">IFERROR(VLOOKUP(Orders!E193,Sales_Reps!$A$2:$E$31,3,FALSE()),"Not Found")</f>
        <v>North</v>
      </c>
      <c r="G193" s="46" t="n">
        <f aca="false">IFERROR(VLOOKUP(Orders!D193,Products!$A$2:$F$61,4,FALSE()),"")</f>
        <v>1412</v>
      </c>
      <c r="H193" s="47" t="n">
        <f aca="false">IF(G193="","",(Orders!G193-G193)/Orders!G193)</f>
        <v>0.377973568281938</v>
      </c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</row>
    <row r="194" customFormat="false" ht="15" hidden="false" customHeight="false" outlineLevel="0" collapsed="false">
      <c r="A194" s="46" t="str">
        <f aca="false">Orders!A194</f>
        <v>ORD-00193</v>
      </c>
      <c r="B194" s="46" t="str">
        <f aca="false">PROPER(TRIM(Orders!K194))</f>
        <v>Pune</v>
      </c>
      <c r="C194" s="46" t="str">
        <f aca="false">IFERROR(VLOOKUP(Orders!D194,Products!$A$2:$F$61,3,FALSE()),"Not Found")</f>
        <v>Beauty</v>
      </c>
      <c r="D194" s="46" t="str">
        <f aca="false">IFERROR(VLOOKUP(Orders!C194,Customers!$A$2:$F$301,5,FALSE()),"Not Found")</f>
        <v>Retail</v>
      </c>
      <c r="E194" s="46" t="n">
        <f aca="false">IFERROR(VLOOKUP(Orders!C194,Customers!$A$2:$F$301,3,FALSE()),"Not Found")</f>
        <v>56</v>
      </c>
      <c r="F194" s="46" t="str">
        <f aca="false">IFERROR(VLOOKUP(Orders!E194,Sales_Reps!$A$2:$E$31,3,FALSE()),"Not Found")</f>
        <v>West</v>
      </c>
      <c r="G194" s="46" t="n">
        <f aca="false">IFERROR(VLOOKUP(Orders!D194,Products!$A$2:$F$61,4,FALSE()),"")</f>
        <v>1626</v>
      </c>
      <c r="H194" s="47" t="n">
        <f aca="false">IF(G194="","",(Orders!G194-G194)/Orders!G194)</f>
        <v>0.46158940397351</v>
      </c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</row>
    <row r="195" customFormat="false" ht="15" hidden="false" customHeight="false" outlineLevel="0" collapsed="false">
      <c r="A195" s="46" t="str">
        <f aca="false">Orders!A195</f>
        <v>ORD-00194</v>
      </c>
      <c r="B195" s="46" t="str">
        <f aca="false">PROPER(TRIM(Orders!K195))</f>
        <v>Bengaluru</v>
      </c>
      <c r="C195" s="46" t="str">
        <f aca="false">IFERROR(VLOOKUP(Orders!D195,Products!$A$2:$F$61,3,FALSE()),"Not Found")</f>
        <v>Sports</v>
      </c>
      <c r="D195" s="46" t="str">
        <f aca="false">IFERROR(VLOOKUP(Orders!C195,Customers!$A$2:$F$301,5,FALSE()),"Not Found")</f>
        <v>SMB</v>
      </c>
      <c r="E195" s="46" t="n">
        <f aca="false">IFERROR(VLOOKUP(Orders!C195,Customers!$A$2:$F$301,3,FALSE()),"Not Found")</f>
        <v>46</v>
      </c>
      <c r="F195" s="46" t="str">
        <f aca="false">IFERROR(VLOOKUP(Orders!E195,Sales_Reps!$A$2:$E$31,3,FALSE()),"Not Found")</f>
        <v>West</v>
      </c>
      <c r="G195" s="46" t="n">
        <f aca="false">IFERROR(VLOOKUP(Orders!D195,Products!$A$2:$F$61,4,FALSE()),"")</f>
        <v>2827</v>
      </c>
      <c r="H195" s="47" t="n">
        <f aca="false">IF(G195="","",(Orders!G195-G195)/Orders!G195)</f>
        <v>0.592651296829971</v>
      </c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</row>
    <row r="196" customFormat="false" ht="15" hidden="false" customHeight="false" outlineLevel="0" collapsed="false">
      <c r="A196" s="46" t="str">
        <f aca="false">Orders!A196</f>
        <v>ORD-00195</v>
      </c>
      <c r="B196" s="46" t="str">
        <f aca="false">PROPER(TRIM(Orders!K196))</f>
        <v>Pune</v>
      </c>
      <c r="C196" s="46" t="str">
        <f aca="false">IFERROR(VLOOKUP(Orders!D196,Products!$A$2:$F$61,3,FALSE()),"Not Found")</f>
        <v>Beauty</v>
      </c>
      <c r="D196" s="46" t="str">
        <f aca="false">IFERROR(VLOOKUP(Orders!C196,Customers!$A$2:$F$301,5,FALSE()),"Not Found")</f>
        <v>Corporate</v>
      </c>
      <c r="E196" s="46" t="n">
        <f aca="false">IFERROR(VLOOKUP(Orders!C196,Customers!$A$2:$F$301,3,FALSE()),"Not Found")</f>
        <v>29</v>
      </c>
      <c r="F196" s="46" t="str">
        <f aca="false">IFERROR(VLOOKUP(Orders!E196,Sales_Reps!$A$2:$E$31,3,FALSE()),"Not Found")</f>
        <v>South</v>
      </c>
      <c r="G196" s="46" t="n">
        <f aca="false">IFERROR(VLOOKUP(Orders!D196,Products!$A$2:$F$61,4,FALSE()),"")</f>
        <v>647</v>
      </c>
      <c r="H196" s="47" t="n">
        <f aca="false">IF(G196="","",(Orders!G196-G196)/Orders!G196)</f>
        <v>0.57987012987013</v>
      </c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</row>
    <row r="197" customFormat="false" ht="15" hidden="false" customHeight="false" outlineLevel="0" collapsed="false">
      <c r="A197" s="46" t="str">
        <f aca="false">Orders!A197</f>
        <v>ORD-00196</v>
      </c>
      <c r="B197" s="46" t="str">
        <f aca="false">PROPER(TRIM(Orders!K197))</f>
        <v>Pune</v>
      </c>
      <c r="C197" s="46" t="str">
        <f aca="false">IFERROR(VLOOKUP(Orders!D197,Products!$A$2:$F$61,3,FALSE()),"Not Found")</f>
        <v>Apparel</v>
      </c>
      <c r="D197" s="46" t="str">
        <f aca="false">IFERROR(VLOOKUP(Orders!C197,Customers!$A$2:$F$301,5,FALSE()),"Not Found")</f>
        <v>Retail</v>
      </c>
      <c r="E197" s="46" t="n">
        <f aca="false">IFERROR(VLOOKUP(Orders!C197,Customers!$A$2:$F$301,3,FALSE()),"Not Found")</f>
        <v>49</v>
      </c>
      <c r="F197" s="46" t="str">
        <f aca="false">IFERROR(VLOOKUP(Orders!E197,Sales_Reps!$A$2:$E$31,3,FALSE()),"Not Found")</f>
        <v>West</v>
      </c>
      <c r="G197" s="46" t="n">
        <f aca="false">IFERROR(VLOOKUP(Orders!D197,Products!$A$2:$F$61,4,FALSE()),"")</f>
        <v>1173</v>
      </c>
      <c r="H197" s="47" t="n">
        <f aca="false">IF(G197="","",(Orders!G197-G197)/Orders!G197)</f>
        <v>0.527016129032258</v>
      </c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</row>
    <row r="198" customFormat="false" ht="15" hidden="false" customHeight="false" outlineLevel="0" collapsed="false">
      <c r="A198" s="46" t="str">
        <f aca="false">Orders!A198</f>
        <v>ORD-00197</v>
      </c>
      <c r="B198" s="46" t="str">
        <f aca="false">PROPER(TRIM(Orders!K198))</f>
        <v>Mumbai</v>
      </c>
      <c r="C198" s="46" t="str">
        <f aca="false">IFERROR(VLOOKUP(Orders!D198,Products!$A$2:$F$61,3,FALSE()),"Not Found")</f>
        <v>Sports</v>
      </c>
      <c r="D198" s="46" t="str">
        <f aca="false">IFERROR(VLOOKUP(Orders!C198,Customers!$A$2:$F$301,5,FALSE()),"Not Found")</f>
        <v>Corporate</v>
      </c>
      <c r="E198" s="46" t="n">
        <f aca="false">IFERROR(VLOOKUP(Orders!C198,Customers!$A$2:$F$301,3,FALSE()),"Not Found")</f>
        <v>35</v>
      </c>
      <c r="F198" s="46" t="str">
        <f aca="false">IFERROR(VLOOKUP(Orders!E198,Sales_Reps!$A$2:$E$31,3,FALSE()),"Not Found")</f>
        <v>East</v>
      </c>
      <c r="G198" s="46" t="n">
        <f aca="false">IFERROR(VLOOKUP(Orders!D198,Products!$A$2:$F$61,4,FALSE()),"")</f>
        <v>147</v>
      </c>
      <c r="H198" s="47" t="n">
        <f aca="false">IF(G198="","",(Orders!G198-G198)/Orders!G198)</f>
        <v>0.226315789473684</v>
      </c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</row>
    <row r="199" customFormat="false" ht="15" hidden="false" customHeight="false" outlineLevel="0" collapsed="false">
      <c r="A199" s="46" t="str">
        <f aca="false">Orders!A199</f>
        <v>ORD-00198</v>
      </c>
      <c r="B199" s="46" t="str">
        <f aca="false">PROPER(TRIM(Orders!K199))</f>
        <v>Delhi</v>
      </c>
      <c r="C199" s="46" t="str">
        <f aca="false">IFERROR(VLOOKUP(Orders!D199,Products!$A$2:$F$61,3,FALSE()),"Not Found")</f>
        <v>Sports</v>
      </c>
      <c r="D199" s="46" t="str">
        <f aca="false">IFERROR(VLOOKUP(Orders!C199,Customers!$A$2:$F$301,5,FALSE()),"Not Found")</f>
        <v>SMB</v>
      </c>
      <c r="E199" s="46" t="n">
        <f aca="false">IFERROR(VLOOKUP(Orders!C199,Customers!$A$2:$F$301,3,FALSE()),"Not Found")</f>
        <v>55</v>
      </c>
      <c r="F199" s="46" t="str">
        <f aca="false">IFERROR(VLOOKUP(Orders!E199,Sales_Reps!$A$2:$E$31,3,FALSE()),"Not Found")</f>
        <v>South</v>
      </c>
      <c r="G199" s="46" t="n">
        <f aca="false">IFERROR(VLOOKUP(Orders!D199,Products!$A$2:$F$61,4,FALSE()),"")</f>
        <v>2028</v>
      </c>
      <c r="H199" s="47" t="n">
        <f aca="false">IF(G199="","",(Orders!G199-G199)/Orders!G199)</f>
        <v>0.290909090909091</v>
      </c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</row>
    <row r="200" customFormat="false" ht="15" hidden="false" customHeight="false" outlineLevel="0" collapsed="false">
      <c r="A200" s="46" t="str">
        <f aca="false">Orders!A200</f>
        <v>ORD-00199</v>
      </c>
      <c r="B200" s="46" t="str">
        <f aca="false">PROPER(TRIM(Orders!K200))</f>
        <v>Mumbai</v>
      </c>
      <c r="C200" s="46" t="str">
        <f aca="false">IFERROR(VLOOKUP(Orders!D200,Products!$A$2:$F$61,3,FALSE()),"Not Found")</f>
        <v>Apparel</v>
      </c>
      <c r="D200" s="46" t="str">
        <f aca="false">IFERROR(VLOOKUP(Orders!C200,Customers!$A$2:$F$301,5,FALSE()),"Not Found")</f>
        <v>Corporate</v>
      </c>
      <c r="E200" s="46" t="n">
        <f aca="false">IFERROR(VLOOKUP(Orders!C200,Customers!$A$2:$F$301,3,FALSE()),"Not Found")</f>
        <v>55</v>
      </c>
      <c r="F200" s="46" t="str">
        <f aca="false">IFERROR(VLOOKUP(Orders!E200,Sales_Reps!$A$2:$E$31,3,FALSE()),"Not Found")</f>
        <v>South</v>
      </c>
      <c r="G200" s="46" t="n">
        <f aca="false">IFERROR(VLOOKUP(Orders!D200,Products!$A$2:$F$61,4,FALSE()),"")</f>
        <v>1075</v>
      </c>
      <c r="H200" s="47" t="n">
        <f aca="false">IF(G200="","",(Orders!G200-G200)/Orders!G200)</f>
        <v>0.571713147410359</v>
      </c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</row>
    <row r="201" customFormat="false" ht="15" hidden="false" customHeight="false" outlineLevel="0" collapsed="false">
      <c r="A201" s="46" t="str">
        <f aca="false">Orders!A201</f>
        <v>ORD-00200</v>
      </c>
      <c r="B201" s="46" t="str">
        <f aca="false">PROPER(TRIM(Orders!K201))</f>
        <v>Bengaluru</v>
      </c>
      <c r="C201" s="46" t="str">
        <f aca="false">IFERROR(VLOOKUP(Orders!D201,Products!$A$2:$F$61,3,FALSE()),"Not Found")</f>
        <v>Electronics</v>
      </c>
      <c r="D201" s="46" t="str">
        <f aca="false">IFERROR(VLOOKUP(Orders!C201,Customers!$A$2:$F$301,5,FALSE()),"Not Found")</f>
        <v>Retail</v>
      </c>
      <c r="E201" s="46" t="n">
        <f aca="false">IFERROR(VLOOKUP(Orders!C201,Customers!$A$2:$F$301,3,FALSE()),"Not Found")</f>
        <v>23</v>
      </c>
      <c r="F201" s="46" t="str">
        <f aca="false">IFERROR(VLOOKUP(Orders!E201,Sales_Reps!$A$2:$E$31,3,FALSE()),"Not Found")</f>
        <v>North</v>
      </c>
      <c r="G201" s="46" t="n">
        <f aca="false">IFERROR(VLOOKUP(Orders!D201,Products!$A$2:$F$61,4,FALSE()),"")</f>
        <v>1665</v>
      </c>
      <c r="H201" s="47" t="n">
        <f aca="false">IF(G201="","",(Orders!G201-G201)/Orders!G201)</f>
        <v>0.533613445378151</v>
      </c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</row>
    <row r="202" customFormat="false" ht="15" hidden="false" customHeight="false" outlineLevel="0" collapsed="false">
      <c r="A202" s="46" t="str">
        <f aca="false">Orders!A202</f>
        <v>ORD-00201</v>
      </c>
      <c r="B202" s="46" t="str">
        <f aca="false">PROPER(TRIM(Orders!K202))</f>
        <v>Delhi</v>
      </c>
      <c r="C202" s="46" t="str">
        <f aca="false">IFERROR(VLOOKUP(Orders!D202,Products!$A$2:$F$61,3,FALSE()),"Not Found")</f>
        <v>Home</v>
      </c>
      <c r="D202" s="46" t="str">
        <f aca="false">IFERROR(VLOOKUP(Orders!C202,Customers!$A$2:$F$301,5,FALSE()),"Not Found")</f>
        <v>Retail</v>
      </c>
      <c r="E202" s="46" t="n">
        <f aca="false">IFERROR(VLOOKUP(Orders!C202,Customers!$A$2:$F$301,3,FALSE()),"Not Found")</f>
        <v>59</v>
      </c>
      <c r="F202" s="46" t="str">
        <f aca="false">IFERROR(VLOOKUP(Orders!E202,Sales_Reps!$A$2:$E$31,3,FALSE()),"Not Found")</f>
        <v>South</v>
      </c>
      <c r="G202" s="46" t="n">
        <f aca="false">IFERROR(VLOOKUP(Orders!D202,Products!$A$2:$F$61,4,FALSE()),"")</f>
        <v>2135</v>
      </c>
      <c r="H202" s="47" t="n">
        <f aca="false">IF(G202="","",(Orders!G202-G202)/Orders!G202)</f>
        <v>0.427613941018767</v>
      </c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</row>
    <row r="203" customFormat="false" ht="15" hidden="false" customHeight="false" outlineLevel="0" collapsed="false">
      <c r="A203" s="46" t="str">
        <f aca="false">Orders!A203</f>
        <v>ORD-00202</v>
      </c>
      <c r="B203" s="46" t="str">
        <f aca="false">PROPER(TRIM(Orders!K203))</f>
        <v>Mumbai</v>
      </c>
      <c r="C203" s="46" t="str">
        <f aca="false">IFERROR(VLOOKUP(Orders!D203,Products!$A$2:$F$61,3,FALSE()),"Not Found")</f>
        <v>Home</v>
      </c>
      <c r="D203" s="46" t="str">
        <f aca="false">IFERROR(VLOOKUP(Orders!C203,Customers!$A$2:$F$301,5,FALSE()),"Not Found")</f>
        <v>Retail</v>
      </c>
      <c r="E203" s="46" t="n">
        <f aca="false">IFERROR(VLOOKUP(Orders!C203,Customers!$A$2:$F$301,3,FALSE()),"Not Found")</f>
        <v>44</v>
      </c>
      <c r="F203" s="46" t="str">
        <f aca="false">IFERROR(VLOOKUP(Orders!E203,Sales_Reps!$A$2:$E$31,3,FALSE()),"Not Found")</f>
        <v>West</v>
      </c>
      <c r="G203" s="46" t="n">
        <f aca="false">IFERROR(VLOOKUP(Orders!D203,Products!$A$2:$F$61,4,FALSE()),"")</f>
        <v>288</v>
      </c>
      <c r="H203" s="47" t="n">
        <f aca="false">IF(G203="","",(Orders!G203-G203)/Orders!G203)</f>
        <v>0.221621621621622</v>
      </c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</row>
    <row r="204" customFormat="false" ht="15" hidden="false" customHeight="false" outlineLevel="0" collapsed="false">
      <c r="A204" s="46" t="str">
        <f aca="false">Orders!A204</f>
        <v>ORD-00203</v>
      </c>
      <c r="B204" s="46" t="str">
        <f aca="false">PROPER(TRIM(Orders!K204))</f>
        <v>Delhi</v>
      </c>
      <c r="C204" s="46" t="str">
        <f aca="false">IFERROR(VLOOKUP(Orders!D204,Products!$A$2:$F$61,3,FALSE()),"Not Found")</f>
        <v>Electronics</v>
      </c>
      <c r="D204" s="46" t="str">
        <f aca="false">IFERROR(VLOOKUP(Orders!C204,Customers!$A$2:$F$301,5,FALSE()),"Not Found")</f>
        <v>Retail</v>
      </c>
      <c r="E204" s="46" t="n">
        <f aca="false">IFERROR(VLOOKUP(Orders!C204,Customers!$A$2:$F$301,3,FALSE()),"Not Found")</f>
        <v>45</v>
      </c>
      <c r="F204" s="46" t="str">
        <f aca="false">IFERROR(VLOOKUP(Orders!E204,Sales_Reps!$A$2:$E$31,3,FALSE()),"Not Found")</f>
        <v>South</v>
      </c>
      <c r="G204" s="46" t="n">
        <f aca="false">IFERROR(VLOOKUP(Orders!D204,Products!$A$2:$F$61,4,FALSE()),"")</f>
        <v>1259</v>
      </c>
      <c r="H204" s="47" t="n">
        <f aca="false">IF(G204="","",(Orders!G204-G204)/Orders!G204)</f>
        <v>0.526691729323308</v>
      </c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</row>
    <row r="205" customFormat="false" ht="15" hidden="false" customHeight="false" outlineLevel="0" collapsed="false">
      <c r="A205" s="46" t="str">
        <f aca="false">Orders!A205</f>
        <v>ORD-00204</v>
      </c>
      <c r="B205" s="46" t="str">
        <f aca="false">PROPER(TRIM(Orders!K205))</f>
        <v>Bengaluru</v>
      </c>
      <c r="C205" s="46" t="str">
        <f aca="false">IFERROR(VLOOKUP(Orders!D205,Products!$A$2:$F$61,3,FALSE()),"Not Found")</f>
        <v>Grocery</v>
      </c>
      <c r="D205" s="46" t="str">
        <f aca="false">IFERROR(VLOOKUP(Orders!C205,Customers!$A$2:$F$301,5,FALSE()),"Not Found")</f>
        <v>Retail</v>
      </c>
      <c r="E205" s="46" t="n">
        <f aca="false">IFERROR(VLOOKUP(Orders!C205,Customers!$A$2:$F$301,3,FALSE()),"Not Found")</f>
        <v>23</v>
      </c>
      <c r="F205" s="46" t="str">
        <f aca="false">IFERROR(VLOOKUP(Orders!E205,Sales_Reps!$A$2:$E$31,3,FALSE()),"Not Found")</f>
        <v>South</v>
      </c>
      <c r="G205" s="46" t="n">
        <f aca="false">IFERROR(VLOOKUP(Orders!D205,Products!$A$2:$F$61,4,FALSE()),"")</f>
        <v>1435</v>
      </c>
      <c r="H205" s="47" t="n">
        <f aca="false">IF(G205="","",(Orders!G205-G205)/Orders!G205)</f>
        <v>0.480072463768116</v>
      </c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</row>
    <row r="206" customFormat="false" ht="15" hidden="false" customHeight="false" outlineLevel="0" collapsed="false">
      <c r="A206" s="46" t="str">
        <f aca="false">Orders!A206</f>
        <v>ORD-00205</v>
      </c>
      <c r="B206" s="46" t="str">
        <f aca="false">PROPER(TRIM(Orders!K206))</f>
        <v>Delhi</v>
      </c>
      <c r="C206" s="46" t="str">
        <f aca="false">IFERROR(VLOOKUP(Orders!D206,Products!$A$2:$F$61,3,FALSE()),"Not Found")</f>
        <v>Beauty</v>
      </c>
      <c r="D206" s="46" t="str">
        <f aca="false">IFERROR(VLOOKUP(Orders!C206,Customers!$A$2:$F$301,5,FALSE()),"Not Found")</f>
        <v>SMB</v>
      </c>
      <c r="E206" s="46" t="n">
        <f aca="false">IFERROR(VLOOKUP(Orders!C206,Customers!$A$2:$F$301,3,FALSE()),"Not Found")</f>
        <v>48</v>
      </c>
      <c r="F206" s="46" t="str">
        <f aca="false">IFERROR(VLOOKUP(Orders!E206,Sales_Reps!$A$2:$E$31,3,FALSE()),"Not Found")</f>
        <v>South</v>
      </c>
      <c r="G206" s="46" t="n">
        <f aca="false">IFERROR(VLOOKUP(Orders!D206,Products!$A$2:$F$61,4,FALSE()),"")</f>
        <v>1728</v>
      </c>
      <c r="H206" s="47" t="n">
        <f aca="false">IF(G206="","",(Orders!G206-G206)/Orders!G206)</f>
        <v>0.484179104477612</v>
      </c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</row>
    <row r="207" customFormat="false" ht="15" hidden="false" customHeight="false" outlineLevel="0" collapsed="false">
      <c r="A207" s="46" t="str">
        <f aca="false">Orders!A207</f>
        <v>ORD-00206</v>
      </c>
      <c r="B207" s="46" t="str">
        <f aca="false">PROPER(TRIM(Orders!K207))</f>
        <v>Pune</v>
      </c>
      <c r="C207" s="46" t="str">
        <f aca="false">IFERROR(VLOOKUP(Orders!D207,Products!$A$2:$F$61,3,FALSE()),"Not Found")</f>
        <v>Electronics</v>
      </c>
      <c r="D207" s="46" t="str">
        <f aca="false">IFERROR(VLOOKUP(Orders!C207,Customers!$A$2:$F$301,5,FALSE()),"Not Found")</f>
        <v>SMB</v>
      </c>
      <c r="E207" s="46" t="n">
        <f aca="false">IFERROR(VLOOKUP(Orders!C207,Customers!$A$2:$F$301,3,FALSE()),"Not Found")</f>
        <v>30</v>
      </c>
      <c r="F207" s="46" t="str">
        <f aca="false">IFERROR(VLOOKUP(Orders!E207,Sales_Reps!$A$2:$E$31,3,FALSE()),"Not Found")</f>
        <v>East</v>
      </c>
      <c r="G207" s="46" t="n">
        <f aca="false">IFERROR(VLOOKUP(Orders!D207,Products!$A$2:$F$61,4,FALSE()),"")</f>
        <v>128</v>
      </c>
      <c r="H207" s="47" t="n">
        <f aca="false">IF(G207="","",(Orders!G207-G207)/Orders!G207)</f>
        <v>0.573333333333333</v>
      </c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</row>
    <row r="208" customFormat="false" ht="15" hidden="false" customHeight="false" outlineLevel="0" collapsed="false">
      <c r="A208" s="46" t="str">
        <f aca="false">Orders!A208</f>
        <v>ORD-00207</v>
      </c>
      <c r="B208" s="46" t="str">
        <f aca="false">PROPER(TRIM(Orders!K208))</f>
        <v>Mumbai</v>
      </c>
      <c r="C208" s="46" t="str">
        <f aca="false">IFERROR(VLOOKUP(Orders!D208,Products!$A$2:$F$61,3,FALSE()),"Not Found")</f>
        <v>Apparel</v>
      </c>
      <c r="D208" s="46" t="str">
        <f aca="false">IFERROR(VLOOKUP(Orders!C208,Customers!$A$2:$F$301,5,FALSE()),"Not Found")</f>
        <v>Retail</v>
      </c>
      <c r="E208" s="46" t="n">
        <f aca="false">IFERROR(VLOOKUP(Orders!C208,Customers!$A$2:$F$301,3,FALSE()),"Not Found")</f>
        <v>44</v>
      </c>
      <c r="F208" s="46" t="str">
        <f aca="false">IFERROR(VLOOKUP(Orders!E208,Sales_Reps!$A$2:$E$31,3,FALSE()),"Not Found")</f>
        <v>North</v>
      </c>
      <c r="G208" s="46" t="n">
        <f aca="false">IFERROR(VLOOKUP(Orders!D208,Products!$A$2:$F$61,4,FALSE()),"")</f>
        <v>1962</v>
      </c>
      <c r="H208" s="47" t="n">
        <f aca="false">IF(G208="","",(Orders!G208-G208)/Orders!G208)</f>
        <v>0.278676470588235</v>
      </c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</row>
    <row r="209" customFormat="false" ht="15" hidden="false" customHeight="false" outlineLevel="0" collapsed="false">
      <c r="A209" s="46" t="str">
        <f aca="false">Orders!A209</f>
        <v>ORD-00208</v>
      </c>
      <c r="B209" s="46" t="str">
        <f aca="false">PROPER(TRIM(Orders!K209))</f>
        <v>Hyderabad</v>
      </c>
      <c r="C209" s="46" t="str">
        <f aca="false">IFERROR(VLOOKUP(Orders!D209,Products!$A$2:$F$61,3,FALSE()),"Not Found")</f>
        <v>Electronics</v>
      </c>
      <c r="D209" s="46" t="str">
        <f aca="false">IFERROR(VLOOKUP(Orders!C209,Customers!$A$2:$F$301,5,FALSE()),"Not Found")</f>
        <v>SMB</v>
      </c>
      <c r="E209" s="46" t="n">
        <f aca="false">IFERROR(VLOOKUP(Orders!C209,Customers!$A$2:$F$301,3,FALSE()),"Not Found")</f>
        <v>48</v>
      </c>
      <c r="F209" s="46" t="str">
        <f aca="false">IFERROR(VLOOKUP(Orders!E209,Sales_Reps!$A$2:$E$31,3,FALSE()),"Not Found")</f>
        <v>South</v>
      </c>
      <c r="G209" s="46" t="n">
        <f aca="false">IFERROR(VLOOKUP(Orders!D209,Products!$A$2:$F$61,4,FALSE()),"")</f>
        <v>1559</v>
      </c>
      <c r="H209" s="47" t="n">
        <f aca="false">IF(G209="","",(Orders!G209-G209)/Orders!G209)</f>
        <v>0.597157622739018</v>
      </c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</row>
    <row r="210" customFormat="false" ht="15" hidden="false" customHeight="false" outlineLevel="0" collapsed="false">
      <c r="A210" s="46" t="str">
        <f aca="false">Orders!A210</f>
        <v>ORD-00209</v>
      </c>
      <c r="B210" s="46" t="str">
        <f aca="false">PROPER(TRIM(Orders!K210))</f>
        <v>Hyderabad</v>
      </c>
      <c r="C210" s="46" t="str">
        <f aca="false">IFERROR(VLOOKUP(Orders!D210,Products!$A$2:$F$61,3,FALSE()),"Not Found")</f>
        <v>Home</v>
      </c>
      <c r="D210" s="46" t="str">
        <f aca="false">IFERROR(VLOOKUP(Orders!C210,Customers!$A$2:$F$301,5,FALSE()),"Not Found")</f>
        <v>Retail</v>
      </c>
      <c r="E210" s="46" t="n">
        <f aca="false">IFERROR(VLOOKUP(Orders!C210,Customers!$A$2:$F$301,3,FALSE()),"Not Found")</f>
        <v>38</v>
      </c>
      <c r="F210" s="46" t="str">
        <f aca="false">IFERROR(VLOOKUP(Orders!E210,Sales_Reps!$A$2:$E$31,3,FALSE()),"Not Found")</f>
        <v>South</v>
      </c>
      <c r="G210" s="46" t="n">
        <f aca="false">IFERROR(VLOOKUP(Orders!D210,Products!$A$2:$F$61,4,FALSE()),"")</f>
        <v>2135</v>
      </c>
      <c r="H210" s="47" t="n">
        <f aca="false">IF(G210="","",(Orders!G210-G210)/Orders!G210)</f>
        <v>0.427613941018767</v>
      </c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</row>
    <row r="211" customFormat="false" ht="15" hidden="false" customHeight="false" outlineLevel="0" collapsed="false">
      <c r="A211" s="46" t="str">
        <f aca="false">Orders!A211</f>
        <v>ORD-00210</v>
      </c>
      <c r="B211" s="46" t="str">
        <f aca="false">PROPER(TRIM(Orders!K211))</f>
        <v>Chennai</v>
      </c>
      <c r="C211" s="46" t="str">
        <f aca="false">IFERROR(VLOOKUP(Orders!D211,Products!$A$2:$F$61,3,FALSE()),"Not Found")</f>
        <v>Apparel</v>
      </c>
      <c r="D211" s="46" t="str">
        <f aca="false">IFERROR(VLOOKUP(Orders!C211,Customers!$A$2:$F$301,5,FALSE()),"Not Found")</f>
        <v>Corporate</v>
      </c>
      <c r="E211" s="46" t="n">
        <f aca="false">IFERROR(VLOOKUP(Orders!C211,Customers!$A$2:$F$301,3,FALSE()),"Not Found")</f>
        <v>34</v>
      </c>
      <c r="F211" s="46" t="str">
        <f aca="false">IFERROR(VLOOKUP(Orders!E211,Sales_Reps!$A$2:$E$31,3,FALSE()),"Not Found")</f>
        <v>South</v>
      </c>
      <c r="G211" s="46" t="n">
        <f aca="false">IFERROR(VLOOKUP(Orders!D211,Products!$A$2:$F$61,4,FALSE()),"")</f>
        <v>1173</v>
      </c>
      <c r="H211" s="47" t="n">
        <f aca="false">IF(G211="","",(Orders!G211-G211)/Orders!G211)</f>
        <v>0.527016129032258</v>
      </c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</row>
    <row r="212" customFormat="false" ht="15" hidden="false" customHeight="false" outlineLevel="0" collapsed="false">
      <c r="A212" s="46" t="str">
        <f aca="false">Orders!A212</f>
        <v>ORD-00211</v>
      </c>
      <c r="B212" s="46" t="str">
        <f aca="false">PROPER(TRIM(Orders!K212))</f>
        <v>Hyderabad</v>
      </c>
      <c r="C212" s="46" t="str">
        <f aca="false">IFERROR(VLOOKUP(Orders!D212,Products!$A$2:$F$61,3,FALSE()),"Not Found")</f>
        <v>Sports</v>
      </c>
      <c r="D212" s="46" t="str">
        <f aca="false">IFERROR(VLOOKUP(Orders!C212,Customers!$A$2:$F$301,5,FALSE()),"Not Found")</f>
        <v>Retail</v>
      </c>
      <c r="E212" s="46" t="n">
        <f aca="false">IFERROR(VLOOKUP(Orders!C212,Customers!$A$2:$F$301,3,FALSE()),"Not Found")</f>
        <v>44</v>
      </c>
      <c r="F212" s="46" t="str">
        <f aca="false">IFERROR(VLOOKUP(Orders!E212,Sales_Reps!$A$2:$E$31,3,FALSE()),"Not Found")</f>
        <v>East</v>
      </c>
      <c r="G212" s="46" t="n">
        <f aca="false">IFERROR(VLOOKUP(Orders!D212,Products!$A$2:$F$61,4,FALSE()),"")</f>
        <v>705</v>
      </c>
      <c r="H212" s="47" t="n">
        <f aca="false">IF(G212="","",(Orders!G212-G212)/Orders!G212)</f>
        <v>0.265625</v>
      </c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</row>
    <row r="213" customFormat="false" ht="15" hidden="false" customHeight="false" outlineLevel="0" collapsed="false">
      <c r="A213" s="46" t="str">
        <f aca="false">Orders!A213</f>
        <v>ORD-00212</v>
      </c>
      <c r="B213" s="46" t="str">
        <f aca="false">PROPER(TRIM(Orders!K213))</f>
        <v>Hyderabad</v>
      </c>
      <c r="C213" s="46" t="str">
        <f aca="false">IFERROR(VLOOKUP(Orders!D213,Products!$A$2:$F$61,3,FALSE()),"Not Found")</f>
        <v>Beauty</v>
      </c>
      <c r="D213" s="46" t="str">
        <f aca="false">IFERROR(VLOOKUP(Orders!C213,Customers!$A$2:$F$301,5,FALSE()),"Not Found")</f>
        <v>Retail</v>
      </c>
      <c r="E213" s="46" t="n">
        <f aca="false">IFERROR(VLOOKUP(Orders!C213,Customers!$A$2:$F$301,3,FALSE()),"Not Found")</f>
        <v>25</v>
      </c>
      <c r="F213" s="46" t="str">
        <f aca="false">IFERROR(VLOOKUP(Orders!E213,Sales_Reps!$A$2:$E$31,3,FALSE()),"Not Found")</f>
        <v>East</v>
      </c>
      <c r="G213" s="46" t="n">
        <f aca="false">IFERROR(VLOOKUP(Orders!D213,Products!$A$2:$F$61,4,FALSE()),"")</f>
        <v>2768</v>
      </c>
      <c r="H213" s="47" t="n">
        <f aca="false">IF(G213="","",(Orders!G213-G213)/Orders!G213)</f>
        <v>0.432786885245902</v>
      </c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</row>
    <row r="214" customFormat="false" ht="15" hidden="false" customHeight="false" outlineLevel="0" collapsed="false">
      <c r="A214" s="46" t="str">
        <f aca="false">Orders!A214</f>
        <v>ORD-00213</v>
      </c>
      <c r="B214" s="46" t="str">
        <f aca="false">PROPER(TRIM(Orders!K214))</f>
        <v>Delhi</v>
      </c>
      <c r="C214" s="46" t="str">
        <f aca="false">IFERROR(VLOOKUP(Orders!D214,Products!$A$2:$F$61,3,FALSE()),"Not Found")</f>
        <v>Apparel</v>
      </c>
      <c r="D214" s="46" t="str">
        <f aca="false">IFERROR(VLOOKUP(Orders!C214,Customers!$A$2:$F$301,5,FALSE()),"Not Found")</f>
        <v>SMB</v>
      </c>
      <c r="E214" s="46" t="n">
        <f aca="false">IFERROR(VLOOKUP(Orders!C214,Customers!$A$2:$F$301,3,FALSE()),"Not Found")</f>
        <v>29</v>
      </c>
      <c r="F214" s="46" t="str">
        <f aca="false">IFERROR(VLOOKUP(Orders!E214,Sales_Reps!$A$2:$E$31,3,FALSE()),"Not Found")</f>
        <v>West</v>
      </c>
      <c r="G214" s="46" t="n">
        <f aca="false">IFERROR(VLOOKUP(Orders!D214,Products!$A$2:$F$61,4,FALSE()),"")</f>
        <v>2509</v>
      </c>
      <c r="H214" s="47" t="n">
        <f aca="false">IF(G214="","",(Orders!G214-G214)/Orders!G214)</f>
        <v>0.306906077348066</v>
      </c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</row>
    <row r="215" customFormat="false" ht="15" hidden="false" customHeight="false" outlineLevel="0" collapsed="false">
      <c r="A215" s="46" t="str">
        <f aca="false">Orders!A215</f>
        <v>ORD-00214</v>
      </c>
      <c r="B215" s="46" t="str">
        <f aca="false">PROPER(TRIM(Orders!K215))</f>
        <v>Delhi</v>
      </c>
      <c r="C215" s="46" t="str">
        <f aca="false">IFERROR(VLOOKUP(Orders!D215,Products!$A$2:$F$61,3,FALSE()),"Not Found")</f>
        <v>Electronics</v>
      </c>
      <c r="D215" s="46" t="str">
        <f aca="false">IFERROR(VLOOKUP(Orders!C215,Customers!$A$2:$F$301,5,FALSE()),"Not Found")</f>
        <v>Retail</v>
      </c>
      <c r="E215" s="46" t="n">
        <f aca="false">IFERROR(VLOOKUP(Orders!C215,Customers!$A$2:$F$301,3,FALSE()),"Not Found")</f>
        <v>35</v>
      </c>
      <c r="F215" s="46" t="str">
        <f aca="false">IFERROR(VLOOKUP(Orders!E215,Sales_Reps!$A$2:$E$31,3,FALSE()),"Not Found")</f>
        <v>North</v>
      </c>
      <c r="G215" s="46" t="n">
        <f aca="false">IFERROR(VLOOKUP(Orders!D215,Products!$A$2:$F$61,4,FALSE()),"")</f>
        <v>2865</v>
      </c>
      <c r="H215" s="47" t="n">
        <f aca="false">IF(G215="","",(Orders!G215-G215)/Orders!G215)</f>
        <v>0.278337531486146</v>
      </c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</row>
    <row r="216" customFormat="false" ht="15" hidden="false" customHeight="false" outlineLevel="0" collapsed="false">
      <c r="A216" s="46" t="str">
        <f aca="false">Orders!A216</f>
        <v>ORD-00215</v>
      </c>
      <c r="B216" s="46" t="str">
        <f aca="false">PROPER(TRIM(Orders!K216))</f>
        <v>Hyderabad</v>
      </c>
      <c r="C216" s="46" t="str">
        <f aca="false">IFERROR(VLOOKUP(Orders!D216,Products!$A$2:$F$61,3,FALSE()),"Not Found")</f>
        <v>Grocery</v>
      </c>
      <c r="D216" s="46" t="str">
        <f aca="false">IFERROR(VLOOKUP(Orders!C216,Customers!$A$2:$F$301,5,FALSE()),"Not Found")</f>
        <v>Retail</v>
      </c>
      <c r="E216" s="46" t="n">
        <f aca="false">IFERROR(VLOOKUP(Orders!C216,Customers!$A$2:$F$301,3,FALSE()),"Not Found")</f>
        <v>32</v>
      </c>
      <c r="F216" s="46" t="str">
        <f aca="false">IFERROR(VLOOKUP(Orders!E216,Sales_Reps!$A$2:$E$31,3,FALSE()),"Not Found")</f>
        <v>West</v>
      </c>
      <c r="G216" s="46" t="n">
        <f aca="false">IFERROR(VLOOKUP(Orders!D216,Products!$A$2:$F$61,4,FALSE()),"")</f>
        <v>1412</v>
      </c>
      <c r="H216" s="47" t="n">
        <f aca="false">IF(G216="","",(Orders!G216-G216)/Orders!G216)</f>
        <v>0.377973568281938</v>
      </c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</row>
    <row r="217" customFormat="false" ht="15" hidden="false" customHeight="false" outlineLevel="0" collapsed="false">
      <c r="A217" s="46" t="str">
        <f aca="false">Orders!A217</f>
        <v>ORD-00216</v>
      </c>
      <c r="B217" s="46" t="str">
        <f aca="false">PROPER(TRIM(Orders!K217))</f>
        <v>Delhi</v>
      </c>
      <c r="C217" s="46" t="str">
        <f aca="false">IFERROR(VLOOKUP(Orders!D217,Products!$A$2:$F$61,3,FALSE()),"Not Found")</f>
        <v>Grocery</v>
      </c>
      <c r="D217" s="46" t="str">
        <f aca="false">IFERROR(VLOOKUP(Orders!C217,Customers!$A$2:$F$301,5,FALSE()),"Not Found")</f>
        <v>Corporate</v>
      </c>
      <c r="E217" s="46" t="n">
        <f aca="false">IFERROR(VLOOKUP(Orders!C217,Customers!$A$2:$F$301,3,FALSE()),"Not Found")</f>
        <v>55</v>
      </c>
      <c r="F217" s="46" t="str">
        <f aca="false">IFERROR(VLOOKUP(Orders!E217,Sales_Reps!$A$2:$E$31,3,FALSE()),"Not Found")</f>
        <v>South</v>
      </c>
      <c r="G217" s="46" t="n">
        <f aca="false">IFERROR(VLOOKUP(Orders!D217,Products!$A$2:$F$61,4,FALSE()),"")</f>
        <v>2436</v>
      </c>
      <c r="H217" s="47" t="n">
        <f aca="false">IF(G217="","",(Orders!G217-G217)/Orders!G217)</f>
        <v>0.355555555555556</v>
      </c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</row>
    <row r="218" customFormat="false" ht="15" hidden="false" customHeight="false" outlineLevel="0" collapsed="false">
      <c r="A218" s="46" t="str">
        <f aca="false">Orders!A218</f>
        <v>ORD-00217</v>
      </c>
      <c r="B218" s="46" t="str">
        <f aca="false">PROPER(TRIM(Orders!K218))</f>
        <v>Mumbai</v>
      </c>
      <c r="C218" s="46" t="str">
        <f aca="false">IFERROR(VLOOKUP(Orders!D218,Products!$A$2:$F$61,3,FALSE()),"Not Found")</f>
        <v>Grocery</v>
      </c>
      <c r="D218" s="46" t="str">
        <f aca="false">IFERROR(VLOOKUP(Orders!C218,Customers!$A$2:$F$301,5,FALSE()),"Not Found")</f>
        <v>Corporate</v>
      </c>
      <c r="E218" s="46" t="n">
        <f aca="false">IFERROR(VLOOKUP(Orders!C218,Customers!$A$2:$F$301,3,FALSE()),"Not Found")</f>
        <v>60</v>
      </c>
      <c r="F218" s="46" t="str">
        <f aca="false">IFERROR(VLOOKUP(Orders!E218,Sales_Reps!$A$2:$E$31,3,FALSE()),"Not Found")</f>
        <v>East</v>
      </c>
      <c r="G218" s="46" t="n">
        <f aca="false">IFERROR(VLOOKUP(Orders!D218,Products!$A$2:$F$61,4,FALSE()),"")</f>
        <v>2027</v>
      </c>
      <c r="H218" s="47" t="n">
        <f aca="false">IF(G218="","",(Orders!G218-G218)/Orders!G218)</f>
        <v>0.501965601965602</v>
      </c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</row>
    <row r="219" customFormat="false" ht="15" hidden="false" customHeight="false" outlineLevel="0" collapsed="false">
      <c r="A219" s="46" t="str">
        <f aca="false">Orders!A219</f>
        <v>ORD-00218</v>
      </c>
      <c r="B219" s="46" t="str">
        <f aca="false">PROPER(TRIM(Orders!K219))</f>
        <v>Mumbai</v>
      </c>
      <c r="C219" s="46" t="str">
        <f aca="false">IFERROR(VLOOKUP(Orders!D219,Products!$A$2:$F$61,3,FALSE()),"Not Found")</f>
        <v>Electronics</v>
      </c>
      <c r="D219" s="46" t="str">
        <f aca="false">IFERROR(VLOOKUP(Orders!C219,Customers!$A$2:$F$301,5,FALSE()),"Not Found")</f>
        <v>Retail</v>
      </c>
      <c r="E219" s="46" t="n">
        <f aca="false">IFERROR(VLOOKUP(Orders!C219,Customers!$A$2:$F$301,3,FALSE()),"Not Found")</f>
        <v>65</v>
      </c>
      <c r="F219" s="46" t="str">
        <f aca="false">IFERROR(VLOOKUP(Orders!E219,Sales_Reps!$A$2:$E$31,3,FALSE()),"Not Found")</f>
        <v>North</v>
      </c>
      <c r="G219" s="46" t="n">
        <f aca="false">IFERROR(VLOOKUP(Orders!D219,Products!$A$2:$F$61,4,FALSE()),"")</f>
        <v>1259</v>
      </c>
      <c r="H219" s="47" t="n">
        <f aca="false">IF(G219="","",(Orders!G219-G219)/Orders!G219)</f>
        <v>0.526691729323308</v>
      </c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</row>
    <row r="220" customFormat="false" ht="15" hidden="false" customHeight="false" outlineLevel="0" collapsed="false">
      <c r="A220" s="46" t="str">
        <f aca="false">Orders!A220</f>
        <v>ORD-00219</v>
      </c>
      <c r="B220" s="46" t="str">
        <f aca="false">PROPER(TRIM(Orders!K220))</f>
        <v>Mumbai</v>
      </c>
      <c r="C220" s="46" t="str">
        <f aca="false">IFERROR(VLOOKUP(Orders!D220,Products!$A$2:$F$61,3,FALSE()),"Not Found")</f>
        <v>Electronics</v>
      </c>
      <c r="D220" s="46" t="str">
        <f aca="false">IFERROR(VLOOKUP(Orders!C220,Customers!$A$2:$F$301,5,FALSE()),"Not Found")</f>
        <v>Retail</v>
      </c>
      <c r="E220" s="46" t="n">
        <f aca="false">IFERROR(VLOOKUP(Orders!C220,Customers!$A$2:$F$301,3,FALSE()),"Not Found")</f>
        <v>37</v>
      </c>
      <c r="F220" s="46" t="str">
        <f aca="false">IFERROR(VLOOKUP(Orders!E220,Sales_Reps!$A$2:$E$31,3,FALSE()),"Not Found")</f>
        <v>North</v>
      </c>
      <c r="G220" s="46" t="n">
        <f aca="false">IFERROR(VLOOKUP(Orders!D220,Products!$A$2:$F$61,4,FALSE()),"")</f>
        <v>1665</v>
      </c>
      <c r="H220" s="47" t="n">
        <f aca="false">IF(G220="","",(Orders!G220-G220)/Orders!G220)</f>
        <v>0.533613445378151</v>
      </c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</row>
    <row r="221" customFormat="false" ht="15" hidden="false" customHeight="false" outlineLevel="0" collapsed="false">
      <c r="A221" s="46" t="str">
        <f aca="false">Orders!A221</f>
        <v>ORD-00220</v>
      </c>
      <c r="B221" s="46" t="str">
        <f aca="false">PROPER(TRIM(Orders!K221))</f>
        <v>Mumbai</v>
      </c>
      <c r="C221" s="46" t="str">
        <f aca="false">IFERROR(VLOOKUP(Orders!D221,Products!$A$2:$F$61,3,FALSE()),"Not Found")</f>
        <v>Beauty</v>
      </c>
      <c r="D221" s="46" t="str">
        <f aca="false">IFERROR(VLOOKUP(Orders!C221,Customers!$A$2:$F$301,5,FALSE()),"Not Found")</f>
        <v>Retail</v>
      </c>
      <c r="E221" s="46" t="n">
        <f aca="false">IFERROR(VLOOKUP(Orders!C221,Customers!$A$2:$F$301,3,FALSE()),"Not Found")</f>
        <v>65</v>
      </c>
      <c r="F221" s="46" t="str">
        <f aca="false">IFERROR(VLOOKUP(Orders!E221,Sales_Reps!$A$2:$E$31,3,FALSE()),"Not Found")</f>
        <v>North</v>
      </c>
      <c r="G221" s="46" t="n">
        <f aca="false">IFERROR(VLOOKUP(Orders!D221,Products!$A$2:$F$61,4,FALSE()),"")</f>
        <v>675</v>
      </c>
      <c r="H221" s="47" t="n">
        <f aca="false">IF(G221="","",(Orders!G221-G221)/Orders!G221)</f>
        <v>0.296875</v>
      </c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</row>
    <row r="222" customFormat="false" ht="15" hidden="false" customHeight="false" outlineLevel="0" collapsed="false">
      <c r="A222" s="46" t="str">
        <f aca="false">Orders!A222</f>
        <v>ORD-00221</v>
      </c>
      <c r="B222" s="46" t="str">
        <f aca="false">PROPER(TRIM(Orders!K222))</f>
        <v>Pune</v>
      </c>
      <c r="C222" s="46" t="str">
        <f aca="false">IFERROR(VLOOKUP(Orders!D222,Products!$A$2:$F$61,3,FALSE()),"Not Found")</f>
        <v>Beauty</v>
      </c>
      <c r="D222" s="46" t="str">
        <f aca="false">IFERROR(VLOOKUP(Orders!C222,Customers!$A$2:$F$301,5,FALSE()),"Not Found")</f>
        <v>Retail</v>
      </c>
      <c r="E222" s="46" t="n">
        <f aca="false">IFERROR(VLOOKUP(Orders!C222,Customers!$A$2:$F$301,3,FALSE()),"Not Found")</f>
        <v>62</v>
      </c>
      <c r="F222" s="46" t="str">
        <f aca="false">IFERROR(VLOOKUP(Orders!E222,Sales_Reps!$A$2:$E$31,3,FALSE()),"Not Found")</f>
        <v>East</v>
      </c>
      <c r="G222" s="46" t="n">
        <f aca="false">IFERROR(VLOOKUP(Orders!D222,Products!$A$2:$F$61,4,FALSE()),"")</f>
        <v>2420</v>
      </c>
      <c r="H222" s="47" t="n">
        <f aca="false">IF(G222="","",(Orders!G222-G222)/Orders!G222)</f>
        <v>0.298550724637681</v>
      </c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</row>
    <row r="223" customFormat="false" ht="15" hidden="false" customHeight="false" outlineLevel="0" collapsed="false">
      <c r="A223" s="46" t="str">
        <f aca="false">Orders!A223</f>
        <v>ORD-00222</v>
      </c>
      <c r="B223" s="46" t="str">
        <f aca="false">PROPER(TRIM(Orders!K223))</f>
        <v>Hyderabad</v>
      </c>
      <c r="C223" s="46" t="str">
        <f aca="false">IFERROR(VLOOKUP(Orders!D223,Products!$A$2:$F$61,3,FALSE()),"Not Found")</f>
        <v>Beauty</v>
      </c>
      <c r="D223" s="46" t="str">
        <f aca="false">IFERROR(VLOOKUP(Orders!C223,Customers!$A$2:$F$301,5,FALSE()),"Not Found")</f>
        <v>SMB</v>
      </c>
      <c r="E223" s="46" t="n">
        <f aca="false">IFERROR(VLOOKUP(Orders!C223,Customers!$A$2:$F$301,3,FALSE()),"Not Found")</f>
        <v>43</v>
      </c>
      <c r="F223" s="46" t="str">
        <f aca="false">IFERROR(VLOOKUP(Orders!E223,Sales_Reps!$A$2:$E$31,3,FALSE()),"Not Found")</f>
        <v>North</v>
      </c>
      <c r="G223" s="46" t="n">
        <f aca="false">IFERROR(VLOOKUP(Orders!D223,Products!$A$2:$F$61,4,FALSE()),"")</f>
        <v>2237</v>
      </c>
      <c r="H223" s="47" t="n">
        <f aca="false">IF(G223="","",(Orders!G223-G223)/Orders!G223)</f>
        <v>0.561372549019608</v>
      </c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</row>
    <row r="224" customFormat="false" ht="15" hidden="false" customHeight="false" outlineLevel="0" collapsed="false">
      <c r="A224" s="46" t="str">
        <f aca="false">Orders!A224</f>
        <v>ORD-00223</v>
      </c>
      <c r="B224" s="46" t="str">
        <f aca="false">PROPER(TRIM(Orders!K224))</f>
        <v>Pune</v>
      </c>
      <c r="C224" s="46" t="str">
        <f aca="false">IFERROR(VLOOKUP(Orders!D224,Products!$A$2:$F$61,3,FALSE()),"Not Found")</f>
        <v>Electronics</v>
      </c>
      <c r="D224" s="46" t="str">
        <f aca="false">IFERROR(VLOOKUP(Orders!C224,Customers!$A$2:$F$301,5,FALSE()),"Not Found")</f>
        <v>SMB</v>
      </c>
      <c r="E224" s="46" t="n">
        <f aca="false">IFERROR(VLOOKUP(Orders!C224,Customers!$A$2:$F$301,3,FALSE()),"Not Found")</f>
        <v>24</v>
      </c>
      <c r="F224" s="46" t="str">
        <f aca="false">IFERROR(VLOOKUP(Orders!E224,Sales_Reps!$A$2:$E$31,3,FALSE()),"Not Found")</f>
        <v>North</v>
      </c>
      <c r="G224" s="46" t="n">
        <f aca="false">IFERROR(VLOOKUP(Orders!D224,Products!$A$2:$F$61,4,FALSE()),"")</f>
        <v>128</v>
      </c>
      <c r="H224" s="47" t="n">
        <f aca="false">IF(G224="","",(Orders!G224-G224)/Orders!G224)</f>
        <v>0.573333333333333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</row>
    <row r="225" customFormat="false" ht="15" hidden="false" customHeight="false" outlineLevel="0" collapsed="false">
      <c r="A225" s="46" t="str">
        <f aca="false">Orders!A225</f>
        <v>ORD-00224</v>
      </c>
      <c r="B225" s="46" t="str">
        <f aca="false">PROPER(TRIM(Orders!K225))</f>
        <v>Mumbai</v>
      </c>
      <c r="C225" s="46" t="str">
        <f aca="false">IFERROR(VLOOKUP(Orders!D225,Products!$A$2:$F$61,3,FALSE()),"Not Found")</f>
        <v>Beauty</v>
      </c>
      <c r="D225" s="46" t="str">
        <f aca="false">IFERROR(VLOOKUP(Orders!C225,Customers!$A$2:$F$301,5,FALSE()),"Not Found")</f>
        <v>SMB</v>
      </c>
      <c r="E225" s="46" t="n">
        <f aca="false">IFERROR(VLOOKUP(Orders!C225,Customers!$A$2:$F$301,3,FALSE()),"Not Found")</f>
        <v>61</v>
      </c>
      <c r="F225" s="46" t="str">
        <f aca="false">IFERROR(VLOOKUP(Orders!E225,Sales_Reps!$A$2:$E$31,3,FALSE()),"Not Found")</f>
        <v>East</v>
      </c>
      <c r="G225" s="46" t="n">
        <f aca="false">IFERROR(VLOOKUP(Orders!D225,Products!$A$2:$F$61,4,FALSE()),"")</f>
        <v>2768</v>
      </c>
      <c r="H225" s="47" t="n">
        <f aca="false">IF(G225="","",(Orders!G225-G225)/Orders!G225)</f>
        <v>0.432786885245902</v>
      </c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</row>
    <row r="226" customFormat="false" ht="15" hidden="false" customHeight="false" outlineLevel="0" collapsed="false">
      <c r="A226" s="46" t="str">
        <f aca="false">Orders!A226</f>
        <v>ORD-00225</v>
      </c>
      <c r="B226" s="46" t="str">
        <f aca="false">PROPER(TRIM(Orders!K226))</f>
        <v>Bengaluru</v>
      </c>
      <c r="C226" s="46" t="str">
        <f aca="false">IFERROR(VLOOKUP(Orders!D226,Products!$A$2:$F$61,3,FALSE()),"Not Found")</f>
        <v>Home</v>
      </c>
      <c r="D226" s="46" t="str">
        <f aca="false">IFERROR(VLOOKUP(Orders!C226,Customers!$A$2:$F$301,5,FALSE()),"Not Found")</f>
        <v>Corporate</v>
      </c>
      <c r="E226" s="46" t="n">
        <f aca="false">IFERROR(VLOOKUP(Orders!C226,Customers!$A$2:$F$301,3,FALSE()),"Not Found")</f>
        <v>41</v>
      </c>
      <c r="F226" s="46" t="str">
        <f aca="false">IFERROR(VLOOKUP(Orders!E226,Sales_Reps!$A$2:$E$31,3,FALSE()),"Not Found")</f>
        <v>East</v>
      </c>
      <c r="G226" s="46" t="n">
        <f aca="false">IFERROR(VLOOKUP(Orders!D226,Products!$A$2:$F$61,4,FALSE()),"")</f>
        <v>1556</v>
      </c>
      <c r="H226" s="47" t="n">
        <f aca="false">IF(G226="","",(Orders!G226-G226)/Orders!G226)</f>
        <v>0.521230769230769</v>
      </c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</row>
    <row r="227" customFormat="false" ht="15" hidden="false" customHeight="false" outlineLevel="0" collapsed="false">
      <c r="A227" s="46" t="str">
        <f aca="false">Orders!A227</f>
        <v>ORD-00226</v>
      </c>
      <c r="B227" s="46" t="str">
        <f aca="false">PROPER(TRIM(Orders!K227))</f>
        <v>Pune</v>
      </c>
      <c r="C227" s="46" t="str">
        <f aca="false">IFERROR(VLOOKUP(Orders!D227,Products!$A$2:$F$61,3,FALSE()),"Not Found")</f>
        <v>Beauty</v>
      </c>
      <c r="D227" s="46" t="str">
        <f aca="false">IFERROR(VLOOKUP(Orders!C227,Customers!$A$2:$F$301,5,FALSE()),"Not Found")</f>
        <v>Retail</v>
      </c>
      <c r="E227" s="46" t="n">
        <f aca="false">IFERROR(VLOOKUP(Orders!C227,Customers!$A$2:$F$301,3,FALSE()),"Not Found")</f>
        <v>65</v>
      </c>
      <c r="F227" s="46" t="str">
        <f aca="false">IFERROR(VLOOKUP(Orders!E227,Sales_Reps!$A$2:$E$31,3,FALSE()),"Not Found")</f>
        <v>North</v>
      </c>
      <c r="G227" s="46" t="n">
        <f aca="false">IFERROR(VLOOKUP(Orders!D227,Products!$A$2:$F$61,4,FALSE()),"")</f>
        <v>2420</v>
      </c>
      <c r="H227" s="47" t="n">
        <f aca="false">IF(G227="","",(Orders!G227-G227)/Orders!G227)</f>
        <v>0.298550724637681</v>
      </c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</row>
    <row r="228" customFormat="false" ht="15" hidden="false" customHeight="false" outlineLevel="0" collapsed="false">
      <c r="A228" s="46" t="str">
        <f aca="false">Orders!A228</f>
        <v>ORD-00227</v>
      </c>
      <c r="B228" s="46" t="str">
        <f aca="false">PROPER(TRIM(Orders!K228))</f>
        <v>Delhi</v>
      </c>
      <c r="C228" s="46" t="str">
        <f aca="false">IFERROR(VLOOKUP(Orders!D228,Products!$A$2:$F$61,3,FALSE()),"Not Found")</f>
        <v>Beauty</v>
      </c>
      <c r="D228" s="46" t="str">
        <f aca="false">IFERROR(VLOOKUP(Orders!C228,Customers!$A$2:$F$301,5,FALSE()),"Not Found")</f>
        <v>Corporate</v>
      </c>
      <c r="E228" s="46" t="n">
        <f aca="false">IFERROR(VLOOKUP(Orders!C228,Customers!$A$2:$F$301,3,FALSE()),"Not Found")</f>
        <v>47</v>
      </c>
      <c r="F228" s="46" t="str">
        <f aca="false">IFERROR(VLOOKUP(Orders!E228,Sales_Reps!$A$2:$E$31,3,FALSE()),"Not Found")</f>
        <v>East</v>
      </c>
      <c r="G228" s="46" t="n">
        <f aca="false">IFERROR(VLOOKUP(Orders!D228,Products!$A$2:$F$61,4,FALSE()),"")</f>
        <v>2617</v>
      </c>
      <c r="H228" s="47" t="n">
        <f aca="false">IF(G228="","",(Orders!G228-G228)/Orders!G228)</f>
        <v>0.569572368421053</v>
      </c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</row>
    <row r="229" customFormat="false" ht="15" hidden="false" customHeight="false" outlineLevel="0" collapsed="false">
      <c r="A229" s="46" t="str">
        <f aca="false">Orders!A229</f>
        <v>ORD-00228</v>
      </c>
      <c r="B229" s="46" t="str">
        <f aca="false">PROPER(TRIM(Orders!K229))</f>
        <v>Pune</v>
      </c>
      <c r="C229" s="46" t="str">
        <f aca="false">IFERROR(VLOOKUP(Orders!D229,Products!$A$2:$F$61,3,FALSE()),"Not Found")</f>
        <v>Beauty</v>
      </c>
      <c r="D229" s="46" t="str">
        <f aca="false">IFERROR(VLOOKUP(Orders!C229,Customers!$A$2:$F$301,5,FALSE()),"Not Found")</f>
        <v>SMB</v>
      </c>
      <c r="E229" s="46" t="n">
        <f aca="false">IFERROR(VLOOKUP(Orders!C229,Customers!$A$2:$F$301,3,FALSE()),"Not Found")</f>
        <v>30</v>
      </c>
      <c r="F229" s="46" t="str">
        <f aca="false">IFERROR(VLOOKUP(Orders!E229,Sales_Reps!$A$2:$E$31,3,FALSE()),"Not Found")</f>
        <v>East</v>
      </c>
      <c r="G229" s="46" t="n">
        <f aca="false">IFERROR(VLOOKUP(Orders!D229,Products!$A$2:$F$61,4,FALSE()),"")</f>
        <v>2617</v>
      </c>
      <c r="H229" s="47" t="n">
        <f aca="false">IF(G229="","",(Orders!G229-G229)/Orders!G229)</f>
        <v>0.569572368421053</v>
      </c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</row>
    <row r="230" customFormat="false" ht="15" hidden="false" customHeight="false" outlineLevel="0" collapsed="false">
      <c r="A230" s="46" t="str">
        <f aca="false">Orders!A230</f>
        <v>ORD-00229</v>
      </c>
      <c r="B230" s="46" t="str">
        <f aca="false">PROPER(TRIM(Orders!K230))</f>
        <v>Hyderabad</v>
      </c>
      <c r="C230" s="46" t="str">
        <f aca="false">IFERROR(VLOOKUP(Orders!D230,Products!$A$2:$F$61,3,FALSE()),"Not Found")</f>
        <v>Grocery</v>
      </c>
      <c r="D230" s="46" t="str">
        <f aca="false">IFERROR(VLOOKUP(Orders!C230,Customers!$A$2:$F$301,5,FALSE()),"Not Found")</f>
        <v>Retail</v>
      </c>
      <c r="E230" s="46" t="n">
        <f aca="false">IFERROR(VLOOKUP(Orders!C230,Customers!$A$2:$F$301,3,FALSE()),"Not Found")</f>
        <v>38</v>
      </c>
      <c r="F230" s="46" t="str">
        <f aca="false">IFERROR(VLOOKUP(Orders!E230,Sales_Reps!$A$2:$E$31,3,FALSE()),"Not Found")</f>
        <v>South</v>
      </c>
      <c r="G230" s="46" t="n">
        <f aca="false">IFERROR(VLOOKUP(Orders!D230,Products!$A$2:$F$61,4,FALSE()),"")</f>
        <v>1203</v>
      </c>
      <c r="H230" s="47" t="n">
        <f aca="false">IF(G230="","",(Orders!G230-G230)/Orders!G230)</f>
        <v>0.470044052863436</v>
      </c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</row>
    <row r="231" customFormat="false" ht="15" hidden="false" customHeight="false" outlineLevel="0" collapsed="false">
      <c r="A231" s="46" t="str">
        <f aca="false">Orders!A231</f>
        <v>ORD-00230</v>
      </c>
      <c r="B231" s="46" t="str">
        <f aca="false">PROPER(TRIM(Orders!K231))</f>
        <v>Mumbai</v>
      </c>
      <c r="C231" s="46" t="str">
        <f aca="false">IFERROR(VLOOKUP(Orders!D231,Products!$A$2:$F$61,3,FALSE()),"Not Found")</f>
        <v>Beauty</v>
      </c>
      <c r="D231" s="46" t="str">
        <f aca="false">IFERROR(VLOOKUP(Orders!C231,Customers!$A$2:$F$301,5,FALSE()),"Not Found")</f>
        <v>Retail</v>
      </c>
      <c r="E231" s="46" t="n">
        <f aca="false">IFERROR(VLOOKUP(Orders!C231,Customers!$A$2:$F$301,3,FALSE()),"Not Found")</f>
        <v>42</v>
      </c>
      <c r="F231" s="46" t="str">
        <f aca="false">IFERROR(VLOOKUP(Orders!E231,Sales_Reps!$A$2:$E$31,3,FALSE()),"Not Found")</f>
        <v>South</v>
      </c>
      <c r="G231" s="46" t="n">
        <f aca="false">IFERROR(VLOOKUP(Orders!D231,Products!$A$2:$F$61,4,FALSE()),"")</f>
        <v>2768</v>
      </c>
      <c r="H231" s="47" t="n">
        <f aca="false">IF(G231="","",(Orders!G231-G231)/Orders!G231)</f>
        <v>0.432786885245902</v>
      </c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</row>
    <row r="232" customFormat="false" ht="15" hidden="false" customHeight="false" outlineLevel="0" collapsed="false">
      <c r="A232" s="46" t="str">
        <f aca="false">Orders!A232</f>
        <v>ORD-00231</v>
      </c>
      <c r="B232" s="46" t="str">
        <f aca="false">PROPER(TRIM(Orders!K232))</f>
        <v>Chennai</v>
      </c>
      <c r="C232" s="46" t="str">
        <f aca="false">IFERROR(VLOOKUP(Orders!D232,Products!$A$2:$F$61,3,FALSE()),"Not Found")</f>
        <v>Grocery</v>
      </c>
      <c r="D232" s="46" t="str">
        <f aca="false">IFERROR(VLOOKUP(Orders!C232,Customers!$A$2:$F$301,5,FALSE()),"Not Found")</f>
        <v>Corporate</v>
      </c>
      <c r="E232" s="46" t="n">
        <f aca="false">IFERROR(VLOOKUP(Orders!C232,Customers!$A$2:$F$301,3,FALSE()),"Not Found")</f>
        <v>55</v>
      </c>
      <c r="F232" s="46" t="str">
        <f aca="false">IFERROR(VLOOKUP(Orders!E232,Sales_Reps!$A$2:$E$31,3,FALSE()),"Not Found")</f>
        <v>North</v>
      </c>
      <c r="G232" s="46" t="n">
        <f aca="false">IFERROR(VLOOKUP(Orders!D232,Products!$A$2:$F$61,4,FALSE()),"")</f>
        <v>1182</v>
      </c>
      <c r="H232" s="47" t="n">
        <f aca="false">IF(G232="","",(Orders!G232-G232)/Orders!G232)</f>
        <v>0.503361344537815</v>
      </c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</row>
    <row r="233" customFormat="false" ht="15" hidden="false" customHeight="false" outlineLevel="0" collapsed="false">
      <c r="A233" s="46" t="str">
        <f aca="false">Orders!A233</f>
        <v>ORD-00232</v>
      </c>
      <c r="B233" s="46" t="str">
        <f aca="false">PROPER(TRIM(Orders!K233))</f>
        <v>Chennai</v>
      </c>
      <c r="C233" s="46" t="str">
        <f aca="false">IFERROR(VLOOKUP(Orders!D233,Products!$A$2:$F$61,3,FALSE()),"Not Found")</f>
        <v>Sports</v>
      </c>
      <c r="D233" s="46" t="str">
        <f aca="false">IFERROR(VLOOKUP(Orders!C233,Customers!$A$2:$F$301,5,FALSE()),"Not Found")</f>
        <v>Retail</v>
      </c>
      <c r="E233" s="46" t="n">
        <f aca="false">IFERROR(VLOOKUP(Orders!C233,Customers!$A$2:$F$301,3,FALSE()),"Not Found")</f>
        <v>38</v>
      </c>
      <c r="F233" s="46" t="str">
        <f aca="false">IFERROR(VLOOKUP(Orders!E233,Sales_Reps!$A$2:$E$31,3,FALSE()),"Not Found")</f>
        <v>West</v>
      </c>
      <c r="G233" s="46" t="n">
        <f aca="false">IFERROR(VLOOKUP(Orders!D233,Products!$A$2:$F$61,4,FALSE()),"")</f>
        <v>516</v>
      </c>
      <c r="H233" s="47" t="n">
        <f aca="false">IF(G233="","",(Orders!G233-G233)/Orders!G233)</f>
        <v>0.489108910891089</v>
      </c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</row>
    <row r="234" customFormat="false" ht="15" hidden="false" customHeight="false" outlineLevel="0" collapsed="false">
      <c r="A234" s="46" t="str">
        <f aca="false">Orders!A234</f>
        <v>ORD-00233</v>
      </c>
      <c r="B234" s="46" t="str">
        <f aca="false">PROPER(TRIM(Orders!K234))</f>
        <v>Hyderabad</v>
      </c>
      <c r="C234" s="46" t="str">
        <f aca="false">IFERROR(VLOOKUP(Orders!D234,Products!$A$2:$F$61,3,FALSE()),"Not Found")</f>
        <v>Sports</v>
      </c>
      <c r="D234" s="46" t="str">
        <f aca="false">IFERROR(VLOOKUP(Orders!C234,Customers!$A$2:$F$301,5,FALSE()),"Not Found")</f>
        <v>Retail</v>
      </c>
      <c r="E234" s="46" t="n">
        <f aca="false">IFERROR(VLOOKUP(Orders!C234,Customers!$A$2:$F$301,3,FALSE()),"Not Found")</f>
        <v>46</v>
      </c>
      <c r="F234" s="46" t="str">
        <f aca="false">IFERROR(VLOOKUP(Orders!E234,Sales_Reps!$A$2:$E$31,3,FALSE()),"Not Found")</f>
        <v>West</v>
      </c>
      <c r="G234" s="46" t="n">
        <f aca="false">IFERROR(VLOOKUP(Orders!D234,Products!$A$2:$F$61,4,FALSE()),"")</f>
        <v>2827</v>
      </c>
      <c r="H234" s="47" t="n">
        <f aca="false">IF(G234="","",(Orders!G234-G234)/Orders!G234)</f>
        <v>0.592651296829971</v>
      </c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</row>
    <row r="235" customFormat="false" ht="15" hidden="false" customHeight="false" outlineLevel="0" collapsed="false">
      <c r="A235" s="46" t="str">
        <f aca="false">Orders!A235</f>
        <v>ORD-00234</v>
      </c>
      <c r="B235" s="46" t="str">
        <f aca="false">PROPER(TRIM(Orders!K235))</f>
        <v>Mumbai</v>
      </c>
      <c r="C235" s="46" t="str">
        <f aca="false">IFERROR(VLOOKUP(Orders!D235,Products!$A$2:$F$61,3,FALSE()),"Not Found")</f>
        <v>Beauty</v>
      </c>
      <c r="D235" s="46" t="str">
        <f aca="false">IFERROR(VLOOKUP(Orders!C235,Customers!$A$2:$F$301,5,FALSE()),"Not Found")</f>
        <v>Retail</v>
      </c>
      <c r="E235" s="46" t="n">
        <f aca="false">IFERROR(VLOOKUP(Orders!C235,Customers!$A$2:$F$301,3,FALSE()),"Not Found")</f>
        <v>65</v>
      </c>
      <c r="F235" s="46" t="str">
        <f aca="false">IFERROR(VLOOKUP(Orders!E235,Sales_Reps!$A$2:$E$31,3,FALSE()),"Not Found")</f>
        <v>West</v>
      </c>
      <c r="G235" s="46" t="n">
        <f aca="false">IFERROR(VLOOKUP(Orders!D235,Products!$A$2:$F$61,4,FALSE()),"")</f>
        <v>1219</v>
      </c>
      <c r="H235" s="47" t="n">
        <f aca="false">IF(G235="","",(Orders!G235-G235)/Orders!G235)</f>
        <v>0.467685589519651</v>
      </c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</row>
    <row r="236" customFormat="false" ht="15" hidden="false" customHeight="false" outlineLevel="0" collapsed="false">
      <c r="A236" s="46" t="str">
        <f aca="false">Orders!A236</f>
        <v>ORD-00235</v>
      </c>
      <c r="B236" s="46" t="str">
        <f aca="false">PROPER(TRIM(Orders!K236))</f>
        <v>Delhi</v>
      </c>
      <c r="C236" s="46" t="str">
        <f aca="false">IFERROR(VLOOKUP(Orders!D236,Products!$A$2:$F$61,3,FALSE()),"Not Found")</f>
        <v>Home</v>
      </c>
      <c r="D236" s="46" t="str">
        <f aca="false">IFERROR(VLOOKUP(Orders!C236,Customers!$A$2:$F$301,5,FALSE()),"Not Found")</f>
        <v>SMB</v>
      </c>
      <c r="E236" s="46" t="n">
        <f aca="false">IFERROR(VLOOKUP(Orders!C236,Customers!$A$2:$F$301,3,FALSE()),"Not Found")</f>
        <v>27</v>
      </c>
      <c r="F236" s="46" t="str">
        <f aca="false">IFERROR(VLOOKUP(Orders!E236,Sales_Reps!$A$2:$E$31,3,FALSE()),"Not Found")</f>
        <v>South</v>
      </c>
      <c r="G236" s="46" t="n">
        <f aca="false">IFERROR(VLOOKUP(Orders!D236,Products!$A$2:$F$61,4,FALSE()),"")</f>
        <v>288</v>
      </c>
      <c r="H236" s="47" t="n">
        <f aca="false">IF(G236="","",(Orders!G236-G236)/Orders!G236)</f>
        <v>0.221621621621622</v>
      </c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</row>
    <row r="237" customFormat="false" ht="15" hidden="false" customHeight="false" outlineLevel="0" collapsed="false">
      <c r="A237" s="46" t="str">
        <f aca="false">Orders!A237</f>
        <v>ORD-00236</v>
      </c>
      <c r="B237" s="46" t="str">
        <f aca="false">PROPER(TRIM(Orders!K237))</f>
        <v>Pune</v>
      </c>
      <c r="C237" s="46" t="str">
        <f aca="false">IFERROR(VLOOKUP(Orders!D237,Products!$A$2:$F$61,3,FALSE()),"Not Found")</f>
        <v>Grocery</v>
      </c>
      <c r="D237" s="46" t="str">
        <f aca="false">IFERROR(VLOOKUP(Orders!C237,Customers!$A$2:$F$301,5,FALSE()),"Not Found")</f>
        <v>Corporate</v>
      </c>
      <c r="E237" s="46" t="n">
        <f aca="false">IFERROR(VLOOKUP(Orders!C237,Customers!$A$2:$F$301,3,FALSE()),"Not Found")</f>
        <v>40</v>
      </c>
      <c r="F237" s="46" t="str">
        <f aca="false">IFERROR(VLOOKUP(Orders!E237,Sales_Reps!$A$2:$E$31,3,FALSE()),"Not Found")</f>
        <v>East</v>
      </c>
      <c r="G237" s="46" t="n">
        <f aca="false">IFERROR(VLOOKUP(Orders!D237,Products!$A$2:$F$61,4,FALSE()),"")</f>
        <v>1412</v>
      </c>
      <c r="H237" s="47" t="n">
        <f aca="false">IF(G237="","",(Orders!G237-G237)/Orders!G237)</f>
        <v>0.377973568281938</v>
      </c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</row>
    <row r="238" customFormat="false" ht="15" hidden="false" customHeight="false" outlineLevel="0" collapsed="false">
      <c r="A238" s="46" t="str">
        <f aca="false">Orders!A238</f>
        <v>ORD-00237</v>
      </c>
      <c r="B238" s="46" t="str">
        <f aca="false">PROPER(TRIM(Orders!K238))</f>
        <v>Chennai</v>
      </c>
      <c r="C238" s="46" t="str">
        <f aca="false">IFERROR(VLOOKUP(Orders!D238,Products!$A$2:$F$61,3,FALSE()),"Not Found")</f>
        <v>Beauty</v>
      </c>
      <c r="D238" s="46" t="str">
        <f aca="false">IFERROR(VLOOKUP(Orders!C238,Customers!$A$2:$F$301,5,FALSE()),"Not Found")</f>
        <v>SMB</v>
      </c>
      <c r="E238" s="46" t="n">
        <f aca="false">IFERROR(VLOOKUP(Orders!C238,Customers!$A$2:$F$301,3,FALSE()),"Not Found")</f>
        <v>59</v>
      </c>
      <c r="F238" s="46" t="str">
        <f aca="false">IFERROR(VLOOKUP(Orders!E238,Sales_Reps!$A$2:$E$31,3,FALSE()),"Not Found")</f>
        <v>North</v>
      </c>
      <c r="G238" s="46" t="n">
        <f aca="false">IFERROR(VLOOKUP(Orders!D238,Products!$A$2:$F$61,4,FALSE()),"")</f>
        <v>2617</v>
      </c>
      <c r="H238" s="47" t="n">
        <f aca="false">IF(G238="","",(Orders!G238-G238)/Orders!G238)</f>
        <v>0.569572368421053</v>
      </c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</row>
    <row r="239" customFormat="false" ht="15" hidden="false" customHeight="false" outlineLevel="0" collapsed="false">
      <c r="A239" s="46" t="str">
        <f aca="false">Orders!A239</f>
        <v>ORD-00238</v>
      </c>
      <c r="B239" s="46" t="str">
        <f aca="false">PROPER(TRIM(Orders!K239))</f>
        <v>Bengaluru</v>
      </c>
      <c r="C239" s="46" t="str">
        <f aca="false">IFERROR(VLOOKUP(Orders!D239,Products!$A$2:$F$61,3,FALSE()),"Not Found")</f>
        <v>Electronics</v>
      </c>
      <c r="D239" s="46" t="str">
        <f aca="false">IFERROR(VLOOKUP(Orders!C239,Customers!$A$2:$F$301,5,FALSE()),"Not Found")</f>
        <v>Retail</v>
      </c>
      <c r="E239" s="46" t="n">
        <f aca="false">IFERROR(VLOOKUP(Orders!C239,Customers!$A$2:$F$301,3,FALSE()),"Not Found")</f>
        <v>34</v>
      </c>
      <c r="F239" s="46" t="str">
        <f aca="false">IFERROR(VLOOKUP(Orders!E239,Sales_Reps!$A$2:$E$31,3,FALSE()),"Not Found")</f>
        <v>East</v>
      </c>
      <c r="G239" s="46" t="n">
        <f aca="false">IFERROR(VLOOKUP(Orders!D239,Products!$A$2:$F$61,4,FALSE()),"")</f>
        <v>2405</v>
      </c>
      <c r="H239" s="47" t="n">
        <f aca="false">IF(G239="","",(Orders!G239-G239)/Orders!G239)</f>
        <v>0.548780487804878</v>
      </c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</row>
    <row r="240" customFormat="false" ht="15" hidden="false" customHeight="false" outlineLevel="0" collapsed="false">
      <c r="A240" s="46" t="str">
        <f aca="false">Orders!A240</f>
        <v>ORD-00239</v>
      </c>
      <c r="B240" s="46" t="str">
        <f aca="false">PROPER(TRIM(Orders!K240))</f>
        <v>Chennai</v>
      </c>
      <c r="C240" s="46" t="str">
        <f aca="false">IFERROR(VLOOKUP(Orders!D240,Products!$A$2:$F$61,3,FALSE()),"Not Found")</f>
        <v>Grocery</v>
      </c>
      <c r="D240" s="46" t="str">
        <f aca="false">IFERROR(VLOOKUP(Orders!C240,Customers!$A$2:$F$301,5,FALSE()),"Not Found")</f>
        <v>Retail</v>
      </c>
      <c r="E240" s="46" t="n">
        <f aca="false">IFERROR(VLOOKUP(Orders!C240,Customers!$A$2:$F$301,3,FALSE()),"Not Found")</f>
        <v>26</v>
      </c>
      <c r="F240" s="46" t="str">
        <f aca="false">IFERROR(VLOOKUP(Orders!E240,Sales_Reps!$A$2:$E$31,3,FALSE()),"Not Found")</f>
        <v>West</v>
      </c>
      <c r="G240" s="46" t="n">
        <f aca="false">IFERROR(VLOOKUP(Orders!D240,Products!$A$2:$F$61,4,FALSE()),"")</f>
        <v>2027</v>
      </c>
      <c r="H240" s="47" t="n">
        <f aca="false">IF(G240="","",(Orders!G240-G240)/Orders!G240)</f>
        <v>0.501965601965602</v>
      </c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</row>
    <row r="241" customFormat="false" ht="15" hidden="false" customHeight="false" outlineLevel="0" collapsed="false">
      <c r="A241" s="46" t="str">
        <f aca="false">Orders!A241</f>
        <v>ORD-00240</v>
      </c>
      <c r="B241" s="46" t="str">
        <f aca="false">PROPER(TRIM(Orders!K241))</f>
        <v>Pune</v>
      </c>
      <c r="C241" s="46" t="str">
        <f aca="false">IFERROR(VLOOKUP(Orders!D241,Products!$A$2:$F$61,3,FALSE()),"Not Found")</f>
        <v>Electronics</v>
      </c>
      <c r="D241" s="46" t="str">
        <f aca="false">IFERROR(VLOOKUP(Orders!C241,Customers!$A$2:$F$301,5,FALSE()),"Not Found")</f>
        <v>Corporate</v>
      </c>
      <c r="E241" s="46" t="n">
        <f aca="false">IFERROR(VLOOKUP(Orders!C241,Customers!$A$2:$F$301,3,FALSE()),"Not Found")</f>
        <v>37</v>
      </c>
      <c r="F241" s="46" t="str">
        <f aca="false">IFERROR(VLOOKUP(Orders!E241,Sales_Reps!$A$2:$E$31,3,FALSE()),"Not Found")</f>
        <v>North</v>
      </c>
      <c r="G241" s="46" t="n">
        <f aca="false">IFERROR(VLOOKUP(Orders!D241,Products!$A$2:$F$61,4,FALSE()),"")</f>
        <v>128</v>
      </c>
      <c r="H241" s="47" t="n">
        <f aca="false">IF(G241="","",(Orders!G241-G241)/Orders!G241)</f>
        <v>0.573333333333333</v>
      </c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</row>
    <row r="242" customFormat="false" ht="15" hidden="false" customHeight="false" outlineLevel="0" collapsed="false">
      <c r="A242" s="46" t="str">
        <f aca="false">Orders!A242</f>
        <v>ORD-00241</v>
      </c>
      <c r="B242" s="46" t="str">
        <f aca="false">PROPER(TRIM(Orders!K242))</f>
        <v>Pune</v>
      </c>
      <c r="C242" s="46" t="str">
        <f aca="false">IFERROR(VLOOKUP(Orders!D242,Products!$A$2:$F$61,3,FALSE()),"Not Found")</f>
        <v>Beauty</v>
      </c>
      <c r="D242" s="46" t="str">
        <f aca="false">IFERROR(VLOOKUP(Orders!C242,Customers!$A$2:$F$301,5,FALSE()),"Not Found")</f>
        <v>Retail</v>
      </c>
      <c r="E242" s="46" t="n">
        <f aca="false">IFERROR(VLOOKUP(Orders!C242,Customers!$A$2:$F$301,3,FALSE()),"Not Found")</f>
        <v>56</v>
      </c>
      <c r="F242" s="46" t="str">
        <f aca="false">IFERROR(VLOOKUP(Orders!E242,Sales_Reps!$A$2:$E$31,3,FALSE()),"Not Found")</f>
        <v>South</v>
      </c>
      <c r="G242" s="46" t="n">
        <f aca="false">IFERROR(VLOOKUP(Orders!D242,Products!$A$2:$F$61,4,FALSE()),"")</f>
        <v>2768</v>
      </c>
      <c r="H242" s="47" t="n">
        <f aca="false">IF(G242="","",(Orders!G242-G242)/Orders!G242)</f>
        <v>0.432786885245902</v>
      </c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</row>
    <row r="243" customFormat="false" ht="15" hidden="false" customHeight="false" outlineLevel="0" collapsed="false">
      <c r="A243" s="46" t="str">
        <f aca="false">Orders!A243</f>
        <v>ORD-00242</v>
      </c>
      <c r="B243" s="46" t="str">
        <f aca="false">PROPER(TRIM(Orders!K243))</f>
        <v>Chennai</v>
      </c>
      <c r="C243" s="46" t="str">
        <f aca="false">IFERROR(VLOOKUP(Orders!D243,Products!$A$2:$F$61,3,FALSE()),"Not Found")</f>
        <v>Sports</v>
      </c>
      <c r="D243" s="46" t="str">
        <f aca="false">IFERROR(VLOOKUP(Orders!C243,Customers!$A$2:$F$301,5,FALSE()),"Not Found")</f>
        <v>Corporate</v>
      </c>
      <c r="E243" s="46" t="n">
        <f aca="false">IFERROR(VLOOKUP(Orders!C243,Customers!$A$2:$F$301,3,FALSE()),"Not Found")</f>
        <v>30</v>
      </c>
      <c r="F243" s="46" t="str">
        <f aca="false">IFERROR(VLOOKUP(Orders!E243,Sales_Reps!$A$2:$E$31,3,FALSE()),"Not Found")</f>
        <v>West</v>
      </c>
      <c r="G243" s="46" t="n">
        <f aca="false">IFERROR(VLOOKUP(Orders!D243,Products!$A$2:$F$61,4,FALSE()),"")</f>
        <v>2028</v>
      </c>
      <c r="H243" s="47" t="n">
        <f aca="false">IF(G243="","",(Orders!G243-G243)/Orders!G243)</f>
        <v>0.290909090909091</v>
      </c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</row>
    <row r="244" customFormat="false" ht="15" hidden="false" customHeight="false" outlineLevel="0" collapsed="false">
      <c r="A244" s="46" t="str">
        <f aca="false">Orders!A244</f>
        <v>ORD-00243</v>
      </c>
      <c r="B244" s="46" t="str">
        <f aca="false">PROPER(TRIM(Orders!K244))</f>
        <v>Pune</v>
      </c>
      <c r="C244" s="46" t="str">
        <f aca="false">IFERROR(VLOOKUP(Orders!D244,Products!$A$2:$F$61,3,FALSE()),"Not Found")</f>
        <v>Beauty</v>
      </c>
      <c r="D244" s="46" t="str">
        <f aca="false">IFERROR(VLOOKUP(Orders!C244,Customers!$A$2:$F$301,5,FALSE()),"Not Found")</f>
        <v>SMB</v>
      </c>
      <c r="E244" s="46" t="n">
        <f aca="false">IFERROR(VLOOKUP(Orders!C244,Customers!$A$2:$F$301,3,FALSE()),"Not Found")</f>
        <v>54</v>
      </c>
      <c r="F244" s="46" t="str">
        <f aca="false">IFERROR(VLOOKUP(Orders!E244,Sales_Reps!$A$2:$E$31,3,FALSE()),"Not Found")</f>
        <v>North</v>
      </c>
      <c r="G244" s="46" t="n">
        <f aca="false">IFERROR(VLOOKUP(Orders!D244,Products!$A$2:$F$61,4,FALSE()),"")</f>
        <v>647</v>
      </c>
      <c r="H244" s="47" t="n">
        <f aca="false">IF(G244="","",(Orders!G244-G244)/Orders!G244)</f>
        <v>0.57987012987013</v>
      </c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</row>
    <row r="245" customFormat="false" ht="15" hidden="false" customHeight="false" outlineLevel="0" collapsed="false">
      <c r="A245" s="46" t="str">
        <f aca="false">Orders!A245</f>
        <v>ORD-00244</v>
      </c>
      <c r="B245" s="46" t="str">
        <f aca="false">PROPER(TRIM(Orders!K245))</f>
        <v>Hyderabad</v>
      </c>
      <c r="C245" s="46" t="str">
        <f aca="false">IFERROR(VLOOKUP(Orders!D245,Products!$A$2:$F$61,3,FALSE()),"Not Found")</f>
        <v>Electronics</v>
      </c>
      <c r="D245" s="46" t="str">
        <f aca="false">IFERROR(VLOOKUP(Orders!C245,Customers!$A$2:$F$301,5,FALSE()),"Not Found")</f>
        <v>Retail</v>
      </c>
      <c r="E245" s="46" t="n">
        <f aca="false">IFERROR(VLOOKUP(Orders!C245,Customers!$A$2:$F$301,3,FALSE()),"Not Found")</f>
        <v>22</v>
      </c>
      <c r="F245" s="46" t="str">
        <f aca="false">IFERROR(VLOOKUP(Orders!E245,Sales_Reps!$A$2:$E$31,3,FALSE()),"Not Found")</f>
        <v>South</v>
      </c>
      <c r="G245" s="46" t="n">
        <f aca="false">IFERROR(VLOOKUP(Orders!D245,Products!$A$2:$F$61,4,FALSE()),"")</f>
        <v>1149</v>
      </c>
      <c r="H245" s="47" t="n">
        <f aca="false">IF(G245="","",(Orders!G245-G245)/Orders!G245)</f>
        <v>0.564772727272727</v>
      </c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</row>
    <row r="246" customFormat="false" ht="15" hidden="false" customHeight="false" outlineLevel="0" collapsed="false">
      <c r="A246" s="46" t="str">
        <f aca="false">Orders!A246</f>
        <v>ORD-00245</v>
      </c>
      <c r="B246" s="46" t="str">
        <f aca="false">PROPER(TRIM(Orders!K246))</f>
        <v>Bengaluru</v>
      </c>
      <c r="C246" s="46" t="str">
        <f aca="false">IFERROR(VLOOKUP(Orders!D246,Products!$A$2:$F$61,3,FALSE()),"Not Found")</f>
        <v>Apparel</v>
      </c>
      <c r="D246" s="46" t="str">
        <f aca="false">IFERROR(VLOOKUP(Orders!C246,Customers!$A$2:$F$301,5,FALSE()),"Not Found")</f>
        <v>Corporate</v>
      </c>
      <c r="E246" s="46" t="n">
        <f aca="false">IFERROR(VLOOKUP(Orders!C246,Customers!$A$2:$F$301,3,FALSE()),"Not Found")</f>
        <v>42</v>
      </c>
      <c r="F246" s="46" t="str">
        <f aca="false">IFERROR(VLOOKUP(Orders!E246,Sales_Reps!$A$2:$E$31,3,FALSE()),"Not Found")</f>
        <v>South</v>
      </c>
      <c r="G246" s="46" t="n">
        <f aca="false">IFERROR(VLOOKUP(Orders!D246,Products!$A$2:$F$61,4,FALSE()),"")</f>
        <v>1886</v>
      </c>
      <c r="H246" s="47" t="n">
        <f aca="false">IF(G246="","",(Orders!G246-G246)/Orders!G246)</f>
        <v>0.403164556962025</v>
      </c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</row>
    <row r="247" customFormat="false" ht="15" hidden="false" customHeight="false" outlineLevel="0" collapsed="false">
      <c r="A247" s="46" t="str">
        <f aca="false">Orders!A247</f>
        <v>ORD-00246</v>
      </c>
      <c r="B247" s="46" t="str">
        <f aca="false">PROPER(TRIM(Orders!K247))</f>
        <v>Delhi</v>
      </c>
      <c r="C247" s="46" t="str">
        <f aca="false">IFERROR(VLOOKUP(Orders!D247,Products!$A$2:$F$61,3,FALSE()),"Not Found")</f>
        <v>Home</v>
      </c>
      <c r="D247" s="46" t="str">
        <f aca="false">IFERROR(VLOOKUP(Orders!C247,Customers!$A$2:$F$301,5,FALSE()),"Not Found")</f>
        <v>SMB</v>
      </c>
      <c r="E247" s="46" t="n">
        <f aca="false">IFERROR(VLOOKUP(Orders!C247,Customers!$A$2:$F$301,3,FALSE()),"Not Found")</f>
        <v>48</v>
      </c>
      <c r="F247" s="46" t="str">
        <f aca="false">IFERROR(VLOOKUP(Orders!E247,Sales_Reps!$A$2:$E$31,3,FALSE()),"Not Found")</f>
        <v>North</v>
      </c>
      <c r="G247" s="46" t="n">
        <f aca="false">IFERROR(VLOOKUP(Orders!D247,Products!$A$2:$F$61,4,FALSE()),"")</f>
        <v>519</v>
      </c>
      <c r="H247" s="47" t="n">
        <f aca="false">IF(G247="","",(Orders!G247-G247)/Orders!G247)</f>
        <v>0.519444444444445</v>
      </c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</row>
    <row r="248" customFormat="false" ht="15" hidden="false" customHeight="false" outlineLevel="0" collapsed="false">
      <c r="A248" s="46" t="str">
        <f aca="false">Orders!A248</f>
        <v>ORD-00247</v>
      </c>
      <c r="B248" s="46" t="str">
        <f aca="false">PROPER(TRIM(Orders!K248))</f>
        <v>Mumbai</v>
      </c>
      <c r="C248" s="46" t="str">
        <f aca="false">IFERROR(VLOOKUP(Orders!D248,Products!$A$2:$F$61,3,FALSE()),"Not Found")</f>
        <v>Sports</v>
      </c>
      <c r="D248" s="46" t="str">
        <f aca="false">IFERROR(VLOOKUP(Orders!C248,Customers!$A$2:$F$301,5,FALSE()),"Not Found")</f>
        <v>Retail</v>
      </c>
      <c r="E248" s="46" t="n">
        <f aca="false">IFERROR(VLOOKUP(Orders!C248,Customers!$A$2:$F$301,3,FALSE()),"Not Found")</f>
        <v>39</v>
      </c>
      <c r="F248" s="46" t="str">
        <f aca="false">IFERROR(VLOOKUP(Orders!E248,Sales_Reps!$A$2:$E$31,3,FALSE()),"Not Found")</f>
        <v>South</v>
      </c>
      <c r="G248" s="46" t="n">
        <f aca="false">IFERROR(VLOOKUP(Orders!D248,Products!$A$2:$F$61,4,FALSE()),"")</f>
        <v>516</v>
      </c>
      <c r="H248" s="47" t="n">
        <f aca="false">IF(G248="","",(Orders!G248-G248)/Orders!G248)</f>
        <v>0.489108910891089</v>
      </c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</row>
    <row r="249" customFormat="false" ht="15" hidden="false" customHeight="false" outlineLevel="0" collapsed="false">
      <c r="A249" s="46" t="str">
        <f aca="false">Orders!A249</f>
        <v>ORD-00248</v>
      </c>
      <c r="B249" s="46" t="str">
        <f aca="false">PROPER(TRIM(Orders!K249))</f>
        <v>Bengaluru</v>
      </c>
      <c r="C249" s="46" t="str">
        <f aca="false">IFERROR(VLOOKUP(Orders!D249,Products!$A$2:$F$61,3,FALSE()),"Not Found")</f>
        <v>Electronics</v>
      </c>
      <c r="D249" s="46" t="str">
        <f aca="false">IFERROR(VLOOKUP(Orders!C249,Customers!$A$2:$F$301,5,FALSE()),"Not Found")</f>
        <v>Corporate</v>
      </c>
      <c r="E249" s="46" t="n">
        <f aca="false">IFERROR(VLOOKUP(Orders!C249,Customers!$A$2:$F$301,3,FALSE()),"Not Found")</f>
        <v>26</v>
      </c>
      <c r="F249" s="46" t="str">
        <f aca="false">IFERROR(VLOOKUP(Orders!E249,Sales_Reps!$A$2:$E$31,3,FALSE()),"Not Found")</f>
        <v>West</v>
      </c>
      <c r="G249" s="46" t="n">
        <f aca="false">IFERROR(VLOOKUP(Orders!D249,Products!$A$2:$F$61,4,FALSE()),"")</f>
        <v>1052</v>
      </c>
      <c r="H249" s="47" t="n">
        <f aca="false">IF(G249="","",(Orders!G249-G249)/Orders!G249)</f>
        <v>0.595384615384615</v>
      </c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</row>
    <row r="250" customFormat="false" ht="15" hidden="false" customHeight="false" outlineLevel="0" collapsed="false">
      <c r="A250" s="46" t="str">
        <f aca="false">Orders!A250</f>
        <v>ORD-00249</v>
      </c>
      <c r="B250" s="46" t="str">
        <f aca="false">PROPER(TRIM(Orders!K250))</f>
        <v>Delhi</v>
      </c>
      <c r="C250" s="46" t="str">
        <f aca="false">IFERROR(VLOOKUP(Orders!D250,Products!$A$2:$F$61,3,FALSE()),"Not Found")</f>
        <v>Apparel</v>
      </c>
      <c r="D250" s="46" t="str">
        <f aca="false">IFERROR(VLOOKUP(Orders!C250,Customers!$A$2:$F$301,5,FALSE()),"Not Found")</f>
        <v>SMB</v>
      </c>
      <c r="E250" s="46" t="n">
        <f aca="false">IFERROR(VLOOKUP(Orders!C250,Customers!$A$2:$F$301,3,FALSE()),"Not Found")</f>
        <v>55</v>
      </c>
      <c r="F250" s="46" t="str">
        <f aca="false">IFERROR(VLOOKUP(Orders!E250,Sales_Reps!$A$2:$E$31,3,FALSE()),"Not Found")</f>
        <v>South</v>
      </c>
      <c r="G250" s="46" t="n">
        <f aca="false">IFERROR(VLOOKUP(Orders!D250,Products!$A$2:$F$61,4,FALSE()),"")</f>
        <v>1075</v>
      </c>
      <c r="H250" s="47" t="n">
        <f aca="false">IF(G250="","",(Orders!G250-G250)/Orders!G250)</f>
        <v>0.571713147410359</v>
      </c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</row>
    <row r="251" customFormat="false" ht="15" hidden="false" customHeight="false" outlineLevel="0" collapsed="false">
      <c r="A251" s="46" t="str">
        <f aca="false">Orders!A251</f>
        <v>ORD-00250</v>
      </c>
      <c r="B251" s="46" t="str">
        <f aca="false">PROPER(TRIM(Orders!K251))</f>
        <v>Chennai</v>
      </c>
      <c r="C251" s="46" t="str">
        <f aca="false">IFERROR(VLOOKUP(Orders!D251,Products!$A$2:$F$61,3,FALSE()),"Not Found")</f>
        <v>Grocery</v>
      </c>
      <c r="D251" s="46" t="str">
        <f aca="false">IFERROR(VLOOKUP(Orders!C251,Customers!$A$2:$F$301,5,FALSE()),"Not Found")</f>
        <v>Retail</v>
      </c>
      <c r="E251" s="46" t="n">
        <f aca="false">IFERROR(VLOOKUP(Orders!C251,Customers!$A$2:$F$301,3,FALSE()),"Not Found")</f>
        <v>61</v>
      </c>
      <c r="F251" s="46" t="str">
        <f aca="false">IFERROR(VLOOKUP(Orders!E251,Sales_Reps!$A$2:$E$31,3,FALSE()),"Not Found")</f>
        <v>East</v>
      </c>
      <c r="G251" s="46" t="n">
        <f aca="false">IFERROR(VLOOKUP(Orders!D251,Products!$A$2:$F$61,4,FALSE()),"")</f>
        <v>2027</v>
      </c>
      <c r="H251" s="47" t="n">
        <f aca="false">IF(G251="","",(Orders!G251-G251)/Orders!G251)</f>
        <v>0.501965601965602</v>
      </c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</row>
    <row r="252" customFormat="false" ht="15" hidden="false" customHeight="false" outlineLevel="0" collapsed="false">
      <c r="A252" s="46" t="str">
        <f aca="false">Orders!A252</f>
        <v>ORD-00251</v>
      </c>
      <c r="B252" s="46" t="str">
        <f aca="false">PROPER(TRIM(Orders!K252))</f>
        <v>Bengaluru</v>
      </c>
      <c r="C252" s="46" t="str">
        <f aca="false">IFERROR(VLOOKUP(Orders!D252,Products!$A$2:$F$61,3,FALSE()),"Not Found")</f>
        <v>Apparel</v>
      </c>
      <c r="D252" s="46" t="str">
        <f aca="false">IFERROR(VLOOKUP(Orders!C252,Customers!$A$2:$F$301,5,FALSE()),"Not Found")</f>
        <v>Retail</v>
      </c>
      <c r="E252" s="46" t="n">
        <f aca="false">IFERROR(VLOOKUP(Orders!C252,Customers!$A$2:$F$301,3,FALSE()),"Not Found")</f>
        <v>34</v>
      </c>
      <c r="F252" s="46" t="str">
        <f aca="false">IFERROR(VLOOKUP(Orders!E252,Sales_Reps!$A$2:$E$31,3,FALSE()),"Not Found")</f>
        <v>South</v>
      </c>
      <c r="G252" s="46" t="n">
        <f aca="false">IFERROR(VLOOKUP(Orders!D252,Products!$A$2:$F$61,4,FALSE()),"")</f>
        <v>391</v>
      </c>
      <c r="H252" s="47" t="n">
        <f aca="false">IF(G252="","",(Orders!G252-G252)/Orders!G252)</f>
        <v>0.523170731707317</v>
      </c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</row>
    <row r="253" customFormat="false" ht="15" hidden="false" customHeight="false" outlineLevel="0" collapsed="false">
      <c r="A253" s="46" t="str">
        <f aca="false">Orders!A253</f>
        <v>ORD-00252</v>
      </c>
      <c r="B253" s="46" t="str">
        <f aca="false">PROPER(TRIM(Orders!K253))</f>
        <v>Mumbai</v>
      </c>
      <c r="C253" s="46" t="str">
        <f aca="false">IFERROR(VLOOKUP(Orders!D253,Products!$A$2:$F$61,3,FALSE()),"Not Found")</f>
        <v>Grocery</v>
      </c>
      <c r="D253" s="46" t="str">
        <f aca="false">IFERROR(VLOOKUP(Orders!C253,Customers!$A$2:$F$301,5,FALSE()),"Not Found")</f>
        <v>Retail</v>
      </c>
      <c r="E253" s="46" t="n">
        <f aca="false">IFERROR(VLOOKUP(Orders!C253,Customers!$A$2:$F$301,3,FALSE()),"Not Found")</f>
        <v>52</v>
      </c>
      <c r="F253" s="46" t="str">
        <f aca="false">IFERROR(VLOOKUP(Orders!E253,Sales_Reps!$A$2:$E$31,3,FALSE()),"Not Found")</f>
        <v>North</v>
      </c>
      <c r="G253" s="46" t="n">
        <f aca="false">IFERROR(VLOOKUP(Orders!D253,Products!$A$2:$F$61,4,FALSE()),"")</f>
        <v>434</v>
      </c>
      <c r="H253" s="47" t="n">
        <f aca="false">IF(G253="","",(Orders!G253-G253)/Orders!G253)</f>
        <v>0.552577319587629</v>
      </c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</row>
    <row r="254" customFormat="false" ht="15" hidden="false" customHeight="false" outlineLevel="0" collapsed="false">
      <c r="A254" s="46" t="str">
        <f aca="false">Orders!A254</f>
        <v>ORD-00253</v>
      </c>
      <c r="B254" s="46" t="str">
        <f aca="false">PROPER(TRIM(Orders!K254))</f>
        <v>Pune</v>
      </c>
      <c r="C254" s="46" t="str">
        <f aca="false">IFERROR(VLOOKUP(Orders!D254,Products!$A$2:$F$61,3,FALSE()),"Not Found")</f>
        <v>Grocery</v>
      </c>
      <c r="D254" s="46" t="str">
        <f aca="false">IFERROR(VLOOKUP(Orders!C254,Customers!$A$2:$F$301,5,FALSE()),"Not Found")</f>
        <v>Corporate</v>
      </c>
      <c r="E254" s="46" t="n">
        <f aca="false">IFERROR(VLOOKUP(Orders!C254,Customers!$A$2:$F$301,3,FALSE()),"Not Found")</f>
        <v>40</v>
      </c>
      <c r="F254" s="46" t="str">
        <f aca="false">IFERROR(VLOOKUP(Orders!E254,Sales_Reps!$A$2:$E$31,3,FALSE()),"Not Found")</f>
        <v>South</v>
      </c>
      <c r="G254" s="46" t="n">
        <f aca="false">IFERROR(VLOOKUP(Orders!D254,Products!$A$2:$F$61,4,FALSE()),"")</f>
        <v>2027</v>
      </c>
      <c r="H254" s="47" t="n">
        <f aca="false">IF(G254="","",(Orders!G254-G254)/Orders!G254)</f>
        <v>0.501965601965602</v>
      </c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</row>
    <row r="255" customFormat="false" ht="15" hidden="false" customHeight="false" outlineLevel="0" collapsed="false">
      <c r="A255" s="46" t="str">
        <f aca="false">Orders!A255</f>
        <v>ORD-00254</v>
      </c>
      <c r="B255" s="46" t="str">
        <f aca="false">PROPER(TRIM(Orders!K255))</f>
        <v>Bengaluru</v>
      </c>
      <c r="C255" s="46" t="str">
        <f aca="false">IFERROR(VLOOKUP(Orders!D255,Products!$A$2:$F$61,3,FALSE()),"Not Found")</f>
        <v>Beauty</v>
      </c>
      <c r="D255" s="46" t="str">
        <f aca="false">IFERROR(VLOOKUP(Orders!C255,Customers!$A$2:$F$301,5,FALSE()),"Not Found")</f>
        <v>SMB</v>
      </c>
      <c r="E255" s="46" t="n">
        <f aca="false">IFERROR(VLOOKUP(Orders!C255,Customers!$A$2:$F$301,3,FALSE()),"Not Found")</f>
        <v>42</v>
      </c>
      <c r="F255" s="46" t="str">
        <f aca="false">IFERROR(VLOOKUP(Orders!E255,Sales_Reps!$A$2:$E$31,3,FALSE()),"Not Found")</f>
        <v>East</v>
      </c>
      <c r="G255" s="46" t="n">
        <f aca="false">IFERROR(VLOOKUP(Orders!D255,Products!$A$2:$F$61,4,FALSE()),"")</f>
        <v>2420</v>
      </c>
      <c r="H255" s="47" t="n">
        <f aca="false">IF(G255="","",(Orders!G255-G255)/Orders!G255)</f>
        <v>0.298550724637681</v>
      </c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</row>
    <row r="256" customFormat="false" ht="15" hidden="false" customHeight="false" outlineLevel="0" collapsed="false">
      <c r="A256" s="46" t="str">
        <f aca="false">Orders!A256</f>
        <v>ORD-00255</v>
      </c>
      <c r="B256" s="46" t="str">
        <f aca="false">PROPER(TRIM(Orders!K256))</f>
        <v>Mumbai</v>
      </c>
      <c r="C256" s="46" t="str">
        <f aca="false">IFERROR(VLOOKUP(Orders!D256,Products!$A$2:$F$61,3,FALSE()),"Not Found")</f>
        <v>Grocery</v>
      </c>
      <c r="D256" s="46" t="str">
        <f aca="false">IFERROR(VLOOKUP(Orders!C256,Customers!$A$2:$F$301,5,FALSE()),"Not Found")</f>
        <v>Retail</v>
      </c>
      <c r="E256" s="46" t="n">
        <f aca="false">IFERROR(VLOOKUP(Orders!C256,Customers!$A$2:$F$301,3,FALSE()),"Not Found")</f>
        <v>49</v>
      </c>
      <c r="F256" s="46" t="str">
        <f aca="false">IFERROR(VLOOKUP(Orders!E256,Sales_Reps!$A$2:$E$31,3,FALSE()),"Not Found")</f>
        <v>South</v>
      </c>
      <c r="G256" s="46" t="n">
        <f aca="false">IFERROR(VLOOKUP(Orders!D256,Products!$A$2:$F$61,4,FALSE()),"")</f>
        <v>2436</v>
      </c>
      <c r="H256" s="47" t="n">
        <f aca="false">IF(G256="","",(Orders!G256-G256)/Orders!G256)</f>
        <v>0.355555555555556</v>
      </c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</row>
    <row r="257" customFormat="false" ht="15" hidden="false" customHeight="false" outlineLevel="0" collapsed="false">
      <c r="A257" s="46" t="str">
        <f aca="false">Orders!A257</f>
        <v>ORD-00256</v>
      </c>
      <c r="B257" s="46" t="str">
        <f aca="false">PROPER(TRIM(Orders!K257))</f>
        <v>Mumbai</v>
      </c>
      <c r="C257" s="46" t="str">
        <f aca="false">IFERROR(VLOOKUP(Orders!D257,Products!$A$2:$F$61,3,FALSE()),"Not Found")</f>
        <v>Sports</v>
      </c>
      <c r="D257" s="46" t="str">
        <f aca="false">IFERROR(VLOOKUP(Orders!C257,Customers!$A$2:$F$301,5,FALSE()),"Not Found")</f>
        <v>Retail</v>
      </c>
      <c r="E257" s="46" t="n">
        <f aca="false">IFERROR(VLOOKUP(Orders!C257,Customers!$A$2:$F$301,3,FALSE()),"Not Found")</f>
        <v>44</v>
      </c>
      <c r="F257" s="46" t="str">
        <f aca="false">IFERROR(VLOOKUP(Orders!E257,Sales_Reps!$A$2:$E$31,3,FALSE()),"Not Found")</f>
        <v>North</v>
      </c>
      <c r="G257" s="46" t="n">
        <f aca="false">IFERROR(VLOOKUP(Orders!D257,Products!$A$2:$F$61,4,FALSE()),"")</f>
        <v>705</v>
      </c>
      <c r="H257" s="47" t="n">
        <f aca="false">IF(G257="","",(Orders!G257-G257)/Orders!G257)</f>
        <v>0.265625</v>
      </c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</row>
    <row r="258" customFormat="false" ht="15" hidden="false" customHeight="false" outlineLevel="0" collapsed="false">
      <c r="A258" s="46" t="str">
        <f aca="false">Orders!A258</f>
        <v>ORD-00257</v>
      </c>
      <c r="B258" s="46" t="str">
        <f aca="false">PROPER(TRIM(Orders!K258))</f>
        <v>Mumbai</v>
      </c>
      <c r="C258" s="46" t="str">
        <f aca="false">IFERROR(VLOOKUP(Orders!D258,Products!$A$2:$F$61,3,FALSE()),"Not Found")</f>
        <v>Electronics</v>
      </c>
      <c r="D258" s="46" t="str">
        <f aca="false">IFERROR(VLOOKUP(Orders!C258,Customers!$A$2:$F$301,5,FALSE()),"Not Found")</f>
        <v>Retail</v>
      </c>
      <c r="E258" s="46" t="n">
        <f aca="false">IFERROR(VLOOKUP(Orders!C258,Customers!$A$2:$F$301,3,FALSE()),"Not Found")</f>
        <v>53</v>
      </c>
      <c r="F258" s="46" t="str">
        <f aca="false">IFERROR(VLOOKUP(Orders!E258,Sales_Reps!$A$2:$E$31,3,FALSE()),"Not Found")</f>
        <v>East</v>
      </c>
      <c r="G258" s="46" t="n">
        <f aca="false">IFERROR(VLOOKUP(Orders!D258,Products!$A$2:$F$61,4,FALSE()),"")</f>
        <v>1665</v>
      </c>
      <c r="H258" s="47" t="n">
        <f aca="false">IF(G258="","",(Orders!G258-G258)/Orders!G258)</f>
        <v>0.533613445378151</v>
      </c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</row>
    <row r="259" customFormat="false" ht="15" hidden="false" customHeight="false" outlineLevel="0" collapsed="false">
      <c r="A259" s="46" t="str">
        <f aca="false">Orders!A259</f>
        <v>ORD-00258</v>
      </c>
      <c r="B259" s="46" t="str">
        <f aca="false">PROPER(TRIM(Orders!K259))</f>
        <v>Mumbai</v>
      </c>
      <c r="C259" s="46" t="str">
        <f aca="false">IFERROR(VLOOKUP(Orders!D259,Products!$A$2:$F$61,3,FALSE()),"Not Found")</f>
        <v>Electronics</v>
      </c>
      <c r="D259" s="46" t="str">
        <f aca="false">IFERROR(VLOOKUP(Orders!C259,Customers!$A$2:$F$301,5,FALSE()),"Not Found")</f>
        <v>SMB</v>
      </c>
      <c r="E259" s="46" t="n">
        <f aca="false">IFERROR(VLOOKUP(Orders!C259,Customers!$A$2:$F$301,3,FALSE()),"Not Found")</f>
        <v>65</v>
      </c>
      <c r="F259" s="46" t="str">
        <f aca="false">IFERROR(VLOOKUP(Orders!E259,Sales_Reps!$A$2:$E$31,3,FALSE()),"Not Found")</f>
        <v>West</v>
      </c>
      <c r="G259" s="46" t="n">
        <f aca="false">IFERROR(VLOOKUP(Orders!D259,Products!$A$2:$F$61,4,FALSE()),"")</f>
        <v>1665</v>
      </c>
      <c r="H259" s="47" t="n">
        <f aca="false">IF(G259="","",(Orders!G259-G259)/Orders!G259)</f>
        <v>0.533613445378151</v>
      </c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</row>
    <row r="260" customFormat="false" ht="15" hidden="false" customHeight="false" outlineLevel="0" collapsed="false">
      <c r="A260" s="46" t="str">
        <f aca="false">Orders!A260</f>
        <v>ORD-00259</v>
      </c>
      <c r="B260" s="46" t="str">
        <f aca="false">PROPER(TRIM(Orders!K260))</f>
        <v>Bengaluru</v>
      </c>
      <c r="C260" s="46" t="str">
        <f aca="false">IFERROR(VLOOKUP(Orders!D260,Products!$A$2:$F$61,3,FALSE()),"Not Found")</f>
        <v>Home</v>
      </c>
      <c r="D260" s="46" t="str">
        <f aca="false">IFERROR(VLOOKUP(Orders!C260,Customers!$A$2:$F$301,5,FALSE()),"Not Found")</f>
        <v>SMB</v>
      </c>
      <c r="E260" s="46" t="n">
        <f aca="false">IFERROR(VLOOKUP(Orders!C260,Customers!$A$2:$F$301,3,FALSE()),"Not Found")</f>
        <v>26</v>
      </c>
      <c r="F260" s="46" t="str">
        <f aca="false">IFERROR(VLOOKUP(Orders!E260,Sales_Reps!$A$2:$E$31,3,FALSE()),"Not Found")</f>
        <v>South</v>
      </c>
      <c r="G260" s="46" t="n">
        <f aca="false">IFERROR(VLOOKUP(Orders!D260,Products!$A$2:$F$61,4,FALSE()),"")</f>
        <v>519</v>
      </c>
      <c r="H260" s="47" t="n">
        <f aca="false">IF(G260="","",(Orders!G260-G260)/Orders!G260)</f>
        <v>0.519444444444445</v>
      </c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</row>
    <row r="261" customFormat="false" ht="15" hidden="false" customHeight="false" outlineLevel="0" collapsed="false">
      <c r="A261" s="46" t="str">
        <f aca="false">Orders!A261</f>
        <v>ORD-00260</v>
      </c>
      <c r="B261" s="46" t="str">
        <f aca="false">PROPER(TRIM(Orders!K261))</f>
        <v>Hyderabad</v>
      </c>
      <c r="C261" s="46" t="str">
        <f aca="false">IFERROR(VLOOKUP(Orders!D261,Products!$A$2:$F$61,3,FALSE()),"Not Found")</f>
        <v>Apparel</v>
      </c>
      <c r="D261" s="46" t="str">
        <f aca="false">IFERROR(VLOOKUP(Orders!C261,Customers!$A$2:$F$301,5,FALSE()),"Not Found")</f>
        <v>SMB</v>
      </c>
      <c r="E261" s="46" t="n">
        <f aca="false">IFERROR(VLOOKUP(Orders!C261,Customers!$A$2:$F$301,3,FALSE()),"Not Found")</f>
        <v>40</v>
      </c>
      <c r="F261" s="46" t="str">
        <f aca="false">IFERROR(VLOOKUP(Orders!E261,Sales_Reps!$A$2:$E$31,3,FALSE()),"Not Found")</f>
        <v>South</v>
      </c>
      <c r="G261" s="46" t="n">
        <f aca="false">IFERROR(VLOOKUP(Orders!D261,Products!$A$2:$F$61,4,FALSE()),"")</f>
        <v>1748</v>
      </c>
      <c r="H261" s="47" t="n">
        <f aca="false">IF(G261="","",(Orders!G261-G261)/Orders!G261)</f>
        <v>0.493333333333333</v>
      </c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</row>
    <row r="262" customFormat="false" ht="15" hidden="false" customHeight="false" outlineLevel="0" collapsed="false">
      <c r="A262" s="46" t="str">
        <f aca="false">Orders!A262</f>
        <v>ORD-00261</v>
      </c>
      <c r="B262" s="46" t="str">
        <f aca="false">PROPER(TRIM(Orders!K262))</f>
        <v>Chennai</v>
      </c>
      <c r="C262" s="46" t="str">
        <f aca="false">IFERROR(VLOOKUP(Orders!D262,Products!$A$2:$F$61,3,FALSE()),"Not Found")</f>
        <v>Electronics</v>
      </c>
      <c r="D262" s="46" t="str">
        <f aca="false">IFERROR(VLOOKUP(Orders!C262,Customers!$A$2:$F$301,5,FALSE()),"Not Found")</f>
        <v>Corporate</v>
      </c>
      <c r="E262" s="46" t="n">
        <f aca="false">IFERROR(VLOOKUP(Orders!C262,Customers!$A$2:$F$301,3,FALSE()),"Not Found")</f>
        <v>22</v>
      </c>
      <c r="F262" s="46" t="str">
        <f aca="false">IFERROR(VLOOKUP(Orders!E262,Sales_Reps!$A$2:$E$31,3,FALSE()),"Not Found")</f>
        <v>East</v>
      </c>
      <c r="G262" s="46" t="n">
        <f aca="false">IFERROR(VLOOKUP(Orders!D262,Products!$A$2:$F$61,4,FALSE()),"")</f>
        <v>1259</v>
      </c>
      <c r="H262" s="47" t="n">
        <f aca="false">IF(G262="","",(Orders!G262-G262)/Orders!G262)</f>
        <v>0.526691729323308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</row>
    <row r="263" customFormat="false" ht="15" hidden="false" customHeight="false" outlineLevel="0" collapsed="false">
      <c r="A263" s="46" t="str">
        <f aca="false">Orders!A263</f>
        <v>ORD-00262</v>
      </c>
      <c r="B263" s="46" t="str">
        <f aca="false">PROPER(TRIM(Orders!K263))</f>
        <v>Hyderabad</v>
      </c>
      <c r="C263" s="46" t="str">
        <f aca="false">IFERROR(VLOOKUP(Orders!D263,Products!$A$2:$F$61,3,FALSE()),"Not Found")</f>
        <v>Sports</v>
      </c>
      <c r="D263" s="46" t="str">
        <f aca="false">IFERROR(VLOOKUP(Orders!C263,Customers!$A$2:$F$301,5,FALSE()),"Not Found")</f>
        <v>Corporate</v>
      </c>
      <c r="E263" s="46" t="n">
        <f aca="false">IFERROR(VLOOKUP(Orders!C263,Customers!$A$2:$F$301,3,FALSE()),"Not Found")</f>
        <v>46</v>
      </c>
      <c r="F263" s="46" t="str">
        <f aca="false">IFERROR(VLOOKUP(Orders!E263,Sales_Reps!$A$2:$E$31,3,FALSE()),"Not Found")</f>
        <v>South</v>
      </c>
      <c r="G263" s="46" t="n">
        <f aca="false">IFERROR(VLOOKUP(Orders!D263,Products!$A$2:$F$61,4,FALSE()),"")</f>
        <v>974</v>
      </c>
      <c r="H263" s="47" t="n">
        <f aca="false">IF(G263="","",(Orders!G263-G263)/Orders!G263)</f>
        <v>0.594166666666667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</row>
    <row r="264" customFormat="false" ht="15" hidden="false" customHeight="false" outlineLevel="0" collapsed="false">
      <c r="A264" s="46" t="str">
        <f aca="false">Orders!A264</f>
        <v>ORD-00263</v>
      </c>
      <c r="B264" s="46" t="str">
        <f aca="false">PROPER(TRIM(Orders!K264))</f>
        <v>Pune</v>
      </c>
      <c r="C264" s="46" t="str">
        <f aca="false">IFERROR(VLOOKUP(Orders!D264,Products!$A$2:$F$61,3,FALSE()),"Not Found")</f>
        <v>Electronics</v>
      </c>
      <c r="D264" s="46" t="str">
        <f aca="false">IFERROR(VLOOKUP(Orders!C264,Customers!$A$2:$F$301,5,FALSE()),"Not Found")</f>
        <v>Corporate</v>
      </c>
      <c r="E264" s="46" t="n">
        <f aca="false">IFERROR(VLOOKUP(Orders!C264,Customers!$A$2:$F$301,3,FALSE()),"Not Found")</f>
        <v>31</v>
      </c>
      <c r="F264" s="46" t="str">
        <f aca="false">IFERROR(VLOOKUP(Orders!E264,Sales_Reps!$A$2:$E$31,3,FALSE()),"Not Found")</f>
        <v>North</v>
      </c>
      <c r="G264" s="46" t="n">
        <f aca="false">IFERROR(VLOOKUP(Orders!D264,Products!$A$2:$F$61,4,FALSE()),"")</f>
        <v>1052</v>
      </c>
      <c r="H264" s="47" t="n">
        <f aca="false">IF(G264="","",(Orders!G264-G264)/Orders!G264)</f>
        <v>0.595384615384615</v>
      </c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</row>
    <row r="265" customFormat="false" ht="15" hidden="false" customHeight="false" outlineLevel="0" collapsed="false">
      <c r="A265" s="46" t="str">
        <f aca="false">Orders!A265</f>
        <v>ORD-00264</v>
      </c>
      <c r="B265" s="46" t="str">
        <f aca="false">PROPER(TRIM(Orders!K265))</f>
        <v>Delhi</v>
      </c>
      <c r="C265" s="46" t="str">
        <f aca="false">IFERROR(VLOOKUP(Orders!D265,Products!$A$2:$F$61,3,FALSE()),"Not Found")</f>
        <v>Grocery</v>
      </c>
      <c r="D265" s="46" t="str">
        <f aca="false">IFERROR(VLOOKUP(Orders!C265,Customers!$A$2:$F$301,5,FALSE()),"Not Found")</f>
        <v>Retail</v>
      </c>
      <c r="E265" s="46" t="n">
        <f aca="false">IFERROR(VLOOKUP(Orders!C265,Customers!$A$2:$F$301,3,FALSE()),"Not Found")</f>
        <v>40</v>
      </c>
      <c r="F265" s="46" t="str">
        <f aca="false">IFERROR(VLOOKUP(Orders!E265,Sales_Reps!$A$2:$E$31,3,FALSE()),"Not Found")</f>
        <v>North</v>
      </c>
      <c r="G265" s="46" t="n">
        <f aca="false">IFERROR(VLOOKUP(Orders!D265,Products!$A$2:$F$61,4,FALSE()),"")</f>
        <v>2911</v>
      </c>
      <c r="H265" s="47" t="n">
        <f aca="false">IF(G265="","",(Orders!G265-G265)/Orders!G265)</f>
        <v>0.283004926108374</v>
      </c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</row>
    <row r="266" customFormat="false" ht="15" hidden="false" customHeight="false" outlineLevel="0" collapsed="false">
      <c r="A266" s="46" t="str">
        <f aca="false">Orders!A266</f>
        <v>ORD-00265</v>
      </c>
      <c r="B266" s="46" t="str">
        <f aca="false">PROPER(TRIM(Orders!K266))</f>
        <v>Hyderabad</v>
      </c>
      <c r="C266" s="46" t="str">
        <f aca="false">IFERROR(VLOOKUP(Orders!D266,Products!$A$2:$F$61,3,FALSE()),"Not Found")</f>
        <v>Home</v>
      </c>
      <c r="D266" s="46" t="str">
        <f aca="false">IFERROR(VLOOKUP(Orders!C266,Customers!$A$2:$F$301,5,FALSE()),"Not Found")</f>
        <v>Corporate</v>
      </c>
      <c r="E266" s="46" t="n">
        <f aca="false">IFERROR(VLOOKUP(Orders!C266,Customers!$A$2:$F$301,3,FALSE()),"Not Found")</f>
        <v>22</v>
      </c>
      <c r="F266" s="46" t="str">
        <f aca="false">IFERROR(VLOOKUP(Orders!E266,Sales_Reps!$A$2:$E$31,3,FALSE()),"Not Found")</f>
        <v>East</v>
      </c>
      <c r="G266" s="46" t="n">
        <f aca="false">IFERROR(VLOOKUP(Orders!D266,Products!$A$2:$F$61,4,FALSE()),"")</f>
        <v>2549</v>
      </c>
      <c r="H266" s="47" t="n">
        <f aca="false">IF(G266="","",(Orders!G266-G266)/Orders!G266)</f>
        <v>0.535701275045537</v>
      </c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</row>
    <row r="267" customFormat="false" ht="15" hidden="false" customHeight="false" outlineLevel="0" collapsed="false">
      <c r="A267" s="46" t="str">
        <f aca="false">Orders!A267</f>
        <v>ORD-00266</v>
      </c>
      <c r="B267" s="46" t="str">
        <f aca="false">PROPER(TRIM(Orders!K267))</f>
        <v>Pune</v>
      </c>
      <c r="C267" s="46" t="str">
        <f aca="false">IFERROR(VLOOKUP(Orders!D267,Products!$A$2:$F$61,3,FALSE()),"Not Found")</f>
        <v>Home</v>
      </c>
      <c r="D267" s="46" t="str">
        <f aca="false">IFERROR(VLOOKUP(Orders!C267,Customers!$A$2:$F$301,5,FALSE()),"Not Found")</f>
        <v>Retail</v>
      </c>
      <c r="E267" s="46" t="n">
        <f aca="false">IFERROR(VLOOKUP(Orders!C267,Customers!$A$2:$F$301,3,FALSE()),"Not Found")</f>
        <v>49</v>
      </c>
      <c r="F267" s="46" t="str">
        <f aca="false">IFERROR(VLOOKUP(Orders!E267,Sales_Reps!$A$2:$E$31,3,FALSE()),"Not Found")</f>
        <v>East</v>
      </c>
      <c r="G267" s="46" t="n">
        <f aca="false">IFERROR(VLOOKUP(Orders!D267,Products!$A$2:$F$61,4,FALSE()),"")</f>
        <v>288</v>
      </c>
      <c r="H267" s="47" t="n">
        <f aca="false">IF(G267="","",(Orders!G267-G267)/Orders!G267)</f>
        <v>0.221621621621622</v>
      </c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</row>
    <row r="268" customFormat="false" ht="15" hidden="false" customHeight="false" outlineLevel="0" collapsed="false">
      <c r="A268" s="46" t="str">
        <f aca="false">Orders!A268</f>
        <v>ORD-00267</v>
      </c>
      <c r="B268" s="46" t="str">
        <f aca="false">PROPER(TRIM(Orders!K268))</f>
        <v>Delhi</v>
      </c>
      <c r="C268" s="46" t="str">
        <f aca="false">IFERROR(VLOOKUP(Orders!D268,Products!$A$2:$F$61,3,FALSE()),"Not Found")</f>
        <v>Apparel</v>
      </c>
      <c r="D268" s="46" t="str">
        <f aca="false">IFERROR(VLOOKUP(Orders!C268,Customers!$A$2:$F$301,5,FALSE()),"Not Found")</f>
        <v>SMB</v>
      </c>
      <c r="E268" s="46" t="n">
        <f aca="false">IFERROR(VLOOKUP(Orders!C268,Customers!$A$2:$F$301,3,FALSE()),"Not Found")</f>
        <v>38</v>
      </c>
      <c r="F268" s="46" t="str">
        <f aca="false">IFERROR(VLOOKUP(Orders!E268,Sales_Reps!$A$2:$E$31,3,FALSE()),"Not Found")</f>
        <v>East</v>
      </c>
      <c r="G268" s="46" t="n">
        <f aca="false">IFERROR(VLOOKUP(Orders!D268,Products!$A$2:$F$61,4,FALSE()),"")</f>
        <v>396</v>
      </c>
      <c r="H268" s="47" t="n">
        <f aca="false">IF(G268="","",(Orders!G268-G268)/Orders!G268)</f>
        <v>0.361290322580645</v>
      </c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</row>
    <row r="269" customFormat="false" ht="15" hidden="false" customHeight="false" outlineLevel="0" collapsed="false">
      <c r="A269" s="46" t="str">
        <f aca="false">Orders!A269</f>
        <v>ORD-00268</v>
      </c>
      <c r="B269" s="46" t="str">
        <f aca="false">PROPER(TRIM(Orders!K269))</f>
        <v>Chennai</v>
      </c>
      <c r="C269" s="46" t="str">
        <f aca="false">IFERROR(VLOOKUP(Orders!D269,Products!$A$2:$F$61,3,FALSE()),"Not Found")</f>
        <v>Home</v>
      </c>
      <c r="D269" s="46" t="str">
        <f aca="false">IFERROR(VLOOKUP(Orders!C269,Customers!$A$2:$F$301,5,FALSE()),"Not Found")</f>
        <v>Retail</v>
      </c>
      <c r="E269" s="46" t="n">
        <f aca="false">IFERROR(VLOOKUP(Orders!C269,Customers!$A$2:$F$301,3,FALSE()),"Not Found")</f>
        <v>26</v>
      </c>
      <c r="F269" s="46" t="str">
        <f aca="false">IFERROR(VLOOKUP(Orders!E269,Sales_Reps!$A$2:$E$31,3,FALSE()),"Not Found")</f>
        <v>West</v>
      </c>
      <c r="G269" s="46" t="n">
        <f aca="false">IFERROR(VLOOKUP(Orders!D269,Products!$A$2:$F$61,4,FALSE()),"")</f>
        <v>1556</v>
      </c>
      <c r="H269" s="47" t="n">
        <f aca="false">IF(G269="","",(Orders!G269-G269)/Orders!G269)</f>
        <v>0.521230769230769</v>
      </c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</row>
    <row r="270" customFormat="false" ht="15" hidden="false" customHeight="false" outlineLevel="0" collapsed="false">
      <c r="A270" s="46" t="str">
        <f aca="false">Orders!A270</f>
        <v>ORD-00269</v>
      </c>
      <c r="B270" s="46" t="str">
        <f aca="false">PROPER(TRIM(Orders!K270))</f>
        <v>Mumbai</v>
      </c>
      <c r="C270" s="46" t="str">
        <f aca="false">IFERROR(VLOOKUP(Orders!D270,Products!$A$2:$F$61,3,FALSE()),"Not Found")</f>
        <v>Beauty</v>
      </c>
      <c r="D270" s="46" t="str">
        <f aca="false">IFERROR(VLOOKUP(Orders!C270,Customers!$A$2:$F$301,5,FALSE()),"Not Found")</f>
        <v>SMB</v>
      </c>
      <c r="E270" s="46" t="n">
        <f aca="false">IFERROR(VLOOKUP(Orders!C270,Customers!$A$2:$F$301,3,FALSE()),"Not Found")</f>
        <v>54</v>
      </c>
      <c r="F270" s="46" t="str">
        <f aca="false">IFERROR(VLOOKUP(Orders!E270,Sales_Reps!$A$2:$E$31,3,FALSE()),"Not Found")</f>
        <v>South</v>
      </c>
      <c r="G270" s="46" t="n">
        <f aca="false">IFERROR(VLOOKUP(Orders!D270,Products!$A$2:$F$61,4,FALSE()),"")</f>
        <v>2617</v>
      </c>
      <c r="H270" s="47" t="n">
        <f aca="false">IF(G270="","",(Orders!G270-G270)/Orders!G270)</f>
        <v>0.569572368421053</v>
      </c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</row>
    <row r="271" customFormat="false" ht="15" hidden="false" customHeight="false" outlineLevel="0" collapsed="false">
      <c r="A271" s="46" t="str">
        <f aca="false">Orders!A271</f>
        <v>ORD-00270</v>
      </c>
      <c r="B271" s="46" t="str">
        <f aca="false">PROPER(TRIM(Orders!K271))</f>
        <v>Chennai</v>
      </c>
      <c r="C271" s="46" t="str">
        <f aca="false">IFERROR(VLOOKUP(Orders!D271,Products!$A$2:$F$61,3,FALSE()),"Not Found")</f>
        <v>Apparel</v>
      </c>
      <c r="D271" s="46" t="str">
        <f aca="false">IFERROR(VLOOKUP(Orders!C271,Customers!$A$2:$F$301,5,FALSE()),"Not Found")</f>
        <v>Corporate</v>
      </c>
      <c r="E271" s="46" t="n">
        <f aca="false">IFERROR(VLOOKUP(Orders!C271,Customers!$A$2:$F$301,3,FALSE()),"Not Found")</f>
        <v>30</v>
      </c>
      <c r="F271" s="46" t="str">
        <f aca="false">IFERROR(VLOOKUP(Orders!E271,Sales_Reps!$A$2:$E$31,3,FALSE()),"Not Found")</f>
        <v>South</v>
      </c>
      <c r="G271" s="46" t="n">
        <f aca="false">IFERROR(VLOOKUP(Orders!D271,Products!$A$2:$F$61,4,FALSE()),"")</f>
        <v>2611</v>
      </c>
      <c r="H271" s="47" t="n">
        <f aca="false">IF(G271="","",(Orders!G271-G271)/Orders!G271)</f>
        <v>0.282692307692308</v>
      </c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</row>
    <row r="272" customFormat="false" ht="15" hidden="false" customHeight="false" outlineLevel="0" collapsed="false">
      <c r="A272" s="46" t="str">
        <f aca="false">Orders!A272</f>
        <v>ORD-00271</v>
      </c>
      <c r="B272" s="46" t="str">
        <f aca="false">PROPER(TRIM(Orders!K272))</f>
        <v>Delhi</v>
      </c>
      <c r="C272" s="46" t="str">
        <f aca="false">IFERROR(VLOOKUP(Orders!D272,Products!$A$2:$F$61,3,FALSE()),"Not Found")</f>
        <v>Apparel</v>
      </c>
      <c r="D272" s="46" t="str">
        <f aca="false">IFERROR(VLOOKUP(Orders!C272,Customers!$A$2:$F$301,5,FALSE()),"Not Found")</f>
        <v>Retail</v>
      </c>
      <c r="E272" s="46" t="n">
        <f aca="false">IFERROR(VLOOKUP(Orders!C272,Customers!$A$2:$F$301,3,FALSE()),"Not Found")</f>
        <v>49</v>
      </c>
      <c r="F272" s="46" t="str">
        <f aca="false">IFERROR(VLOOKUP(Orders!E272,Sales_Reps!$A$2:$E$31,3,FALSE()),"Not Found")</f>
        <v>North</v>
      </c>
      <c r="G272" s="46" t="n">
        <f aca="false">IFERROR(VLOOKUP(Orders!D272,Products!$A$2:$F$61,4,FALSE()),"")</f>
        <v>1886</v>
      </c>
      <c r="H272" s="47" t="n">
        <f aca="false">IF(G272="","",(Orders!G272-G272)/Orders!G272)</f>
        <v>0.403164556962025</v>
      </c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</row>
    <row r="273" customFormat="false" ht="15" hidden="false" customHeight="false" outlineLevel="0" collapsed="false">
      <c r="A273" s="46" t="str">
        <f aca="false">Orders!A273</f>
        <v>ORD-00272</v>
      </c>
      <c r="B273" s="46" t="str">
        <f aca="false">PROPER(TRIM(Orders!K273))</f>
        <v>Hyderabad</v>
      </c>
      <c r="C273" s="46" t="str">
        <f aca="false">IFERROR(VLOOKUP(Orders!D273,Products!$A$2:$F$61,3,FALSE()),"Not Found")</f>
        <v>Electronics</v>
      </c>
      <c r="D273" s="46" t="str">
        <f aca="false">IFERROR(VLOOKUP(Orders!C273,Customers!$A$2:$F$301,5,FALSE()),"Not Found")</f>
        <v>SMB</v>
      </c>
      <c r="E273" s="46" t="n">
        <f aca="false">IFERROR(VLOOKUP(Orders!C273,Customers!$A$2:$F$301,3,FALSE()),"Not Found")</f>
        <v>43</v>
      </c>
      <c r="F273" s="46" t="str">
        <f aca="false">IFERROR(VLOOKUP(Orders!E273,Sales_Reps!$A$2:$E$31,3,FALSE()),"Not Found")</f>
        <v>North</v>
      </c>
      <c r="G273" s="46" t="n">
        <f aca="false">IFERROR(VLOOKUP(Orders!D273,Products!$A$2:$F$61,4,FALSE()),"")</f>
        <v>1559</v>
      </c>
      <c r="H273" s="47" t="n">
        <f aca="false">IF(G273="","",(Orders!G273-G273)/Orders!G273)</f>
        <v>0.597157622739018</v>
      </c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</row>
    <row r="274" customFormat="false" ht="15" hidden="false" customHeight="false" outlineLevel="0" collapsed="false">
      <c r="A274" s="46" t="str">
        <f aca="false">Orders!A274</f>
        <v>ORD-00273</v>
      </c>
      <c r="B274" s="46" t="str">
        <f aca="false">PROPER(TRIM(Orders!K274))</f>
        <v>Delhi</v>
      </c>
      <c r="C274" s="46" t="str">
        <f aca="false">IFERROR(VLOOKUP(Orders!D274,Products!$A$2:$F$61,3,FALSE()),"Not Found")</f>
        <v>Home</v>
      </c>
      <c r="D274" s="46" t="str">
        <f aca="false">IFERROR(VLOOKUP(Orders!C274,Customers!$A$2:$F$301,5,FALSE()),"Not Found")</f>
        <v>Retail</v>
      </c>
      <c r="E274" s="46" t="n">
        <f aca="false">IFERROR(VLOOKUP(Orders!C274,Customers!$A$2:$F$301,3,FALSE()),"Not Found")</f>
        <v>43</v>
      </c>
      <c r="F274" s="46" t="str">
        <f aca="false">IFERROR(VLOOKUP(Orders!E274,Sales_Reps!$A$2:$E$31,3,FALSE()),"Not Found")</f>
        <v>West</v>
      </c>
      <c r="G274" s="46" t="n">
        <f aca="false">IFERROR(VLOOKUP(Orders!D274,Products!$A$2:$F$61,4,FALSE()),"")</f>
        <v>329</v>
      </c>
      <c r="H274" s="47" t="n">
        <f aca="false">IF(G274="","",(Orders!G274-G274)/Orders!G274)</f>
        <v>0.501515151515152</v>
      </c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</row>
    <row r="275" customFormat="false" ht="15" hidden="false" customHeight="false" outlineLevel="0" collapsed="false">
      <c r="A275" s="46" t="str">
        <f aca="false">Orders!A275</f>
        <v>ORD-00274</v>
      </c>
      <c r="B275" s="46" t="str">
        <f aca="false">PROPER(TRIM(Orders!K275))</f>
        <v>Chennai</v>
      </c>
      <c r="C275" s="46" t="str">
        <f aca="false">IFERROR(VLOOKUP(Orders!D275,Products!$A$2:$F$61,3,FALSE()),"Not Found")</f>
        <v>Grocery</v>
      </c>
      <c r="D275" s="46" t="str">
        <f aca="false">IFERROR(VLOOKUP(Orders!C275,Customers!$A$2:$F$301,5,FALSE()),"Not Found")</f>
        <v>Corporate</v>
      </c>
      <c r="E275" s="46" t="n">
        <f aca="false">IFERROR(VLOOKUP(Orders!C275,Customers!$A$2:$F$301,3,FALSE()),"Not Found")</f>
        <v>24</v>
      </c>
      <c r="F275" s="46" t="str">
        <f aca="false">IFERROR(VLOOKUP(Orders!E275,Sales_Reps!$A$2:$E$31,3,FALSE()),"Not Found")</f>
        <v>South</v>
      </c>
      <c r="G275" s="46" t="n">
        <f aca="false">IFERROR(VLOOKUP(Orders!D275,Products!$A$2:$F$61,4,FALSE()),"")</f>
        <v>2911</v>
      </c>
      <c r="H275" s="47" t="n">
        <f aca="false">IF(G275="","",(Orders!G275-G275)/Orders!G275)</f>
        <v>0.283004926108374</v>
      </c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</row>
    <row r="276" customFormat="false" ht="15" hidden="false" customHeight="false" outlineLevel="0" collapsed="false">
      <c r="A276" s="46" t="str">
        <f aca="false">Orders!A276</f>
        <v>ORD-00275</v>
      </c>
      <c r="B276" s="46" t="str">
        <f aca="false">PROPER(TRIM(Orders!K276))</f>
        <v>Delhi</v>
      </c>
      <c r="C276" s="46" t="str">
        <f aca="false">IFERROR(VLOOKUP(Orders!D276,Products!$A$2:$F$61,3,FALSE()),"Not Found")</f>
        <v>Home</v>
      </c>
      <c r="D276" s="46" t="str">
        <f aca="false">IFERROR(VLOOKUP(Orders!C276,Customers!$A$2:$F$301,5,FALSE()),"Not Found")</f>
        <v>SMB</v>
      </c>
      <c r="E276" s="46" t="n">
        <f aca="false">IFERROR(VLOOKUP(Orders!C276,Customers!$A$2:$F$301,3,FALSE()),"Not Found")</f>
        <v>38</v>
      </c>
      <c r="F276" s="46" t="str">
        <f aca="false">IFERROR(VLOOKUP(Orders!E276,Sales_Reps!$A$2:$E$31,3,FALSE()),"Not Found")</f>
        <v>South</v>
      </c>
      <c r="G276" s="46" t="n">
        <f aca="false">IFERROR(VLOOKUP(Orders!D276,Products!$A$2:$F$61,4,FALSE()),"")</f>
        <v>2459</v>
      </c>
      <c r="H276" s="47" t="n">
        <f aca="false">IF(G276="","",(Orders!G276-G276)/Orders!G276)</f>
        <v>0.515944881889764</v>
      </c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</row>
    <row r="277" customFormat="false" ht="15" hidden="false" customHeight="false" outlineLevel="0" collapsed="false">
      <c r="A277" s="46" t="str">
        <f aca="false">Orders!A277</f>
        <v>ORD-00276</v>
      </c>
      <c r="B277" s="46" t="str">
        <f aca="false">PROPER(TRIM(Orders!K277))</f>
        <v>Hyderabad</v>
      </c>
      <c r="C277" s="46" t="str">
        <f aca="false">IFERROR(VLOOKUP(Orders!D277,Products!$A$2:$F$61,3,FALSE()),"Not Found")</f>
        <v>Electronics</v>
      </c>
      <c r="D277" s="46" t="str">
        <f aca="false">IFERROR(VLOOKUP(Orders!C277,Customers!$A$2:$F$301,5,FALSE()),"Not Found")</f>
        <v>Retail</v>
      </c>
      <c r="E277" s="46" t="n">
        <f aca="false">IFERROR(VLOOKUP(Orders!C277,Customers!$A$2:$F$301,3,FALSE()),"Not Found")</f>
        <v>46</v>
      </c>
      <c r="F277" s="46" t="str">
        <f aca="false">IFERROR(VLOOKUP(Orders!E277,Sales_Reps!$A$2:$E$31,3,FALSE()),"Not Found")</f>
        <v>North</v>
      </c>
      <c r="G277" s="46" t="n">
        <f aca="false">IFERROR(VLOOKUP(Orders!D277,Products!$A$2:$F$61,4,FALSE()),"")</f>
        <v>1665</v>
      </c>
      <c r="H277" s="47" t="n">
        <f aca="false">IF(G277="","",(Orders!G277-G277)/Orders!G277)</f>
        <v>0.533613445378151</v>
      </c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</row>
    <row r="278" customFormat="false" ht="15" hidden="false" customHeight="false" outlineLevel="0" collapsed="false">
      <c r="A278" s="46" t="str">
        <f aca="false">Orders!A278</f>
        <v>ORD-00277</v>
      </c>
      <c r="B278" s="46" t="str">
        <f aca="false">PROPER(TRIM(Orders!K278))</f>
        <v>Mumbai</v>
      </c>
      <c r="C278" s="46" t="str">
        <f aca="false">IFERROR(VLOOKUP(Orders!D278,Products!$A$2:$F$61,3,FALSE()),"Not Found")</f>
        <v>Apparel</v>
      </c>
      <c r="D278" s="46" t="str">
        <f aca="false">IFERROR(VLOOKUP(Orders!C278,Customers!$A$2:$F$301,5,FALSE()),"Not Found")</f>
        <v>SMB</v>
      </c>
      <c r="E278" s="46" t="n">
        <f aca="false">IFERROR(VLOOKUP(Orders!C278,Customers!$A$2:$F$301,3,FALSE()),"Not Found")</f>
        <v>27</v>
      </c>
      <c r="F278" s="46" t="str">
        <f aca="false">IFERROR(VLOOKUP(Orders!E278,Sales_Reps!$A$2:$E$31,3,FALSE()),"Not Found")</f>
        <v>East</v>
      </c>
      <c r="G278" s="46" t="n">
        <f aca="false">IFERROR(VLOOKUP(Orders!D278,Products!$A$2:$F$61,4,FALSE()),"")</f>
        <v>396</v>
      </c>
      <c r="H278" s="47" t="n">
        <f aca="false">IF(G278="","",(Orders!G278-G278)/Orders!G278)</f>
        <v>0.361290322580645</v>
      </c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</row>
    <row r="279" customFormat="false" ht="15" hidden="false" customHeight="false" outlineLevel="0" collapsed="false">
      <c r="A279" s="46" t="str">
        <f aca="false">Orders!A279</f>
        <v>ORD-00278</v>
      </c>
      <c r="B279" s="46" t="str">
        <f aca="false">PROPER(TRIM(Orders!K279))</f>
        <v>Bengaluru</v>
      </c>
      <c r="C279" s="46" t="str">
        <f aca="false">IFERROR(VLOOKUP(Orders!D279,Products!$A$2:$F$61,3,FALSE()),"Not Found")</f>
        <v>Apparel</v>
      </c>
      <c r="D279" s="46" t="str">
        <f aca="false">IFERROR(VLOOKUP(Orders!C279,Customers!$A$2:$F$301,5,FALSE()),"Not Found")</f>
        <v>Retail</v>
      </c>
      <c r="E279" s="46" t="n">
        <f aca="false">IFERROR(VLOOKUP(Orders!C279,Customers!$A$2:$F$301,3,FALSE()),"Not Found")</f>
        <v>59</v>
      </c>
      <c r="F279" s="46" t="str">
        <f aca="false">IFERROR(VLOOKUP(Orders!E279,Sales_Reps!$A$2:$E$31,3,FALSE()),"Not Found")</f>
        <v>South</v>
      </c>
      <c r="G279" s="46" t="n">
        <f aca="false">IFERROR(VLOOKUP(Orders!D279,Products!$A$2:$F$61,4,FALSE()),"")</f>
        <v>1748</v>
      </c>
      <c r="H279" s="47" t="n">
        <f aca="false">IF(G279="","",(Orders!G279-G279)/Orders!G279)</f>
        <v>0.493333333333333</v>
      </c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</row>
    <row r="280" customFormat="false" ht="15" hidden="false" customHeight="false" outlineLevel="0" collapsed="false">
      <c r="A280" s="46" t="str">
        <f aca="false">Orders!A280</f>
        <v>ORD-00279</v>
      </c>
      <c r="B280" s="46" t="str">
        <f aca="false">PROPER(TRIM(Orders!K280))</f>
        <v>Delhi</v>
      </c>
      <c r="C280" s="46" t="str">
        <f aca="false">IFERROR(VLOOKUP(Orders!D280,Products!$A$2:$F$61,3,FALSE()),"Not Found")</f>
        <v>Beauty</v>
      </c>
      <c r="D280" s="46" t="str">
        <f aca="false">IFERROR(VLOOKUP(Orders!C280,Customers!$A$2:$F$301,5,FALSE()),"Not Found")</f>
        <v>SMB</v>
      </c>
      <c r="E280" s="46" t="n">
        <f aca="false">IFERROR(VLOOKUP(Orders!C280,Customers!$A$2:$F$301,3,FALSE()),"Not Found")</f>
        <v>55</v>
      </c>
      <c r="F280" s="46" t="str">
        <f aca="false">IFERROR(VLOOKUP(Orders!E280,Sales_Reps!$A$2:$E$31,3,FALSE()),"Not Found")</f>
        <v>North</v>
      </c>
      <c r="G280" s="46" t="n">
        <f aca="false">IFERROR(VLOOKUP(Orders!D280,Products!$A$2:$F$61,4,FALSE()),"")</f>
        <v>2237</v>
      </c>
      <c r="H280" s="47" t="n">
        <f aca="false">IF(G280="","",(Orders!G280-G280)/Orders!G280)</f>
        <v>0.561372549019608</v>
      </c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</row>
    <row r="281" customFormat="false" ht="15" hidden="false" customHeight="false" outlineLevel="0" collapsed="false">
      <c r="A281" s="46" t="str">
        <f aca="false">Orders!A281</f>
        <v>ORD-00280</v>
      </c>
      <c r="B281" s="46" t="str">
        <f aca="false">PROPER(TRIM(Orders!K281))</f>
        <v>Bengaluru</v>
      </c>
      <c r="C281" s="46" t="str">
        <f aca="false">IFERROR(VLOOKUP(Orders!D281,Products!$A$2:$F$61,3,FALSE()),"Not Found")</f>
        <v>Electronics</v>
      </c>
      <c r="D281" s="46" t="str">
        <f aca="false">IFERROR(VLOOKUP(Orders!C281,Customers!$A$2:$F$301,5,FALSE()),"Not Found")</f>
        <v>Retail</v>
      </c>
      <c r="E281" s="46" t="n">
        <f aca="false">IFERROR(VLOOKUP(Orders!C281,Customers!$A$2:$F$301,3,FALSE()),"Not Found")</f>
        <v>55</v>
      </c>
      <c r="F281" s="46" t="str">
        <f aca="false">IFERROR(VLOOKUP(Orders!E281,Sales_Reps!$A$2:$E$31,3,FALSE()),"Not Found")</f>
        <v>North</v>
      </c>
      <c r="G281" s="46" t="n">
        <f aca="false">IFERROR(VLOOKUP(Orders!D281,Products!$A$2:$F$61,4,FALSE()),"")</f>
        <v>1559</v>
      </c>
      <c r="H281" s="47" t="n">
        <f aca="false">IF(G281="","",(Orders!G281-G281)/Orders!G281)</f>
        <v>0.597157622739018</v>
      </c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</row>
    <row r="282" customFormat="false" ht="15" hidden="false" customHeight="false" outlineLevel="0" collapsed="false">
      <c r="A282" s="46" t="str">
        <f aca="false">Orders!A282</f>
        <v>ORD-00281</v>
      </c>
      <c r="B282" s="46" t="str">
        <f aca="false">PROPER(TRIM(Orders!K282))</f>
        <v>Pune</v>
      </c>
      <c r="C282" s="46" t="str">
        <f aca="false">IFERROR(VLOOKUP(Orders!D282,Products!$A$2:$F$61,3,FALSE()),"Not Found")</f>
        <v>Electronics</v>
      </c>
      <c r="D282" s="46" t="str">
        <f aca="false">IFERROR(VLOOKUP(Orders!C282,Customers!$A$2:$F$301,5,FALSE()),"Not Found")</f>
        <v>Corporate</v>
      </c>
      <c r="E282" s="46" t="n">
        <f aca="false">IFERROR(VLOOKUP(Orders!C282,Customers!$A$2:$F$301,3,FALSE()),"Not Found")</f>
        <v>40</v>
      </c>
      <c r="F282" s="46" t="str">
        <f aca="false">IFERROR(VLOOKUP(Orders!E282,Sales_Reps!$A$2:$E$31,3,FALSE()),"Not Found")</f>
        <v>West</v>
      </c>
      <c r="G282" s="46" t="n">
        <f aca="false">IFERROR(VLOOKUP(Orders!D282,Products!$A$2:$F$61,4,FALSE()),"")</f>
        <v>517</v>
      </c>
      <c r="H282" s="47" t="n">
        <f aca="false">IF(G282="","",(Orders!G282-G282)/Orders!G282)</f>
        <v>0.576229508196721</v>
      </c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</row>
    <row r="283" customFormat="false" ht="15" hidden="false" customHeight="false" outlineLevel="0" collapsed="false">
      <c r="A283" s="46" t="str">
        <f aca="false">Orders!A283</f>
        <v>ORD-00282</v>
      </c>
      <c r="B283" s="46" t="str">
        <f aca="false">PROPER(TRIM(Orders!K283))</f>
        <v>Hyderabad</v>
      </c>
      <c r="C283" s="46" t="str">
        <f aca="false">IFERROR(VLOOKUP(Orders!D283,Products!$A$2:$F$61,3,FALSE()),"Not Found")</f>
        <v>Home</v>
      </c>
      <c r="D283" s="46" t="str">
        <f aca="false">IFERROR(VLOOKUP(Orders!C283,Customers!$A$2:$F$301,5,FALSE()),"Not Found")</f>
        <v>Retail</v>
      </c>
      <c r="E283" s="46" t="n">
        <f aca="false">IFERROR(VLOOKUP(Orders!C283,Customers!$A$2:$F$301,3,FALSE()),"Not Found")</f>
        <v>32</v>
      </c>
      <c r="F283" s="46" t="str">
        <f aca="false">IFERROR(VLOOKUP(Orders!E283,Sales_Reps!$A$2:$E$31,3,FALSE()),"Not Found")</f>
        <v>East</v>
      </c>
      <c r="G283" s="46" t="n">
        <f aca="false">IFERROR(VLOOKUP(Orders!D283,Products!$A$2:$F$61,4,FALSE()),"")</f>
        <v>2549</v>
      </c>
      <c r="H283" s="47" t="n">
        <f aca="false">IF(G283="","",(Orders!G283-G283)/Orders!G283)</f>
        <v>0.535701275045537</v>
      </c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</row>
    <row r="284" customFormat="false" ht="15" hidden="false" customHeight="false" outlineLevel="0" collapsed="false">
      <c r="A284" s="46" t="str">
        <f aca="false">Orders!A284</f>
        <v>ORD-00283</v>
      </c>
      <c r="B284" s="46" t="str">
        <f aca="false">PROPER(TRIM(Orders!K284))</f>
        <v>Bengaluru</v>
      </c>
      <c r="C284" s="46" t="str">
        <f aca="false">IFERROR(VLOOKUP(Orders!D284,Products!$A$2:$F$61,3,FALSE()),"Not Found")</f>
        <v>Beauty</v>
      </c>
      <c r="D284" s="46" t="str">
        <f aca="false">IFERROR(VLOOKUP(Orders!C284,Customers!$A$2:$F$301,5,FALSE()),"Not Found")</f>
        <v>Retail</v>
      </c>
      <c r="E284" s="46" t="n">
        <f aca="false">IFERROR(VLOOKUP(Orders!C284,Customers!$A$2:$F$301,3,FALSE()),"Not Found")</f>
        <v>23</v>
      </c>
      <c r="F284" s="46" t="str">
        <f aca="false">IFERROR(VLOOKUP(Orders!E284,Sales_Reps!$A$2:$E$31,3,FALSE()),"Not Found")</f>
        <v>North</v>
      </c>
      <c r="G284" s="46" t="n">
        <f aca="false">IFERROR(VLOOKUP(Orders!D284,Products!$A$2:$F$61,4,FALSE()),"")</f>
        <v>1222</v>
      </c>
      <c r="H284" s="47" t="n">
        <f aca="false">IF(G284="","",(Orders!G284-G284)/Orders!G284)</f>
        <v>0.259393939393939</v>
      </c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</row>
    <row r="285" customFormat="false" ht="15" hidden="false" customHeight="false" outlineLevel="0" collapsed="false">
      <c r="A285" s="46" t="str">
        <f aca="false">Orders!A285</f>
        <v>ORD-00284</v>
      </c>
      <c r="B285" s="46" t="str">
        <f aca="false">PROPER(TRIM(Orders!K285))</f>
        <v>Hyderabad</v>
      </c>
      <c r="C285" s="46" t="str">
        <f aca="false">IFERROR(VLOOKUP(Orders!D285,Products!$A$2:$F$61,3,FALSE()),"Not Found")</f>
        <v>Electronics</v>
      </c>
      <c r="D285" s="46" t="str">
        <f aca="false">IFERROR(VLOOKUP(Orders!C285,Customers!$A$2:$F$301,5,FALSE()),"Not Found")</f>
        <v>Retail</v>
      </c>
      <c r="E285" s="46" t="n">
        <f aca="false">IFERROR(VLOOKUP(Orders!C285,Customers!$A$2:$F$301,3,FALSE()),"Not Found")</f>
        <v>50</v>
      </c>
      <c r="F285" s="46" t="str">
        <f aca="false">IFERROR(VLOOKUP(Orders!E285,Sales_Reps!$A$2:$E$31,3,FALSE()),"Not Found")</f>
        <v>North</v>
      </c>
      <c r="G285" s="46" t="n">
        <f aca="false">IFERROR(VLOOKUP(Orders!D285,Products!$A$2:$F$61,4,FALSE()),"")</f>
        <v>1259</v>
      </c>
      <c r="H285" s="47" t="n">
        <f aca="false">IF(G285="","",(Orders!G285-G285)/Orders!G285)</f>
        <v>0.526691729323308</v>
      </c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</row>
    <row r="286" customFormat="false" ht="15" hidden="false" customHeight="false" outlineLevel="0" collapsed="false">
      <c r="A286" s="46" t="str">
        <f aca="false">Orders!A286</f>
        <v>ORD-00285</v>
      </c>
      <c r="B286" s="46" t="str">
        <f aca="false">PROPER(TRIM(Orders!K286))</f>
        <v>Bengaluru</v>
      </c>
      <c r="C286" s="46" t="str">
        <f aca="false">IFERROR(VLOOKUP(Orders!D286,Products!$A$2:$F$61,3,FALSE()),"Not Found")</f>
        <v>Grocery</v>
      </c>
      <c r="D286" s="46" t="str">
        <f aca="false">IFERROR(VLOOKUP(Orders!C286,Customers!$A$2:$F$301,5,FALSE()),"Not Found")</f>
        <v>Corporate</v>
      </c>
      <c r="E286" s="46" t="n">
        <f aca="false">IFERROR(VLOOKUP(Orders!C286,Customers!$A$2:$F$301,3,FALSE()),"Not Found")</f>
        <v>59</v>
      </c>
      <c r="F286" s="46" t="str">
        <f aca="false">IFERROR(VLOOKUP(Orders!E286,Sales_Reps!$A$2:$E$31,3,FALSE()),"Not Found")</f>
        <v>North</v>
      </c>
      <c r="G286" s="46" t="n">
        <f aca="false">IFERROR(VLOOKUP(Orders!D286,Products!$A$2:$F$61,4,FALSE()),"")</f>
        <v>1010</v>
      </c>
      <c r="H286" s="47" t="n">
        <f aca="false">IF(G286="","",(Orders!G286-G286)/Orders!G286)</f>
        <v>0.542986425339367</v>
      </c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</row>
    <row r="287" customFormat="false" ht="15" hidden="false" customHeight="false" outlineLevel="0" collapsed="false">
      <c r="A287" s="46" t="str">
        <f aca="false">Orders!A287</f>
        <v>ORD-00286</v>
      </c>
      <c r="B287" s="46" t="str">
        <f aca="false">PROPER(TRIM(Orders!K287))</f>
        <v>Delhi</v>
      </c>
      <c r="C287" s="46" t="str">
        <f aca="false">IFERROR(VLOOKUP(Orders!D287,Products!$A$2:$F$61,3,FALSE()),"Not Found")</f>
        <v>Electronics</v>
      </c>
      <c r="D287" s="46" t="str">
        <f aca="false">IFERROR(VLOOKUP(Orders!C287,Customers!$A$2:$F$301,5,FALSE()),"Not Found")</f>
        <v>SMB</v>
      </c>
      <c r="E287" s="46" t="n">
        <f aca="false">IFERROR(VLOOKUP(Orders!C287,Customers!$A$2:$F$301,3,FALSE()),"Not Found")</f>
        <v>55</v>
      </c>
      <c r="F287" s="46" t="str">
        <f aca="false">IFERROR(VLOOKUP(Orders!E287,Sales_Reps!$A$2:$E$31,3,FALSE()),"Not Found")</f>
        <v>North</v>
      </c>
      <c r="G287" s="46" t="n">
        <f aca="false">IFERROR(VLOOKUP(Orders!D287,Products!$A$2:$F$61,4,FALSE()),"")</f>
        <v>1052</v>
      </c>
      <c r="H287" s="47" t="n">
        <f aca="false">IF(G287="","",(Orders!G287-G287)/Orders!G287)</f>
        <v>0.595384615384615</v>
      </c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</row>
    <row r="288" customFormat="false" ht="15" hidden="false" customHeight="false" outlineLevel="0" collapsed="false">
      <c r="A288" s="46" t="str">
        <f aca="false">Orders!A288</f>
        <v>ORD-00287</v>
      </c>
      <c r="B288" s="46" t="str">
        <f aca="false">PROPER(TRIM(Orders!K288))</f>
        <v>Hyderabad</v>
      </c>
      <c r="C288" s="46" t="str">
        <f aca="false">IFERROR(VLOOKUP(Orders!D288,Products!$A$2:$F$61,3,FALSE()),"Not Found")</f>
        <v>Beauty</v>
      </c>
      <c r="D288" s="46" t="str">
        <f aca="false">IFERROR(VLOOKUP(Orders!C288,Customers!$A$2:$F$301,5,FALSE()),"Not Found")</f>
        <v>Retail</v>
      </c>
      <c r="E288" s="46" t="n">
        <f aca="false">IFERROR(VLOOKUP(Orders!C288,Customers!$A$2:$F$301,3,FALSE()),"Not Found")</f>
        <v>27</v>
      </c>
      <c r="F288" s="46" t="str">
        <f aca="false">IFERROR(VLOOKUP(Orders!E288,Sales_Reps!$A$2:$E$31,3,FALSE()),"Not Found")</f>
        <v>West</v>
      </c>
      <c r="G288" s="46" t="n">
        <f aca="false">IFERROR(VLOOKUP(Orders!D288,Products!$A$2:$F$61,4,FALSE()),"")</f>
        <v>1626</v>
      </c>
      <c r="H288" s="47" t="n">
        <f aca="false">IF(G288="","",(Orders!G288-G288)/Orders!G288)</f>
        <v>0.46158940397351</v>
      </c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</row>
    <row r="289" customFormat="false" ht="15" hidden="false" customHeight="false" outlineLevel="0" collapsed="false">
      <c r="A289" s="46" t="str">
        <f aca="false">Orders!A289</f>
        <v>ORD-00288</v>
      </c>
      <c r="B289" s="46" t="str">
        <f aca="false">PROPER(TRIM(Orders!K289))</f>
        <v>Pune</v>
      </c>
      <c r="C289" s="46" t="str">
        <f aca="false">IFERROR(VLOOKUP(Orders!D289,Products!$A$2:$F$61,3,FALSE()),"Not Found")</f>
        <v>Home</v>
      </c>
      <c r="D289" s="46" t="str">
        <f aca="false">IFERROR(VLOOKUP(Orders!C289,Customers!$A$2:$F$301,5,FALSE()),"Not Found")</f>
        <v>Corporate</v>
      </c>
      <c r="E289" s="46" t="n">
        <f aca="false">IFERROR(VLOOKUP(Orders!C289,Customers!$A$2:$F$301,3,FALSE()),"Not Found")</f>
        <v>33</v>
      </c>
      <c r="F289" s="46" t="str">
        <f aca="false">IFERROR(VLOOKUP(Orders!E289,Sales_Reps!$A$2:$E$31,3,FALSE()),"Not Found")</f>
        <v>North</v>
      </c>
      <c r="G289" s="46" t="n">
        <f aca="false">IFERROR(VLOOKUP(Orders!D289,Products!$A$2:$F$61,4,FALSE()),"")</f>
        <v>288</v>
      </c>
      <c r="H289" s="47" t="n">
        <f aca="false">IF(G289="","",(Orders!G289-G289)/Orders!G289)</f>
        <v>0.221621621621622</v>
      </c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</row>
    <row r="290" customFormat="false" ht="15" hidden="false" customHeight="false" outlineLevel="0" collapsed="false">
      <c r="A290" s="46" t="str">
        <f aca="false">Orders!A290</f>
        <v>ORD-00289</v>
      </c>
      <c r="B290" s="46" t="str">
        <f aca="false">PROPER(TRIM(Orders!K290))</f>
        <v>Mumbai</v>
      </c>
      <c r="C290" s="46" t="str">
        <f aca="false">IFERROR(VLOOKUP(Orders!D290,Products!$A$2:$F$61,3,FALSE()),"Not Found")</f>
        <v>Electronics</v>
      </c>
      <c r="D290" s="46" t="str">
        <f aca="false">IFERROR(VLOOKUP(Orders!C290,Customers!$A$2:$F$301,5,FALSE()),"Not Found")</f>
        <v>Retail</v>
      </c>
      <c r="E290" s="46" t="n">
        <f aca="false">IFERROR(VLOOKUP(Orders!C290,Customers!$A$2:$F$301,3,FALSE()),"Not Found")</f>
        <v>53</v>
      </c>
      <c r="F290" s="46" t="str">
        <f aca="false">IFERROR(VLOOKUP(Orders!E290,Sales_Reps!$A$2:$E$31,3,FALSE()),"Not Found")</f>
        <v>North</v>
      </c>
      <c r="G290" s="46" t="n">
        <f aca="false">IFERROR(VLOOKUP(Orders!D290,Products!$A$2:$F$61,4,FALSE()),"")</f>
        <v>2405</v>
      </c>
      <c r="H290" s="47" t="n">
        <f aca="false">IF(G290="","",(Orders!G290-G290)/Orders!G290)</f>
        <v>0.548780487804878</v>
      </c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</row>
    <row r="291" customFormat="false" ht="15" hidden="false" customHeight="false" outlineLevel="0" collapsed="false">
      <c r="A291" s="46" t="str">
        <f aca="false">Orders!A291</f>
        <v>ORD-00290</v>
      </c>
      <c r="B291" s="46" t="str">
        <f aca="false">PROPER(TRIM(Orders!K291))</f>
        <v>Chennai</v>
      </c>
      <c r="C291" s="46" t="str">
        <f aca="false">IFERROR(VLOOKUP(Orders!D291,Products!$A$2:$F$61,3,FALSE()),"Not Found")</f>
        <v>Apparel</v>
      </c>
      <c r="D291" s="46" t="str">
        <f aca="false">IFERROR(VLOOKUP(Orders!C291,Customers!$A$2:$F$301,5,FALSE()),"Not Found")</f>
        <v>Retail</v>
      </c>
      <c r="E291" s="46" t="n">
        <f aca="false">IFERROR(VLOOKUP(Orders!C291,Customers!$A$2:$F$301,3,FALSE()),"Not Found")</f>
        <v>37</v>
      </c>
      <c r="F291" s="46" t="str">
        <f aca="false">IFERROR(VLOOKUP(Orders!E291,Sales_Reps!$A$2:$E$31,3,FALSE()),"Not Found")</f>
        <v>West</v>
      </c>
      <c r="G291" s="46" t="n">
        <f aca="false">IFERROR(VLOOKUP(Orders!D291,Products!$A$2:$F$61,4,FALSE()),"")</f>
        <v>2629</v>
      </c>
      <c r="H291" s="47" t="n">
        <f aca="false">IF(G291="","",(Orders!G291-G291)/Orders!G291)</f>
        <v>0.261516853932584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</row>
    <row r="292" customFormat="false" ht="15" hidden="false" customHeight="false" outlineLevel="0" collapsed="false">
      <c r="A292" s="46" t="str">
        <f aca="false">Orders!A292</f>
        <v>ORD-00291</v>
      </c>
      <c r="B292" s="46" t="str">
        <f aca="false">PROPER(TRIM(Orders!K292))</f>
        <v>Bengaluru</v>
      </c>
      <c r="C292" s="46" t="str">
        <f aca="false">IFERROR(VLOOKUP(Orders!D292,Products!$A$2:$F$61,3,FALSE()),"Not Found")</f>
        <v>Sports</v>
      </c>
      <c r="D292" s="46" t="str">
        <f aca="false">IFERROR(VLOOKUP(Orders!C292,Customers!$A$2:$F$301,5,FALSE()),"Not Found")</f>
        <v>Retail</v>
      </c>
      <c r="E292" s="46" t="n">
        <f aca="false">IFERROR(VLOOKUP(Orders!C292,Customers!$A$2:$F$301,3,FALSE()),"Not Found")</f>
        <v>34</v>
      </c>
      <c r="F292" s="46" t="str">
        <f aca="false">IFERROR(VLOOKUP(Orders!E292,Sales_Reps!$A$2:$E$31,3,FALSE()),"Not Found")</f>
        <v>West</v>
      </c>
      <c r="G292" s="46" t="n">
        <f aca="false">IFERROR(VLOOKUP(Orders!D292,Products!$A$2:$F$61,4,FALSE()),"")</f>
        <v>516</v>
      </c>
      <c r="H292" s="47" t="n">
        <f aca="false">IF(G292="","",(Orders!G292-G292)/Orders!G292)</f>
        <v>0.489108910891089</v>
      </c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</row>
    <row r="293" customFormat="false" ht="15" hidden="false" customHeight="false" outlineLevel="0" collapsed="false">
      <c r="A293" s="46" t="str">
        <f aca="false">Orders!A293</f>
        <v>ORD-00292</v>
      </c>
      <c r="B293" s="46" t="str">
        <f aca="false">PROPER(TRIM(Orders!K293))</f>
        <v>Chennai</v>
      </c>
      <c r="C293" s="46" t="str">
        <f aca="false">IFERROR(VLOOKUP(Orders!D293,Products!$A$2:$F$61,3,FALSE()),"Not Found")</f>
        <v>Sports</v>
      </c>
      <c r="D293" s="46" t="str">
        <f aca="false">IFERROR(VLOOKUP(Orders!C293,Customers!$A$2:$F$301,5,FALSE()),"Not Found")</f>
        <v>Corporate</v>
      </c>
      <c r="E293" s="46" t="n">
        <f aca="false">IFERROR(VLOOKUP(Orders!C293,Customers!$A$2:$F$301,3,FALSE()),"Not Found")</f>
        <v>41</v>
      </c>
      <c r="F293" s="46" t="str">
        <f aca="false">IFERROR(VLOOKUP(Orders!E293,Sales_Reps!$A$2:$E$31,3,FALSE()),"Not Found")</f>
        <v>North</v>
      </c>
      <c r="G293" s="46" t="n">
        <f aca="false">IFERROR(VLOOKUP(Orders!D293,Products!$A$2:$F$61,4,FALSE()),"")</f>
        <v>2827</v>
      </c>
      <c r="H293" s="47" t="n">
        <f aca="false">IF(G293="","",(Orders!G293-G293)/Orders!G293)</f>
        <v>0.592651296829971</v>
      </c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</row>
    <row r="294" customFormat="false" ht="15" hidden="false" customHeight="false" outlineLevel="0" collapsed="false">
      <c r="A294" s="46" t="str">
        <f aca="false">Orders!A294</f>
        <v>ORD-00335</v>
      </c>
      <c r="B294" s="46" t="str">
        <f aca="false">PROPER(TRIM(Orders!K294))</f>
        <v>Hyderabad</v>
      </c>
      <c r="C294" s="46" t="str">
        <f aca="false">IFERROR(VLOOKUP(Orders!D294,Products!$A$2:$F$61,3,FALSE()),"Not Found")</f>
        <v>Apparel</v>
      </c>
      <c r="D294" s="46" t="str">
        <f aca="false">IFERROR(VLOOKUP(Orders!C294,Customers!$A$2:$F$301,5,FALSE()),"Not Found")</f>
        <v>Retail</v>
      </c>
      <c r="E294" s="46" t="n">
        <f aca="false">IFERROR(VLOOKUP(Orders!C294,Customers!$A$2:$F$301,3,FALSE()),"Not Found")</f>
        <v>46</v>
      </c>
      <c r="F294" s="46" t="str">
        <f aca="false">IFERROR(VLOOKUP(Orders!E294,Sales_Reps!$A$2:$E$31,3,FALSE()),"Not Found")</f>
        <v>South</v>
      </c>
      <c r="G294" s="46" t="n">
        <f aca="false">IFERROR(VLOOKUP(Orders!D294,Products!$A$2:$F$61,4,FALSE()),"")</f>
        <v>1886</v>
      </c>
      <c r="H294" s="47" t="n">
        <f aca="false">IF(G294="","",(Orders!G294-G294)/Orders!G294)</f>
        <v>0.403164556962025</v>
      </c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</row>
    <row r="295" customFormat="false" ht="15" hidden="false" customHeight="false" outlineLevel="0" collapsed="false">
      <c r="A295" s="46" t="str">
        <f aca="false">Orders!A295</f>
        <v>ORD-00294</v>
      </c>
      <c r="B295" s="46" t="str">
        <f aca="false">PROPER(TRIM(Orders!K295))</f>
        <v>Pune</v>
      </c>
      <c r="C295" s="46" t="str">
        <f aca="false">IFERROR(VLOOKUP(Orders!D295,Products!$A$2:$F$61,3,FALSE()),"Not Found")</f>
        <v>Grocery</v>
      </c>
      <c r="D295" s="46" t="str">
        <f aca="false">IFERROR(VLOOKUP(Orders!C295,Customers!$A$2:$F$301,5,FALSE()),"Not Found")</f>
        <v>Retail</v>
      </c>
      <c r="E295" s="46" t="n">
        <f aca="false">IFERROR(VLOOKUP(Orders!C295,Customers!$A$2:$F$301,3,FALSE()),"Not Found")</f>
        <v>49</v>
      </c>
      <c r="F295" s="46" t="str">
        <f aca="false">IFERROR(VLOOKUP(Orders!E295,Sales_Reps!$A$2:$E$31,3,FALSE()),"Not Found")</f>
        <v>North</v>
      </c>
      <c r="G295" s="46" t="n">
        <f aca="false">IFERROR(VLOOKUP(Orders!D295,Products!$A$2:$F$61,4,FALSE()),"")</f>
        <v>2214</v>
      </c>
      <c r="H295" s="47" t="n">
        <f aca="false">IF(G295="","",(Orders!G295-G295)/Orders!G295)</f>
        <v>0.395081967213115</v>
      </c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</row>
    <row r="296" customFormat="false" ht="15" hidden="false" customHeight="false" outlineLevel="0" collapsed="false">
      <c r="A296" s="46" t="str">
        <f aca="false">Orders!A296</f>
        <v>ORD-00295</v>
      </c>
      <c r="B296" s="46" t="str">
        <f aca="false">PROPER(TRIM(Orders!K296))</f>
        <v>Mumbai</v>
      </c>
      <c r="C296" s="46" t="str">
        <f aca="false">IFERROR(VLOOKUP(Orders!D296,Products!$A$2:$F$61,3,FALSE()),"Not Found")</f>
        <v>Grocery</v>
      </c>
      <c r="D296" s="46" t="str">
        <f aca="false">IFERROR(VLOOKUP(Orders!C296,Customers!$A$2:$F$301,5,FALSE()),"Not Found")</f>
        <v>Retail</v>
      </c>
      <c r="E296" s="46" t="n">
        <f aca="false">IFERROR(VLOOKUP(Orders!C296,Customers!$A$2:$F$301,3,FALSE()),"Not Found")</f>
        <v>25</v>
      </c>
      <c r="F296" s="46" t="str">
        <f aca="false">IFERROR(VLOOKUP(Orders!E296,Sales_Reps!$A$2:$E$31,3,FALSE()),"Not Found")</f>
        <v>North</v>
      </c>
      <c r="G296" s="46" t="n">
        <f aca="false">IFERROR(VLOOKUP(Orders!D296,Products!$A$2:$F$61,4,FALSE()),"")</f>
        <v>1203</v>
      </c>
      <c r="H296" s="47" t="n">
        <f aca="false">IF(G296="","",(Orders!G296-G296)/Orders!G296)</f>
        <v>0.470044052863436</v>
      </c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</row>
    <row r="297" customFormat="false" ht="15" hidden="false" customHeight="false" outlineLevel="0" collapsed="false">
      <c r="A297" s="46" t="str">
        <f aca="false">Orders!A297</f>
        <v>ORD-00296</v>
      </c>
      <c r="B297" s="46" t="str">
        <f aca="false">PROPER(TRIM(Orders!K297))</f>
        <v>Delhi</v>
      </c>
      <c r="C297" s="46" t="str">
        <f aca="false">IFERROR(VLOOKUP(Orders!D297,Products!$A$2:$F$61,3,FALSE()),"Not Found")</f>
        <v>Sports</v>
      </c>
      <c r="D297" s="46" t="str">
        <f aca="false">IFERROR(VLOOKUP(Orders!C297,Customers!$A$2:$F$301,5,FALSE()),"Not Found")</f>
        <v>Retail</v>
      </c>
      <c r="E297" s="46" t="n">
        <f aca="false">IFERROR(VLOOKUP(Orders!C297,Customers!$A$2:$F$301,3,FALSE()),"Not Found")</f>
        <v>53</v>
      </c>
      <c r="F297" s="46" t="str">
        <f aca="false">IFERROR(VLOOKUP(Orders!E297,Sales_Reps!$A$2:$E$31,3,FALSE()),"Not Found")</f>
        <v>West</v>
      </c>
      <c r="G297" s="46" t="n">
        <f aca="false">IFERROR(VLOOKUP(Orders!D297,Products!$A$2:$F$61,4,FALSE()),"")</f>
        <v>1860</v>
      </c>
      <c r="H297" s="47" t="n">
        <f aca="false">IF(G297="","",(Orders!G297-G297)/Orders!G297)</f>
        <v>0.507936507936508</v>
      </c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</row>
    <row r="298" customFormat="false" ht="15" hidden="false" customHeight="false" outlineLevel="0" collapsed="false">
      <c r="A298" s="46" t="str">
        <f aca="false">Orders!A298</f>
        <v>ORD-01770</v>
      </c>
      <c r="B298" s="46" t="str">
        <f aca="false">PROPER(TRIM(Orders!K298))</f>
        <v>Mumbai</v>
      </c>
      <c r="C298" s="46" t="str">
        <f aca="false">IFERROR(VLOOKUP(Orders!D298,Products!$A$2:$F$61,3,FALSE()),"Not Found")</f>
        <v>Apparel</v>
      </c>
      <c r="D298" s="46" t="str">
        <f aca="false">IFERROR(VLOOKUP(Orders!C298,Customers!$A$2:$F$301,5,FALSE()),"Not Found")</f>
        <v>SMB</v>
      </c>
      <c r="E298" s="46" t="n">
        <f aca="false">IFERROR(VLOOKUP(Orders!C298,Customers!$A$2:$F$301,3,FALSE()),"Not Found")</f>
        <v>65</v>
      </c>
      <c r="F298" s="46" t="str">
        <f aca="false">IFERROR(VLOOKUP(Orders!E298,Sales_Reps!$A$2:$E$31,3,FALSE()),"Not Found")</f>
        <v>South</v>
      </c>
      <c r="G298" s="46" t="n">
        <f aca="false">IFERROR(VLOOKUP(Orders!D298,Products!$A$2:$F$61,4,FALSE()),"")</f>
        <v>2611</v>
      </c>
      <c r="H298" s="47" t="n">
        <f aca="false">IF(G298="","",(Orders!G298-G298)/Orders!G298)</f>
        <v>0.282692307692308</v>
      </c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</row>
    <row r="299" customFormat="false" ht="15" hidden="false" customHeight="false" outlineLevel="0" collapsed="false">
      <c r="A299" s="46" t="str">
        <f aca="false">Orders!A299</f>
        <v>ORD-00298</v>
      </c>
      <c r="B299" s="46" t="str">
        <f aca="false">PROPER(TRIM(Orders!K299))</f>
        <v>Hyderabad</v>
      </c>
      <c r="C299" s="46" t="str">
        <f aca="false">IFERROR(VLOOKUP(Orders!D299,Products!$A$2:$F$61,3,FALSE()),"Not Found")</f>
        <v>Electronics</v>
      </c>
      <c r="D299" s="46" t="str">
        <f aca="false">IFERROR(VLOOKUP(Orders!C299,Customers!$A$2:$F$301,5,FALSE()),"Not Found")</f>
        <v>Retail</v>
      </c>
      <c r="E299" s="46" t="n">
        <f aca="false">IFERROR(VLOOKUP(Orders!C299,Customers!$A$2:$F$301,3,FALSE()),"Not Found")</f>
        <v>31</v>
      </c>
      <c r="F299" s="46" t="str">
        <f aca="false">IFERROR(VLOOKUP(Orders!E299,Sales_Reps!$A$2:$E$31,3,FALSE()),"Not Found")</f>
        <v>South</v>
      </c>
      <c r="G299" s="46" t="n">
        <f aca="false">IFERROR(VLOOKUP(Orders!D299,Products!$A$2:$F$61,4,FALSE()),"")</f>
        <v>517</v>
      </c>
      <c r="H299" s="47" t="n">
        <f aca="false">IF(G299="","",(Orders!G299-G299)/Orders!G299)</f>
        <v>0.576229508196721</v>
      </c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</row>
    <row r="300" customFormat="false" ht="15" hidden="false" customHeight="false" outlineLevel="0" collapsed="false">
      <c r="A300" s="46" t="str">
        <f aca="false">Orders!A300</f>
        <v>ORD-00299</v>
      </c>
      <c r="B300" s="46" t="str">
        <f aca="false">PROPER(TRIM(Orders!K300))</f>
        <v>Mumbai</v>
      </c>
      <c r="C300" s="46" t="str">
        <f aca="false">IFERROR(VLOOKUP(Orders!D300,Products!$A$2:$F$61,3,FALSE()),"Not Found")</f>
        <v>Apparel</v>
      </c>
      <c r="D300" s="46" t="str">
        <f aca="false">IFERROR(VLOOKUP(Orders!C300,Customers!$A$2:$F$301,5,FALSE()),"Not Found")</f>
        <v>Retail</v>
      </c>
      <c r="E300" s="46" t="n">
        <f aca="false">IFERROR(VLOOKUP(Orders!C300,Customers!$A$2:$F$301,3,FALSE()),"Not Found")</f>
        <v>40</v>
      </c>
      <c r="F300" s="46" t="str">
        <f aca="false">IFERROR(VLOOKUP(Orders!E300,Sales_Reps!$A$2:$E$31,3,FALSE()),"Not Found")</f>
        <v>West</v>
      </c>
      <c r="G300" s="46" t="n">
        <f aca="false">IFERROR(VLOOKUP(Orders!D300,Products!$A$2:$F$61,4,FALSE()),"")</f>
        <v>1075</v>
      </c>
      <c r="H300" s="47" t="n">
        <f aca="false">IF(G300="","",(Orders!G300-G300)/Orders!G300)</f>
        <v>0.571713147410359</v>
      </c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</row>
    <row r="301" customFormat="false" ht="15" hidden="false" customHeight="false" outlineLevel="0" collapsed="false">
      <c r="A301" s="46" t="str">
        <f aca="false">Orders!A301</f>
        <v>ORD-00300</v>
      </c>
      <c r="B301" s="46" t="str">
        <f aca="false">PROPER(TRIM(Orders!K301))</f>
        <v>Mumbai</v>
      </c>
      <c r="C301" s="46" t="str">
        <f aca="false">IFERROR(VLOOKUP(Orders!D301,Products!$A$2:$F$61,3,FALSE()),"Not Found")</f>
        <v>Home</v>
      </c>
      <c r="D301" s="46" t="str">
        <f aca="false">IFERROR(VLOOKUP(Orders!C301,Customers!$A$2:$F$301,5,FALSE()),"Not Found")</f>
        <v>SMB</v>
      </c>
      <c r="E301" s="46" t="n">
        <f aca="false">IFERROR(VLOOKUP(Orders!C301,Customers!$A$2:$F$301,3,FALSE()),"Not Found")</f>
        <v>61</v>
      </c>
      <c r="F301" s="46" t="str">
        <f aca="false">IFERROR(VLOOKUP(Orders!E301,Sales_Reps!$A$2:$E$31,3,FALSE()),"Not Found")</f>
        <v>North</v>
      </c>
      <c r="G301" s="46" t="n">
        <f aca="false">IFERROR(VLOOKUP(Orders!D301,Products!$A$2:$F$61,4,FALSE()),"")</f>
        <v>519</v>
      </c>
      <c r="H301" s="47" t="n">
        <f aca="false">IF(G301="","",(Orders!G301-G301)/Orders!G301)</f>
        <v>0.519444444444445</v>
      </c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</row>
    <row r="302" customFormat="false" ht="15" hidden="false" customHeight="false" outlineLevel="0" collapsed="false">
      <c r="A302" s="46" t="str">
        <f aca="false">Orders!A302</f>
        <v>ORD-00301</v>
      </c>
      <c r="B302" s="46" t="str">
        <f aca="false">PROPER(TRIM(Orders!K302))</f>
        <v>Mumbai</v>
      </c>
      <c r="C302" s="46" t="str">
        <f aca="false">IFERROR(VLOOKUP(Orders!D302,Products!$A$2:$F$61,3,FALSE()),"Not Found")</f>
        <v>Home</v>
      </c>
      <c r="D302" s="46" t="str">
        <f aca="false">IFERROR(VLOOKUP(Orders!C302,Customers!$A$2:$F$301,5,FALSE()),"Not Found")</f>
        <v>Retail</v>
      </c>
      <c r="E302" s="46" t="n">
        <f aca="false">IFERROR(VLOOKUP(Orders!C302,Customers!$A$2:$F$301,3,FALSE()),"Not Found")</f>
        <v>35</v>
      </c>
      <c r="F302" s="46" t="str">
        <f aca="false">IFERROR(VLOOKUP(Orders!E302,Sales_Reps!$A$2:$E$31,3,FALSE()),"Not Found")</f>
        <v>South</v>
      </c>
      <c r="G302" s="46" t="n">
        <f aca="false">IFERROR(VLOOKUP(Orders!D302,Products!$A$2:$F$61,4,FALSE()),"")</f>
        <v>1143</v>
      </c>
      <c r="H302" s="47" t="n">
        <f aca="false">IF(G302="","",(Orders!G302-G302)/Orders!G302)</f>
        <v>0.436945812807882</v>
      </c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</row>
    <row r="303" customFormat="false" ht="15" hidden="false" customHeight="false" outlineLevel="0" collapsed="false">
      <c r="A303" s="46" t="str">
        <f aca="false">Orders!A303</f>
        <v>ORD-00302</v>
      </c>
      <c r="B303" s="46" t="str">
        <f aca="false">PROPER(TRIM(Orders!K303))</f>
        <v>Mumbai</v>
      </c>
      <c r="C303" s="46" t="str">
        <f aca="false">IFERROR(VLOOKUP(Orders!D303,Products!$A$2:$F$61,3,FALSE()),"Not Found")</f>
        <v>Sports</v>
      </c>
      <c r="D303" s="46" t="str">
        <f aca="false">IFERROR(VLOOKUP(Orders!C303,Customers!$A$2:$F$301,5,FALSE()),"Not Found")</f>
        <v>Retail</v>
      </c>
      <c r="E303" s="46" t="n">
        <f aca="false">IFERROR(VLOOKUP(Orders!C303,Customers!$A$2:$F$301,3,FALSE()),"Not Found")</f>
        <v>34</v>
      </c>
      <c r="F303" s="46" t="str">
        <f aca="false">IFERROR(VLOOKUP(Orders!E303,Sales_Reps!$A$2:$E$31,3,FALSE()),"Not Found")</f>
        <v>East</v>
      </c>
      <c r="G303" s="46" t="n">
        <f aca="false">IFERROR(VLOOKUP(Orders!D303,Products!$A$2:$F$61,4,FALSE()),"")</f>
        <v>1860</v>
      </c>
      <c r="H303" s="47" t="n">
        <f aca="false">IF(G303="","",(Orders!G303-G303)/Orders!G303)</f>
        <v>0.507936507936508</v>
      </c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</row>
    <row r="304" customFormat="false" ht="15" hidden="false" customHeight="false" outlineLevel="0" collapsed="false">
      <c r="A304" s="46" t="str">
        <f aca="false">Orders!A304</f>
        <v>ORD-00303</v>
      </c>
      <c r="B304" s="46" t="str">
        <f aca="false">PROPER(TRIM(Orders!K304))</f>
        <v>Pune</v>
      </c>
      <c r="C304" s="46" t="str">
        <f aca="false">IFERROR(VLOOKUP(Orders!D304,Products!$A$2:$F$61,3,FALSE()),"Not Found")</f>
        <v>Apparel</v>
      </c>
      <c r="D304" s="46" t="str">
        <f aca="false">IFERROR(VLOOKUP(Orders!C304,Customers!$A$2:$F$301,5,FALSE()),"Not Found")</f>
        <v>SMB</v>
      </c>
      <c r="E304" s="46" t="n">
        <f aca="false">IFERROR(VLOOKUP(Orders!C304,Customers!$A$2:$F$301,3,FALSE()),"Not Found")</f>
        <v>35</v>
      </c>
      <c r="F304" s="46" t="str">
        <f aca="false">IFERROR(VLOOKUP(Orders!E304,Sales_Reps!$A$2:$E$31,3,FALSE()),"Not Found")</f>
        <v>South</v>
      </c>
      <c r="G304" s="46" t="n">
        <f aca="false">IFERROR(VLOOKUP(Orders!D304,Products!$A$2:$F$61,4,FALSE()),"")</f>
        <v>1886</v>
      </c>
      <c r="H304" s="47" t="n">
        <f aca="false">IF(G304="","",(Orders!G304-G304)/Orders!G304)</f>
        <v>0.403164556962025</v>
      </c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</row>
    <row r="305" customFormat="false" ht="15" hidden="false" customHeight="false" outlineLevel="0" collapsed="false">
      <c r="A305" s="46" t="str">
        <f aca="false">Orders!A305</f>
        <v>ORD-00881</v>
      </c>
      <c r="B305" s="46" t="str">
        <f aca="false">PROPER(TRIM(Orders!K305))</f>
        <v>Hyderabad</v>
      </c>
      <c r="C305" s="46" t="str">
        <f aca="false">IFERROR(VLOOKUP(Orders!D305,Products!$A$2:$F$61,3,FALSE()),"Not Found")</f>
        <v>Beauty</v>
      </c>
      <c r="D305" s="46" t="str">
        <f aca="false">IFERROR(VLOOKUP(Orders!C305,Customers!$A$2:$F$301,5,FALSE()),"Not Found")</f>
        <v>SMB</v>
      </c>
      <c r="E305" s="46" t="n">
        <f aca="false">IFERROR(VLOOKUP(Orders!C305,Customers!$A$2:$F$301,3,FALSE()),"Not Found")</f>
        <v>43</v>
      </c>
      <c r="F305" s="46" t="str">
        <f aca="false">IFERROR(VLOOKUP(Orders!E305,Sales_Reps!$A$2:$E$31,3,FALSE()),"Not Found")</f>
        <v>South</v>
      </c>
      <c r="G305" s="46" t="n">
        <f aca="false">IFERROR(VLOOKUP(Orders!D305,Products!$A$2:$F$61,4,FALSE()),"")</f>
        <v>2768</v>
      </c>
      <c r="H305" s="47" t="n">
        <f aca="false">IF(G305="","",(Orders!G305-G305)/Orders!G305)</f>
        <v>0.432786885245902</v>
      </c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</row>
    <row r="306" customFormat="false" ht="15" hidden="false" customHeight="false" outlineLevel="0" collapsed="false">
      <c r="A306" s="46" t="str">
        <f aca="false">Orders!A306</f>
        <v>ORD-00305</v>
      </c>
      <c r="B306" s="46" t="str">
        <f aca="false">PROPER(TRIM(Orders!K306))</f>
        <v>Delhi</v>
      </c>
      <c r="C306" s="46" t="str">
        <f aca="false">IFERROR(VLOOKUP(Orders!D306,Products!$A$2:$F$61,3,FALSE()),"Not Found")</f>
        <v>Home</v>
      </c>
      <c r="D306" s="46" t="str">
        <f aca="false">IFERROR(VLOOKUP(Orders!C306,Customers!$A$2:$F$301,5,FALSE()),"Not Found")</f>
        <v>Retail</v>
      </c>
      <c r="E306" s="46" t="n">
        <f aca="false">IFERROR(VLOOKUP(Orders!C306,Customers!$A$2:$F$301,3,FALSE()),"Not Found")</f>
        <v>43</v>
      </c>
      <c r="F306" s="46" t="str">
        <f aca="false">IFERROR(VLOOKUP(Orders!E306,Sales_Reps!$A$2:$E$31,3,FALSE()),"Not Found")</f>
        <v>South</v>
      </c>
      <c r="G306" s="46" t="n">
        <f aca="false">IFERROR(VLOOKUP(Orders!D306,Products!$A$2:$F$61,4,FALSE()),"")</f>
        <v>2135</v>
      </c>
      <c r="H306" s="47" t="n">
        <f aca="false">IF(G306="","",(Orders!G306-G306)/Orders!G306)</f>
        <v>0.427613941018767</v>
      </c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</row>
    <row r="307" customFormat="false" ht="15" hidden="false" customHeight="false" outlineLevel="0" collapsed="false">
      <c r="A307" s="46" t="str">
        <f aca="false">Orders!A307</f>
        <v>ORD-00306</v>
      </c>
      <c r="B307" s="46" t="str">
        <f aca="false">PROPER(TRIM(Orders!K307))</f>
        <v>Chennai</v>
      </c>
      <c r="C307" s="46" t="str">
        <f aca="false">IFERROR(VLOOKUP(Orders!D307,Products!$A$2:$F$61,3,FALSE()),"Not Found")</f>
        <v>Home</v>
      </c>
      <c r="D307" s="46" t="str">
        <f aca="false">IFERROR(VLOOKUP(Orders!C307,Customers!$A$2:$F$301,5,FALSE()),"Not Found")</f>
        <v>Retail</v>
      </c>
      <c r="E307" s="46" t="n">
        <f aca="false">IFERROR(VLOOKUP(Orders!C307,Customers!$A$2:$F$301,3,FALSE()),"Not Found")</f>
        <v>26</v>
      </c>
      <c r="F307" s="46" t="str">
        <f aca="false">IFERROR(VLOOKUP(Orders!E307,Sales_Reps!$A$2:$E$31,3,FALSE()),"Not Found")</f>
        <v>North</v>
      </c>
      <c r="G307" s="46" t="n">
        <f aca="false">IFERROR(VLOOKUP(Orders!D307,Products!$A$2:$F$61,4,FALSE()),"")</f>
        <v>2459</v>
      </c>
      <c r="H307" s="47" t="n">
        <f aca="false">IF(G307="","",(Orders!G307-G307)/Orders!G307)</f>
        <v>0.515944881889764</v>
      </c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</row>
    <row r="308" customFormat="false" ht="15" hidden="false" customHeight="false" outlineLevel="0" collapsed="false">
      <c r="A308" s="46" t="str">
        <f aca="false">Orders!A308</f>
        <v>ORD-00307</v>
      </c>
      <c r="B308" s="46" t="str">
        <f aca="false">PROPER(TRIM(Orders!K308))</f>
        <v>Mumbai</v>
      </c>
      <c r="C308" s="46" t="str">
        <f aca="false">IFERROR(VLOOKUP(Orders!D308,Products!$A$2:$F$61,3,FALSE()),"Not Found")</f>
        <v>Beauty</v>
      </c>
      <c r="D308" s="46" t="str">
        <f aca="false">IFERROR(VLOOKUP(Orders!C308,Customers!$A$2:$F$301,5,FALSE()),"Not Found")</f>
        <v>Retail</v>
      </c>
      <c r="E308" s="46" t="n">
        <f aca="false">IFERROR(VLOOKUP(Orders!C308,Customers!$A$2:$F$301,3,FALSE()),"Not Found")</f>
        <v>54</v>
      </c>
      <c r="F308" s="46" t="str">
        <f aca="false">IFERROR(VLOOKUP(Orders!E308,Sales_Reps!$A$2:$E$31,3,FALSE()),"Not Found")</f>
        <v>South</v>
      </c>
      <c r="G308" s="46" t="n">
        <f aca="false">IFERROR(VLOOKUP(Orders!D308,Products!$A$2:$F$61,4,FALSE()),"")</f>
        <v>1219</v>
      </c>
      <c r="H308" s="47" t="n">
        <f aca="false">IF(G308="","",(Orders!G308-G308)/Orders!G308)</f>
        <v>0.467685589519651</v>
      </c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</row>
    <row r="309" customFormat="false" ht="15" hidden="false" customHeight="false" outlineLevel="0" collapsed="false">
      <c r="A309" s="46" t="str">
        <f aca="false">Orders!A309</f>
        <v>ORD-00308</v>
      </c>
      <c r="B309" s="46" t="str">
        <f aca="false">PROPER(TRIM(Orders!K309))</f>
        <v>Delhi</v>
      </c>
      <c r="C309" s="46" t="str">
        <f aca="false">IFERROR(VLOOKUP(Orders!D309,Products!$A$2:$F$61,3,FALSE()),"Not Found")</f>
        <v>Electronics</v>
      </c>
      <c r="D309" s="46" t="str">
        <f aca="false">IFERROR(VLOOKUP(Orders!C309,Customers!$A$2:$F$301,5,FALSE()),"Not Found")</f>
        <v>SMB</v>
      </c>
      <c r="E309" s="46" t="n">
        <f aca="false">IFERROR(VLOOKUP(Orders!C309,Customers!$A$2:$F$301,3,FALSE()),"Not Found")</f>
        <v>29</v>
      </c>
      <c r="F309" s="46" t="str">
        <f aca="false">IFERROR(VLOOKUP(Orders!E309,Sales_Reps!$A$2:$E$31,3,FALSE()),"Not Found")</f>
        <v>South</v>
      </c>
      <c r="G309" s="46" t="n">
        <f aca="false">IFERROR(VLOOKUP(Orders!D309,Products!$A$2:$F$61,4,FALSE()),"")</f>
        <v>1259</v>
      </c>
      <c r="H309" s="47" t="n">
        <f aca="false">IF(G309="","",(Orders!G309-G309)/Orders!G309)</f>
        <v>0.526691729323308</v>
      </c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</row>
    <row r="310" customFormat="false" ht="15" hidden="false" customHeight="false" outlineLevel="0" collapsed="false">
      <c r="A310" s="46" t="str">
        <f aca="false">Orders!A310</f>
        <v>ORD-00309</v>
      </c>
      <c r="B310" s="46" t="str">
        <f aca="false">PROPER(TRIM(Orders!K310))</f>
        <v>Delhi</v>
      </c>
      <c r="C310" s="46" t="str">
        <f aca="false">IFERROR(VLOOKUP(Orders!D310,Products!$A$2:$F$61,3,FALSE()),"Not Found")</f>
        <v>Grocery</v>
      </c>
      <c r="D310" s="46" t="str">
        <f aca="false">IFERROR(VLOOKUP(Orders!C310,Customers!$A$2:$F$301,5,FALSE()),"Not Found")</f>
        <v>Retail</v>
      </c>
      <c r="E310" s="46" t="n">
        <f aca="false">IFERROR(VLOOKUP(Orders!C310,Customers!$A$2:$F$301,3,FALSE()),"Not Found")</f>
        <v>41</v>
      </c>
      <c r="F310" s="46" t="str">
        <f aca="false">IFERROR(VLOOKUP(Orders!E310,Sales_Reps!$A$2:$E$31,3,FALSE()),"Not Found")</f>
        <v>West</v>
      </c>
      <c r="G310" s="46" t="n">
        <f aca="false">IFERROR(VLOOKUP(Orders!D310,Products!$A$2:$F$61,4,FALSE()),"")</f>
        <v>2436</v>
      </c>
      <c r="H310" s="47" t="n">
        <f aca="false">IF(G310="","",(Orders!G310-G310)/Orders!G310)</f>
        <v>0.355555555555556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</row>
    <row r="311" customFormat="false" ht="15" hidden="false" customHeight="false" outlineLevel="0" collapsed="false">
      <c r="A311" s="46" t="str">
        <f aca="false">Orders!A311</f>
        <v>ORD-00310</v>
      </c>
      <c r="B311" s="46" t="str">
        <f aca="false">PROPER(TRIM(Orders!K311))</f>
        <v>Mumbai</v>
      </c>
      <c r="C311" s="46" t="str">
        <f aca="false">IFERROR(VLOOKUP(Orders!D311,Products!$A$2:$F$61,3,FALSE()),"Not Found")</f>
        <v>Grocery</v>
      </c>
      <c r="D311" s="46" t="str">
        <f aca="false">IFERROR(VLOOKUP(Orders!C311,Customers!$A$2:$F$301,5,FALSE()),"Not Found")</f>
        <v>Retail</v>
      </c>
      <c r="E311" s="46" t="n">
        <f aca="false">IFERROR(VLOOKUP(Orders!C311,Customers!$A$2:$F$301,3,FALSE()),"Not Found")</f>
        <v>35</v>
      </c>
      <c r="F311" s="46" t="str">
        <f aca="false">IFERROR(VLOOKUP(Orders!E311,Sales_Reps!$A$2:$E$31,3,FALSE()),"Not Found")</f>
        <v>West</v>
      </c>
      <c r="G311" s="46" t="n">
        <f aca="false">IFERROR(VLOOKUP(Orders!D311,Products!$A$2:$F$61,4,FALSE()),"")</f>
        <v>1435</v>
      </c>
      <c r="H311" s="47" t="n">
        <f aca="false">IF(G311="","",(Orders!G311-G311)/Orders!G311)</f>
        <v>0.480072463768116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</row>
    <row r="312" customFormat="false" ht="15" hidden="false" customHeight="false" outlineLevel="0" collapsed="false">
      <c r="A312" s="46" t="str">
        <f aca="false">Orders!A312</f>
        <v>ORD-00311</v>
      </c>
      <c r="B312" s="46" t="str">
        <f aca="false">PROPER(TRIM(Orders!K312))</f>
        <v>Hyderabad</v>
      </c>
      <c r="C312" s="46" t="str">
        <f aca="false">IFERROR(VLOOKUP(Orders!D312,Products!$A$2:$F$61,3,FALSE()),"Not Found")</f>
        <v>Beauty</v>
      </c>
      <c r="D312" s="46" t="str">
        <f aca="false">IFERROR(VLOOKUP(Orders!C312,Customers!$A$2:$F$301,5,FALSE()),"Not Found")</f>
        <v>SMB</v>
      </c>
      <c r="E312" s="46" t="n">
        <f aca="false">IFERROR(VLOOKUP(Orders!C312,Customers!$A$2:$F$301,3,FALSE()),"Not Found")</f>
        <v>65</v>
      </c>
      <c r="F312" s="46" t="str">
        <f aca="false">IFERROR(VLOOKUP(Orders!E312,Sales_Reps!$A$2:$E$31,3,FALSE()),"Not Found")</f>
        <v>North</v>
      </c>
      <c r="G312" s="46" t="n">
        <f aca="false">IFERROR(VLOOKUP(Orders!D312,Products!$A$2:$F$61,4,FALSE()),"")</f>
        <v>647</v>
      </c>
      <c r="H312" s="47" t="n">
        <f aca="false">IF(G312="","",(Orders!G312-G312)/Orders!G312)</f>
        <v>0.57987012987013</v>
      </c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</row>
    <row r="313" customFormat="false" ht="15" hidden="false" customHeight="false" outlineLevel="0" collapsed="false">
      <c r="A313" s="46" t="str">
        <f aca="false">Orders!A313</f>
        <v>ORD-00312</v>
      </c>
      <c r="B313" s="46" t="str">
        <f aca="false">PROPER(TRIM(Orders!K313))</f>
        <v>Hyderabad</v>
      </c>
      <c r="C313" s="46" t="str">
        <f aca="false">IFERROR(VLOOKUP(Orders!D313,Products!$A$2:$F$61,3,FALSE()),"Not Found")</f>
        <v>Beauty</v>
      </c>
      <c r="D313" s="46" t="str">
        <f aca="false">IFERROR(VLOOKUP(Orders!C313,Customers!$A$2:$F$301,5,FALSE()),"Not Found")</f>
        <v>Retail</v>
      </c>
      <c r="E313" s="46" t="n">
        <f aca="false">IFERROR(VLOOKUP(Orders!C313,Customers!$A$2:$F$301,3,FALSE()),"Not Found")</f>
        <v>28</v>
      </c>
      <c r="F313" s="46" t="str">
        <f aca="false">IFERROR(VLOOKUP(Orders!E313,Sales_Reps!$A$2:$E$31,3,FALSE()),"Not Found")</f>
        <v>East</v>
      </c>
      <c r="G313" s="46" t="n">
        <f aca="false">IFERROR(VLOOKUP(Orders!D313,Products!$A$2:$F$61,4,FALSE()),"")</f>
        <v>2768</v>
      </c>
      <c r="H313" s="47" t="n">
        <f aca="false">IF(G313="","",(Orders!G313-G313)/Orders!G313)</f>
        <v>0.432786885245902</v>
      </c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</row>
    <row r="314" customFormat="false" ht="15" hidden="false" customHeight="false" outlineLevel="0" collapsed="false">
      <c r="A314" s="46" t="str">
        <f aca="false">Orders!A314</f>
        <v>ORD-00313</v>
      </c>
      <c r="B314" s="46" t="str">
        <f aca="false">PROPER(TRIM(Orders!K314))</f>
        <v>Hyderabad</v>
      </c>
      <c r="C314" s="46" t="str">
        <f aca="false">IFERROR(VLOOKUP(Orders!D314,Products!$A$2:$F$61,3,FALSE()),"Not Found")</f>
        <v>Grocery</v>
      </c>
      <c r="D314" s="46" t="str">
        <f aca="false">IFERROR(VLOOKUP(Orders!C314,Customers!$A$2:$F$301,5,FALSE()),"Not Found")</f>
        <v>Corporate</v>
      </c>
      <c r="E314" s="46" t="n">
        <f aca="false">IFERROR(VLOOKUP(Orders!C314,Customers!$A$2:$F$301,3,FALSE()),"Not Found")</f>
        <v>52</v>
      </c>
      <c r="F314" s="46" t="str">
        <f aca="false">IFERROR(VLOOKUP(Orders!E314,Sales_Reps!$A$2:$E$31,3,FALSE()),"Not Found")</f>
        <v>South</v>
      </c>
      <c r="G314" s="46" t="n">
        <f aca="false">IFERROR(VLOOKUP(Orders!D314,Products!$A$2:$F$61,4,FALSE()),"")</f>
        <v>1203</v>
      </c>
      <c r="H314" s="47" t="n">
        <f aca="false">IF(G314="","",(Orders!G314-G314)/Orders!G314)</f>
        <v>0.470044052863436</v>
      </c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</row>
    <row r="315" customFormat="false" ht="15" hidden="false" customHeight="false" outlineLevel="0" collapsed="false">
      <c r="A315" s="46" t="str">
        <f aca="false">Orders!A315</f>
        <v>ORD-00314</v>
      </c>
      <c r="B315" s="46" t="str">
        <f aca="false">PROPER(TRIM(Orders!K315))</f>
        <v>Mumbai</v>
      </c>
      <c r="C315" s="46" t="str">
        <f aca="false">IFERROR(VLOOKUP(Orders!D315,Products!$A$2:$F$61,3,FALSE()),"Not Found")</f>
        <v>Apparel</v>
      </c>
      <c r="D315" s="46" t="str">
        <f aca="false">IFERROR(VLOOKUP(Orders!C315,Customers!$A$2:$F$301,5,FALSE()),"Not Found")</f>
        <v>Retail</v>
      </c>
      <c r="E315" s="46" t="n">
        <f aca="false">IFERROR(VLOOKUP(Orders!C315,Customers!$A$2:$F$301,3,FALSE()),"Not Found")</f>
        <v>53</v>
      </c>
      <c r="F315" s="46" t="str">
        <f aca="false">IFERROR(VLOOKUP(Orders!E315,Sales_Reps!$A$2:$E$31,3,FALSE()),"Not Found")</f>
        <v>South</v>
      </c>
      <c r="G315" s="46" t="n">
        <f aca="false">IFERROR(VLOOKUP(Orders!D315,Products!$A$2:$F$61,4,FALSE()),"")</f>
        <v>1173</v>
      </c>
      <c r="H315" s="47" t="n">
        <f aca="false">IF(G315="","",(Orders!G315-G315)/Orders!G315)</f>
        <v>0.527016129032258</v>
      </c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</row>
    <row r="316" customFormat="false" ht="15" hidden="false" customHeight="false" outlineLevel="0" collapsed="false">
      <c r="A316" s="46" t="str">
        <f aca="false">Orders!A316</f>
        <v>ORD-00315</v>
      </c>
      <c r="B316" s="46" t="str">
        <f aca="false">PROPER(TRIM(Orders!K316))</f>
        <v>Hyderabad</v>
      </c>
      <c r="C316" s="46" t="str">
        <f aca="false">IFERROR(VLOOKUP(Orders!D316,Products!$A$2:$F$61,3,FALSE()),"Not Found")</f>
        <v>Beauty</v>
      </c>
      <c r="D316" s="46" t="str">
        <f aca="false">IFERROR(VLOOKUP(Orders!C316,Customers!$A$2:$F$301,5,FALSE()),"Not Found")</f>
        <v>Retail</v>
      </c>
      <c r="E316" s="46" t="n">
        <f aca="false">IFERROR(VLOOKUP(Orders!C316,Customers!$A$2:$F$301,3,FALSE()),"Not Found")</f>
        <v>60</v>
      </c>
      <c r="F316" s="46" t="str">
        <f aca="false">IFERROR(VLOOKUP(Orders!E316,Sales_Reps!$A$2:$E$31,3,FALSE()),"Not Found")</f>
        <v>South</v>
      </c>
      <c r="G316" s="46" t="n">
        <f aca="false">IFERROR(VLOOKUP(Orders!D316,Products!$A$2:$F$61,4,FALSE()),"")</f>
        <v>1626</v>
      </c>
      <c r="H316" s="47" t="n">
        <f aca="false">IF(G316="","",(Orders!G316-G316)/Orders!G316)</f>
        <v>0.46158940397351</v>
      </c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</row>
    <row r="317" customFormat="false" ht="15" hidden="false" customHeight="false" outlineLevel="0" collapsed="false">
      <c r="A317" s="46" t="str">
        <f aca="false">Orders!A317</f>
        <v>ORD-00316</v>
      </c>
      <c r="B317" s="46" t="str">
        <f aca="false">PROPER(TRIM(Orders!K317))</f>
        <v>Chennai</v>
      </c>
      <c r="C317" s="46" t="str">
        <f aca="false">IFERROR(VLOOKUP(Orders!D317,Products!$A$2:$F$61,3,FALSE()),"Not Found")</f>
        <v>Beauty</v>
      </c>
      <c r="D317" s="46" t="str">
        <f aca="false">IFERROR(VLOOKUP(Orders!C317,Customers!$A$2:$F$301,5,FALSE()),"Not Found")</f>
        <v>Retail</v>
      </c>
      <c r="E317" s="46" t="n">
        <f aca="false">IFERROR(VLOOKUP(Orders!C317,Customers!$A$2:$F$301,3,FALSE()),"Not Found")</f>
        <v>28</v>
      </c>
      <c r="F317" s="46" t="str">
        <f aca="false">IFERROR(VLOOKUP(Orders!E317,Sales_Reps!$A$2:$E$31,3,FALSE()),"Not Found")</f>
        <v>East</v>
      </c>
      <c r="G317" s="46" t="n">
        <f aca="false">IFERROR(VLOOKUP(Orders!D317,Products!$A$2:$F$61,4,FALSE()),"")</f>
        <v>647</v>
      </c>
      <c r="H317" s="47" t="n">
        <f aca="false">IF(G317="","",(Orders!G317-G317)/Orders!G317)</f>
        <v>0.57987012987013</v>
      </c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</row>
    <row r="318" customFormat="false" ht="15" hidden="false" customHeight="false" outlineLevel="0" collapsed="false">
      <c r="A318" s="46" t="str">
        <f aca="false">Orders!A318</f>
        <v>ORD-00317</v>
      </c>
      <c r="B318" s="46" t="str">
        <f aca="false">PROPER(TRIM(Orders!K318))</f>
        <v>Delhi</v>
      </c>
      <c r="C318" s="46" t="str">
        <f aca="false">IFERROR(VLOOKUP(Orders!D318,Products!$A$2:$F$61,3,FALSE()),"Not Found")</f>
        <v>Apparel</v>
      </c>
      <c r="D318" s="46" t="str">
        <f aca="false">IFERROR(VLOOKUP(Orders!C318,Customers!$A$2:$F$301,5,FALSE()),"Not Found")</f>
        <v>Retail</v>
      </c>
      <c r="E318" s="46" t="n">
        <f aca="false">IFERROR(VLOOKUP(Orders!C318,Customers!$A$2:$F$301,3,FALSE()),"Not Found")</f>
        <v>59</v>
      </c>
      <c r="F318" s="46" t="str">
        <f aca="false">IFERROR(VLOOKUP(Orders!E318,Sales_Reps!$A$2:$E$31,3,FALSE()),"Not Found")</f>
        <v>North</v>
      </c>
      <c r="G318" s="46" t="n">
        <f aca="false">IFERROR(VLOOKUP(Orders!D318,Products!$A$2:$F$61,4,FALSE()),"")</f>
        <v>1886</v>
      </c>
      <c r="H318" s="47" t="n">
        <f aca="false">IF(G318="","",(Orders!G318-G318)/Orders!G318)</f>
        <v>0.403164556962025</v>
      </c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</row>
    <row r="319" customFormat="false" ht="15" hidden="false" customHeight="false" outlineLevel="0" collapsed="false">
      <c r="A319" s="46" t="str">
        <f aca="false">Orders!A319</f>
        <v>ORD-00318</v>
      </c>
      <c r="B319" s="46" t="str">
        <f aca="false">PROPER(TRIM(Orders!K319))</f>
        <v>Delhi</v>
      </c>
      <c r="C319" s="46" t="str">
        <f aca="false">IFERROR(VLOOKUP(Orders!D319,Products!$A$2:$F$61,3,FALSE()),"Not Found")</f>
        <v>Sports</v>
      </c>
      <c r="D319" s="46" t="str">
        <f aca="false">IFERROR(VLOOKUP(Orders!C319,Customers!$A$2:$F$301,5,FALSE()),"Not Found")</f>
        <v>Retail</v>
      </c>
      <c r="E319" s="46" t="n">
        <f aca="false">IFERROR(VLOOKUP(Orders!C319,Customers!$A$2:$F$301,3,FALSE()),"Not Found")</f>
        <v>41</v>
      </c>
      <c r="F319" s="46" t="str">
        <f aca="false">IFERROR(VLOOKUP(Orders!E319,Sales_Reps!$A$2:$E$31,3,FALSE()),"Not Found")</f>
        <v>South</v>
      </c>
      <c r="G319" s="46" t="n">
        <f aca="false">IFERROR(VLOOKUP(Orders!D319,Products!$A$2:$F$61,4,FALSE()),"")</f>
        <v>516</v>
      </c>
      <c r="H319" s="47" t="n">
        <f aca="false">IF(G319="","",(Orders!G319-G319)/Orders!G319)</f>
        <v>0.489108910891089</v>
      </c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</row>
    <row r="320" customFormat="false" ht="15" hidden="false" customHeight="false" outlineLevel="0" collapsed="false">
      <c r="A320" s="46" t="str">
        <f aca="false">Orders!A320</f>
        <v>ORD-00319</v>
      </c>
      <c r="B320" s="46" t="str">
        <f aca="false">PROPER(TRIM(Orders!K320))</f>
        <v>Hyderabad</v>
      </c>
      <c r="C320" s="46" t="str">
        <f aca="false">IFERROR(VLOOKUP(Orders!D320,Products!$A$2:$F$61,3,FALSE()),"Not Found")</f>
        <v>Home</v>
      </c>
      <c r="D320" s="46" t="str">
        <f aca="false">IFERROR(VLOOKUP(Orders!C320,Customers!$A$2:$F$301,5,FALSE()),"Not Found")</f>
        <v>Retail</v>
      </c>
      <c r="E320" s="46" t="n">
        <f aca="false">IFERROR(VLOOKUP(Orders!C320,Customers!$A$2:$F$301,3,FALSE()),"Not Found")</f>
        <v>65</v>
      </c>
      <c r="F320" s="46" t="str">
        <f aca="false">IFERROR(VLOOKUP(Orders!E320,Sales_Reps!$A$2:$E$31,3,FALSE()),"Not Found")</f>
        <v>East</v>
      </c>
      <c r="G320" s="46" t="n">
        <f aca="false">IFERROR(VLOOKUP(Orders!D320,Products!$A$2:$F$61,4,FALSE()),"")</f>
        <v>1850</v>
      </c>
      <c r="H320" s="47" t="n">
        <f aca="false">IF(G320="","",(Orders!G320-G320)/Orders!G320)</f>
        <v>0.598698481561822</v>
      </c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</row>
    <row r="321" customFormat="false" ht="15" hidden="false" customHeight="false" outlineLevel="0" collapsed="false">
      <c r="A321" s="46" t="str">
        <f aca="false">Orders!A321</f>
        <v>ORD-00320</v>
      </c>
      <c r="B321" s="46" t="str">
        <f aca="false">PROPER(TRIM(Orders!K321))</f>
        <v>Hyderabad</v>
      </c>
      <c r="C321" s="46" t="str">
        <f aca="false">IFERROR(VLOOKUP(Orders!D321,Products!$A$2:$F$61,3,FALSE()),"Not Found")</f>
        <v>Grocery</v>
      </c>
      <c r="D321" s="46" t="str">
        <f aca="false">IFERROR(VLOOKUP(Orders!C321,Customers!$A$2:$F$301,5,FALSE()),"Not Found")</f>
        <v>Retail</v>
      </c>
      <c r="E321" s="46" t="n">
        <f aca="false">IFERROR(VLOOKUP(Orders!C321,Customers!$A$2:$F$301,3,FALSE()),"Not Found")</f>
        <v>53</v>
      </c>
      <c r="F321" s="46" t="str">
        <f aca="false">IFERROR(VLOOKUP(Orders!E321,Sales_Reps!$A$2:$E$31,3,FALSE()),"Not Found")</f>
        <v>West</v>
      </c>
      <c r="G321" s="46" t="n">
        <f aca="false">IFERROR(VLOOKUP(Orders!D321,Products!$A$2:$F$61,4,FALSE()),"")</f>
        <v>2911</v>
      </c>
      <c r="H321" s="47" t="n">
        <f aca="false">IF(G321="","",(Orders!G321-G321)/Orders!G321)</f>
        <v>0.283004926108374</v>
      </c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</row>
    <row r="322" customFormat="false" ht="15" hidden="false" customHeight="false" outlineLevel="0" collapsed="false">
      <c r="A322" s="46" t="str">
        <f aca="false">Orders!A322</f>
        <v>ORD-00321</v>
      </c>
      <c r="B322" s="46" t="str">
        <f aca="false">PROPER(TRIM(Orders!K322))</f>
        <v>Chennai</v>
      </c>
      <c r="C322" s="46" t="str">
        <f aca="false">IFERROR(VLOOKUP(Orders!D322,Products!$A$2:$F$61,3,FALSE()),"Not Found")</f>
        <v>Apparel</v>
      </c>
      <c r="D322" s="46" t="str">
        <f aca="false">IFERROR(VLOOKUP(Orders!C322,Customers!$A$2:$F$301,5,FALSE()),"Not Found")</f>
        <v>SMB</v>
      </c>
      <c r="E322" s="46" t="n">
        <f aca="false">IFERROR(VLOOKUP(Orders!C322,Customers!$A$2:$F$301,3,FALSE()),"Not Found")</f>
        <v>46</v>
      </c>
      <c r="F322" s="46" t="str">
        <f aca="false">IFERROR(VLOOKUP(Orders!E322,Sales_Reps!$A$2:$E$31,3,FALSE()),"Not Found")</f>
        <v>North</v>
      </c>
      <c r="G322" s="46" t="n">
        <f aca="false">IFERROR(VLOOKUP(Orders!D322,Products!$A$2:$F$61,4,FALSE()),"")</f>
        <v>396</v>
      </c>
      <c r="H322" s="47" t="n">
        <f aca="false">IF(G322="","",(Orders!G322-G322)/Orders!G322)</f>
        <v>0.361290322580645</v>
      </c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</row>
    <row r="323" customFormat="false" ht="15" hidden="false" customHeight="false" outlineLevel="0" collapsed="false">
      <c r="A323" s="46" t="str">
        <f aca="false">Orders!A323</f>
        <v>ORD-00322</v>
      </c>
      <c r="B323" s="46" t="str">
        <f aca="false">PROPER(TRIM(Orders!K323))</f>
        <v>Hyderabad</v>
      </c>
      <c r="C323" s="46" t="str">
        <f aca="false">IFERROR(VLOOKUP(Orders!D323,Products!$A$2:$F$61,3,FALSE()),"Not Found")</f>
        <v>Apparel</v>
      </c>
      <c r="D323" s="46" t="str">
        <f aca="false">IFERROR(VLOOKUP(Orders!C323,Customers!$A$2:$F$301,5,FALSE()),"Not Found")</f>
        <v>Corporate</v>
      </c>
      <c r="E323" s="46" t="n">
        <f aca="false">IFERROR(VLOOKUP(Orders!C323,Customers!$A$2:$F$301,3,FALSE()),"Not Found")</f>
        <v>43</v>
      </c>
      <c r="F323" s="46" t="str">
        <f aca="false">IFERROR(VLOOKUP(Orders!E323,Sales_Reps!$A$2:$E$31,3,FALSE()),"Not Found")</f>
        <v>North</v>
      </c>
      <c r="G323" s="46" t="n">
        <f aca="false">IFERROR(VLOOKUP(Orders!D323,Products!$A$2:$F$61,4,FALSE()),"")</f>
        <v>2629</v>
      </c>
      <c r="H323" s="47" t="n">
        <f aca="false">IF(G323="","",(Orders!G323-G323)/Orders!G323)</f>
        <v>0.261516853932584</v>
      </c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</row>
    <row r="324" customFormat="false" ht="15" hidden="false" customHeight="false" outlineLevel="0" collapsed="false">
      <c r="A324" s="46" t="str">
        <f aca="false">Orders!A324</f>
        <v>ORD-00323</v>
      </c>
      <c r="B324" s="46" t="str">
        <f aca="false">PROPER(TRIM(Orders!K324))</f>
        <v>Pune</v>
      </c>
      <c r="C324" s="46" t="str">
        <f aca="false">IFERROR(VLOOKUP(Orders!D324,Products!$A$2:$F$61,3,FALSE()),"Not Found")</f>
        <v>Sports</v>
      </c>
      <c r="D324" s="46" t="str">
        <f aca="false">IFERROR(VLOOKUP(Orders!C324,Customers!$A$2:$F$301,5,FALSE()),"Not Found")</f>
        <v>Corporate</v>
      </c>
      <c r="E324" s="46" t="n">
        <f aca="false">IFERROR(VLOOKUP(Orders!C324,Customers!$A$2:$F$301,3,FALSE()),"Not Found")</f>
        <v>52</v>
      </c>
      <c r="F324" s="46" t="str">
        <f aca="false">IFERROR(VLOOKUP(Orders!E324,Sales_Reps!$A$2:$E$31,3,FALSE()),"Not Found")</f>
        <v>South</v>
      </c>
      <c r="G324" s="46" t="n">
        <f aca="false">IFERROR(VLOOKUP(Orders!D324,Products!$A$2:$F$61,4,FALSE()),"")</f>
        <v>974</v>
      </c>
      <c r="H324" s="47" t="n">
        <f aca="false">IF(G324="","",(Orders!G324-G324)/Orders!G324)</f>
        <v>0.594166666666667</v>
      </c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</row>
    <row r="325" customFormat="false" ht="15" hidden="false" customHeight="false" outlineLevel="0" collapsed="false">
      <c r="A325" s="46" t="str">
        <f aca="false">Orders!A325</f>
        <v>ORD-00324</v>
      </c>
      <c r="B325" s="46" t="str">
        <f aca="false">PROPER(TRIM(Orders!K325))</f>
        <v>Delhi</v>
      </c>
      <c r="C325" s="46" t="str">
        <f aca="false">IFERROR(VLOOKUP(Orders!D325,Products!$A$2:$F$61,3,FALSE()),"Not Found")</f>
        <v>Sports</v>
      </c>
      <c r="D325" s="46" t="str">
        <f aca="false">IFERROR(VLOOKUP(Orders!C325,Customers!$A$2:$F$301,5,FALSE()),"Not Found")</f>
        <v>Retail</v>
      </c>
      <c r="E325" s="46" t="n">
        <f aca="false">IFERROR(VLOOKUP(Orders!C325,Customers!$A$2:$F$301,3,FALSE()),"Not Found")</f>
        <v>53</v>
      </c>
      <c r="F325" s="46" t="str">
        <f aca="false">IFERROR(VLOOKUP(Orders!E325,Sales_Reps!$A$2:$E$31,3,FALSE()),"Not Found")</f>
        <v>North</v>
      </c>
      <c r="G325" s="46" t="n">
        <f aca="false">IFERROR(VLOOKUP(Orders!D325,Products!$A$2:$F$61,4,FALSE()),"")</f>
        <v>2827</v>
      </c>
      <c r="H325" s="47" t="n">
        <f aca="false">IF(G325="","",(Orders!G325-G325)/Orders!G325)</f>
        <v>0.592651296829971</v>
      </c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</row>
    <row r="326" customFormat="false" ht="15" hidden="false" customHeight="false" outlineLevel="0" collapsed="false">
      <c r="A326" s="46" t="str">
        <f aca="false">Orders!A326</f>
        <v>ORD-00325</v>
      </c>
      <c r="B326" s="46" t="str">
        <f aca="false">PROPER(TRIM(Orders!K326))</f>
        <v>Mumbai</v>
      </c>
      <c r="C326" s="46" t="str">
        <f aca="false">IFERROR(VLOOKUP(Orders!D326,Products!$A$2:$F$61,3,FALSE()),"Not Found")</f>
        <v>Grocery</v>
      </c>
      <c r="D326" s="46" t="str">
        <f aca="false">IFERROR(VLOOKUP(Orders!C326,Customers!$A$2:$F$301,5,FALSE()),"Not Found")</f>
        <v>Retail</v>
      </c>
      <c r="E326" s="46" t="n">
        <f aca="false">IFERROR(VLOOKUP(Orders!C326,Customers!$A$2:$F$301,3,FALSE()),"Not Found")</f>
        <v>33</v>
      </c>
      <c r="F326" s="46" t="str">
        <f aca="false">IFERROR(VLOOKUP(Orders!E326,Sales_Reps!$A$2:$E$31,3,FALSE()),"Not Found")</f>
        <v>West</v>
      </c>
      <c r="G326" s="46" t="n">
        <f aca="false">IFERROR(VLOOKUP(Orders!D326,Products!$A$2:$F$61,4,FALSE()),"")</f>
        <v>1182</v>
      </c>
      <c r="H326" s="47" t="n">
        <f aca="false">IF(G326="","",(Orders!G326-G326)/Orders!G326)</f>
        <v>0.503361344537815</v>
      </c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</row>
    <row r="327" customFormat="false" ht="15" hidden="false" customHeight="false" outlineLevel="0" collapsed="false">
      <c r="A327" s="46" t="str">
        <f aca="false">Orders!A327</f>
        <v>ORD-00326</v>
      </c>
      <c r="B327" s="46" t="str">
        <f aca="false">PROPER(TRIM(Orders!K327))</f>
        <v>Delhi</v>
      </c>
      <c r="C327" s="46" t="str">
        <f aca="false">IFERROR(VLOOKUP(Orders!D327,Products!$A$2:$F$61,3,FALSE()),"Not Found")</f>
        <v>Apparel</v>
      </c>
      <c r="D327" s="46" t="str">
        <f aca="false">IFERROR(VLOOKUP(Orders!C327,Customers!$A$2:$F$301,5,FALSE()),"Not Found")</f>
        <v>Corporate</v>
      </c>
      <c r="E327" s="46" t="n">
        <f aca="false">IFERROR(VLOOKUP(Orders!C327,Customers!$A$2:$F$301,3,FALSE()),"Not Found")</f>
        <v>55</v>
      </c>
      <c r="F327" s="46" t="str">
        <f aca="false">IFERROR(VLOOKUP(Orders!E327,Sales_Reps!$A$2:$E$31,3,FALSE()),"Not Found")</f>
        <v>West</v>
      </c>
      <c r="G327" s="46" t="n">
        <f aca="false">IFERROR(VLOOKUP(Orders!D327,Products!$A$2:$F$61,4,FALSE()),"")</f>
        <v>2509</v>
      </c>
      <c r="H327" s="47" t="n">
        <f aca="false">IF(G327="","",(Orders!G327-G327)/Orders!G327)</f>
        <v>0.306906077348066</v>
      </c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</row>
    <row r="328" customFormat="false" ht="15" hidden="false" customHeight="false" outlineLevel="0" collapsed="false">
      <c r="A328" s="46" t="str">
        <f aca="false">Orders!A328</f>
        <v>ORD-00327</v>
      </c>
      <c r="B328" s="46" t="str">
        <f aca="false">PROPER(TRIM(Orders!K328))</f>
        <v>Hyderabad</v>
      </c>
      <c r="C328" s="46" t="str">
        <f aca="false">IFERROR(VLOOKUP(Orders!D328,Products!$A$2:$F$61,3,FALSE()),"Not Found")</f>
        <v>Beauty</v>
      </c>
      <c r="D328" s="46" t="str">
        <f aca="false">IFERROR(VLOOKUP(Orders!C328,Customers!$A$2:$F$301,5,FALSE()),"Not Found")</f>
        <v>Corporate</v>
      </c>
      <c r="E328" s="46" t="n">
        <f aca="false">IFERROR(VLOOKUP(Orders!C328,Customers!$A$2:$F$301,3,FALSE()),"Not Found")</f>
        <v>43</v>
      </c>
      <c r="F328" s="46" t="str">
        <f aca="false">IFERROR(VLOOKUP(Orders!E328,Sales_Reps!$A$2:$E$31,3,FALSE()),"Not Found")</f>
        <v>North</v>
      </c>
      <c r="G328" s="46" t="n">
        <f aca="false">IFERROR(VLOOKUP(Orders!D328,Products!$A$2:$F$61,4,FALSE()),"")</f>
        <v>2617</v>
      </c>
      <c r="H328" s="47" t="n">
        <f aca="false">IF(G328="","",(Orders!G328-G328)/Orders!G328)</f>
        <v>0.569572368421053</v>
      </c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</row>
    <row r="329" customFormat="false" ht="15" hidden="false" customHeight="false" outlineLevel="0" collapsed="false">
      <c r="A329" s="46" t="str">
        <f aca="false">Orders!A329</f>
        <v>ORD-00328</v>
      </c>
      <c r="B329" s="46" t="str">
        <f aca="false">PROPER(TRIM(Orders!K329))</f>
        <v>Chennai</v>
      </c>
      <c r="C329" s="46" t="str">
        <f aca="false">IFERROR(VLOOKUP(Orders!D329,Products!$A$2:$F$61,3,FALSE()),"Not Found")</f>
        <v>Apparel</v>
      </c>
      <c r="D329" s="46" t="str">
        <f aca="false">IFERROR(VLOOKUP(Orders!C329,Customers!$A$2:$F$301,5,FALSE()),"Not Found")</f>
        <v>Retail</v>
      </c>
      <c r="E329" s="46" t="n">
        <f aca="false">IFERROR(VLOOKUP(Orders!C329,Customers!$A$2:$F$301,3,FALSE()),"Not Found")</f>
        <v>26</v>
      </c>
      <c r="F329" s="46" t="str">
        <f aca="false">IFERROR(VLOOKUP(Orders!E329,Sales_Reps!$A$2:$E$31,3,FALSE()),"Not Found")</f>
        <v>East</v>
      </c>
      <c r="G329" s="46" t="n">
        <f aca="false">IFERROR(VLOOKUP(Orders!D329,Products!$A$2:$F$61,4,FALSE()),"")</f>
        <v>391</v>
      </c>
      <c r="H329" s="47" t="n">
        <f aca="false">IF(G329="","",(Orders!G329-G329)/Orders!G329)</f>
        <v>0.523170731707317</v>
      </c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</row>
    <row r="330" customFormat="false" ht="15" hidden="false" customHeight="false" outlineLevel="0" collapsed="false">
      <c r="A330" s="46" t="str">
        <f aca="false">Orders!A330</f>
        <v>ORD-00329</v>
      </c>
      <c r="B330" s="46" t="str">
        <f aca="false">PROPER(TRIM(Orders!K330))</f>
        <v>Mumbai</v>
      </c>
      <c r="C330" s="46" t="str">
        <f aca="false">IFERROR(VLOOKUP(Orders!D330,Products!$A$2:$F$61,3,FALSE()),"Not Found")</f>
        <v>Beauty</v>
      </c>
      <c r="D330" s="46" t="str">
        <f aca="false">IFERROR(VLOOKUP(Orders!C330,Customers!$A$2:$F$301,5,FALSE()),"Not Found")</f>
        <v>Corporate</v>
      </c>
      <c r="E330" s="46" t="n">
        <f aca="false">IFERROR(VLOOKUP(Orders!C330,Customers!$A$2:$F$301,3,FALSE()),"Not Found")</f>
        <v>51</v>
      </c>
      <c r="F330" s="46" t="str">
        <f aca="false">IFERROR(VLOOKUP(Orders!E330,Sales_Reps!$A$2:$E$31,3,FALSE()),"Not Found")</f>
        <v>West</v>
      </c>
      <c r="G330" s="46" t="n">
        <f aca="false">IFERROR(VLOOKUP(Orders!D330,Products!$A$2:$F$61,4,FALSE()),"")</f>
        <v>1626</v>
      </c>
      <c r="H330" s="47" t="n">
        <f aca="false">IF(G330="","",(Orders!G330-G330)/Orders!G330)</f>
        <v>0.46158940397351</v>
      </c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</row>
    <row r="331" customFormat="false" ht="15" hidden="false" customHeight="false" outlineLevel="0" collapsed="false">
      <c r="A331" s="46" t="str">
        <f aca="false">Orders!A331</f>
        <v>ORD-00330</v>
      </c>
      <c r="B331" s="46" t="str">
        <f aca="false">PROPER(TRIM(Orders!K331))</f>
        <v>Delhi</v>
      </c>
      <c r="C331" s="46" t="str">
        <f aca="false">IFERROR(VLOOKUP(Orders!D331,Products!$A$2:$F$61,3,FALSE()),"Not Found")</f>
        <v>Electronics</v>
      </c>
      <c r="D331" s="46" t="str">
        <f aca="false">IFERROR(VLOOKUP(Orders!C331,Customers!$A$2:$F$301,5,FALSE()),"Not Found")</f>
        <v>Retail</v>
      </c>
      <c r="E331" s="46" t="n">
        <f aca="false">IFERROR(VLOOKUP(Orders!C331,Customers!$A$2:$F$301,3,FALSE()),"Not Found")</f>
        <v>24</v>
      </c>
      <c r="F331" s="46" t="str">
        <f aca="false">IFERROR(VLOOKUP(Orders!E331,Sales_Reps!$A$2:$E$31,3,FALSE()),"Not Found")</f>
        <v>West</v>
      </c>
      <c r="G331" s="46" t="n">
        <f aca="false">IFERROR(VLOOKUP(Orders!D331,Products!$A$2:$F$61,4,FALSE()),"")</f>
        <v>1559</v>
      </c>
      <c r="H331" s="47" t="n">
        <f aca="false">IF(G331="","",(Orders!G331-G331)/Orders!G331)</f>
        <v>0.597157622739018</v>
      </c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</row>
    <row r="332" customFormat="false" ht="15" hidden="false" customHeight="false" outlineLevel="0" collapsed="false">
      <c r="A332" s="46" t="str">
        <f aca="false">Orders!A332</f>
        <v>ORD-00331</v>
      </c>
      <c r="B332" s="46" t="str">
        <f aca="false">PROPER(TRIM(Orders!K332))</f>
        <v>Pune</v>
      </c>
      <c r="C332" s="46" t="str">
        <f aca="false">IFERROR(VLOOKUP(Orders!D332,Products!$A$2:$F$61,3,FALSE()),"Not Found")</f>
        <v>Beauty</v>
      </c>
      <c r="D332" s="46" t="str">
        <f aca="false">IFERROR(VLOOKUP(Orders!C332,Customers!$A$2:$F$301,5,FALSE()),"Not Found")</f>
        <v>SMB</v>
      </c>
      <c r="E332" s="46" t="n">
        <f aca="false">IFERROR(VLOOKUP(Orders!C332,Customers!$A$2:$F$301,3,FALSE()),"Not Found")</f>
        <v>30</v>
      </c>
      <c r="F332" s="46" t="str">
        <f aca="false">IFERROR(VLOOKUP(Orders!E332,Sales_Reps!$A$2:$E$31,3,FALSE()),"Not Found")</f>
        <v>West</v>
      </c>
      <c r="G332" s="46" t="n">
        <f aca="false">IFERROR(VLOOKUP(Orders!D332,Products!$A$2:$F$61,4,FALSE()),"")</f>
        <v>2420</v>
      </c>
      <c r="H332" s="47" t="n">
        <f aca="false">IF(G332="","",(Orders!G332-G332)/Orders!G332)</f>
        <v>0.298550724637681</v>
      </c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</row>
    <row r="333" customFormat="false" ht="15" hidden="false" customHeight="false" outlineLevel="0" collapsed="false">
      <c r="A333" s="46" t="str">
        <f aca="false">Orders!A333</f>
        <v>ORD-00332</v>
      </c>
      <c r="B333" s="46" t="str">
        <f aca="false">PROPER(TRIM(Orders!K333))</f>
        <v>Chennai</v>
      </c>
      <c r="C333" s="46" t="str">
        <f aca="false">IFERROR(VLOOKUP(Orders!D333,Products!$A$2:$F$61,3,FALSE()),"Not Found")</f>
        <v>Beauty</v>
      </c>
      <c r="D333" s="46" t="str">
        <f aca="false">IFERROR(VLOOKUP(Orders!C333,Customers!$A$2:$F$301,5,FALSE()),"Not Found")</f>
        <v>Retail</v>
      </c>
      <c r="E333" s="46" t="n">
        <f aca="false">IFERROR(VLOOKUP(Orders!C333,Customers!$A$2:$F$301,3,FALSE()),"Not Found")</f>
        <v>24</v>
      </c>
      <c r="F333" s="46" t="str">
        <f aca="false">IFERROR(VLOOKUP(Orders!E333,Sales_Reps!$A$2:$E$31,3,FALSE()),"Not Found")</f>
        <v>North</v>
      </c>
      <c r="G333" s="46" t="n">
        <f aca="false">IFERROR(VLOOKUP(Orders!D333,Products!$A$2:$F$61,4,FALSE()),"")</f>
        <v>2237</v>
      </c>
      <c r="H333" s="47" t="n">
        <f aca="false">IF(G333="","",(Orders!G333-G333)/Orders!G333)</f>
        <v>0.561372549019608</v>
      </c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</row>
    <row r="334" customFormat="false" ht="15" hidden="false" customHeight="false" outlineLevel="0" collapsed="false">
      <c r="A334" s="46" t="str">
        <f aca="false">Orders!A334</f>
        <v>ORD-00333</v>
      </c>
      <c r="B334" s="46" t="str">
        <f aca="false">PROPER(TRIM(Orders!K334))</f>
        <v>Delhi</v>
      </c>
      <c r="C334" s="46" t="str">
        <f aca="false">IFERROR(VLOOKUP(Orders!D334,Products!$A$2:$F$61,3,FALSE()),"Not Found")</f>
        <v>Grocery</v>
      </c>
      <c r="D334" s="46" t="str">
        <f aca="false">IFERROR(VLOOKUP(Orders!C334,Customers!$A$2:$F$301,5,FALSE()),"Not Found")</f>
        <v>SMB</v>
      </c>
      <c r="E334" s="46" t="n">
        <f aca="false">IFERROR(VLOOKUP(Orders!C334,Customers!$A$2:$F$301,3,FALSE()),"Not Found")</f>
        <v>53</v>
      </c>
      <c r="F334" s="46" t="str">
        <f aca="false">IFERROR(VLOOKUP(Orders!E334,Sales_Reps!$A$2:$E$31,3,FALSE()),"Not Found")</f>
        <v>North</v>
      </c>
      <c r="G334" s="46" t="n">
        <f aca="false">IFERROR(VLOOKUP(Orders!D334,Products!$A$2:$F$61,4,FALSE()),"")</f>
        <v>2027</v>
      </c>
      <c r="H334" s="47" t="n">
        <f aca="false">IF(G334="","",(Orders!G334-G334)/Orders!G334)</f>
        <v>0.501965601965602</v>
      </c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</row>
    <row r="335" customFormat="false" ht="15" hidden="false" customHeight="false" outlineLevel="0" collapsed="false">
      <c r="A335" s="46" t="str">
        <f aca="false">Orders!A335</f>
        <v>ORD-00334</v>
      </c>
      <c r="B335" s="46" t="str">
        <f aca="false">PROPER(TRIM(Orders!K335))</f>
        <v>Pune</v>
      </c>
      <c r="C335" s="46" t="str">
        <f aca="false">IFERROR(VLOOKUP(Orders!D335,Products!$A$2:$F$61,3,FALSE()),"Not Found")</f>
        <v>Electronics</v>
      </c>
      <c r="D335" s="46" t="str">
        <f aca="false">IFERROR(VLOOKUP(Orders!C335,Customers!$A$2:$F$301,5,FALSE()),"Not Found")</f>
        <v>SMB</v>
      </c>
      <c r="E335" s="46" t="n">
        <f aca="false">IFERROR(VLOOKUP(Orders!C335,Customers!$A$2:$F$301,3,FALSE()),"Not Found")</f>
        <v>35</v>
      </c>
      <c r="F335" s="46" t="str">
        <f aca="false">IFERROR(VLOOKUP(Orders!E335,Sales_Reps!$A$2:$E$31,3,FALSE()),"Not Found")</f>
        <v>North</v>
      </c>
      <c r="G335" s="46" t="n">
        <f aca="false">IFERROR(VLOOKUP(Orders!D335,Products!$A$2:$F$61,4,FALSE()),"")</f>
        <v>2405</v>
      </c>
      <c r="H335" s="47" t="n">
        <f aca="false">IF(G335="","",(Orders!G335-G335)/Orders!G335)</f>
        <v>0.548780487804878</v>
      </c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</row>
    <row r="336" customFormat="false" ht="15" hidden="false" customHeight="false" outlineLevel="0" collapsed="false">
      <c r="A336" s="46" t="str">
        <f aca="false">Orders!A336</f>
        <v>ORD-00335</v>
      </c>
      <c r="B336" s="46" t="str">
        <f aca="false">PROPER(TRIM(Orders!K336))</f>
        <v>Pune</v>
      </c>
      <c r="C336" s="46" t="str">
        <f aca="false">IFERROR(VLOOKUP(Orders!D336,Products!$A$2:$F$61,3,FALSE()),"Not Found")</f>
        <v>Grocery</v>
      </c>
      <c r="D336" s="46" t="str">
        <f aca="false">IFERROR(VLOOKUP(Orders!C336,Customers!$A$2:$F$301,5,FALSE()),"Not Found")</f>
        <v>Retail</v>
      </c>
      <c r="E336" s="46" t="n">
        <f aca="false">IFERROR(VLOOKUP(Orders!C336,Customers!$A$2:$F$301,3,FALSE()),"Not Found")</f>
        <v>48</v>
      </c>
      <c r="F336" s="46" t="str">
        <f aca="false">IFERROR(VLOOKUP(Orders!E336,Sales_Reps!$A$2:$E$31,3,FALSE()),"Not Found")</f>
        <v>East</v>
      </c>
      <c r="G336" s="46" t="n">
        <f aca="false">IFERROR(VLOOKUP(Orders!D336,Products!$A$2:$F$61,4,FALSE()),"")</f>
        <v>1203</v>
      </c>
      <c r="H336" s="47" t="n">
        <f aca="false">IF(G336="","",(Orders!G336-G336)/Orders!G336)</f>
        <v>0.470044052863436</v>
      </c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</row>
    <row r="337" customFormat="false" ht="15" hidden="false" customHeight="false" outlineLevel="0" collapsed="false">
      <c r="A337" s="46" t="str">
        <f aca="false">Orders!A337</f>
        <v>ORD-00336</v>
      </c>
      <c r="B337" s="46" t="str">
        <f aca="false">PROPER(TRIM(Orders!K337))</f>
        <v>Pune</v>
      </c>
      <c r="C337" s="46" t="str">
        <f aca="false">IFERROR(VLOOKUP(Orders!D337,Products!$A$2:$F$61,3,FALSE()),"Not Found")</f>
        <v>Apparel</v>
      </c>
      <c r="D337" s="46" t="str">
        <f aca="false">IFERROR(VLOOKUP(Orders!C337,Customers!$A$2:$F$301,5,FALSE()),"Not Found")</f>
        <v>SMB</v>
      </c>
      <c r="E337" s="46" t="n">
        <f aca="false">IFERROR(VLOOKUP(Orders!C337,Customers!$A$2:$F$301,3,FALSE()),"Not Found")</f>
        <v>39</v>
      </c>
      <c r="F337" s="46" t="str">
        <f aca="false">IFERROR(VLOOKUP(Orders!E337,Sales_Reps!$A$2:$E$31,3,FALSE()),"Not Found")</f>
        <v>West</v>
      </c>
      <c r="G337" s="46" t="n">
        <f aca="false">IFERROR(VLOOKUP(Orders!D337,Products!$A$2:$F$61,4,FALSE()),"")</f>
        <v>1075</v>
      </c>
      <c r="H337" s="47" t="n">
        <f aca="false">IF(G337="","",(Orders!G337-G337)/Orders!G337)</f>
        <v>0.571713147410359</v>
      </c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</row>
    <row r="338" customFormat="false" ht="15" hidden="false" customHeight="false" outlineLevel="0" collapsed="false">
      <c r="A338" s="46" t="str">
        <f aca="false">Orders!A338</f>
        <v>ORD-00337</v>
      </c>
      <c r="B338" s="46" t="str">
        <f aca="false">PROPER(TRIM(Orders!K338))</f>
        <v>Delhi</v>
      </c>
      <c r="C338" s="46" t="str">
        <f aca="false">IFERROR(VLOOKUP(Orders!D338,Products!$A$2:$F$61,3,FALSE()),"Not Found")</f>
        <v>Grocery</v>
      </c>
      <c r="D338" s="46" t="str">
        <f aca="false">IFERROR(VLOOKUP(Orders!C338,Customers!$A$2:$F$301,5,FALSE()),"Not Found")</f>
        <v>Retail</v>
      </c>
      <c r="E338" s="46" t="n">
        <f aca="false">IFERROR(VLOOKUP(Orders!C338,Customers!$A$2:$F$301,3,FALSE()),"Not Found")</f>
        <v>40</v>
      </c>
      <c r="F338" s="46" t="str">
        <f aca="false">IFERROR(VLOOKUP(Orders!E338,Sales_Reps!$A$2:$E$31,3,FALSE()),"Not Found")</f>
        <v>East</v>
      </c>
      <c r="G338" s="46" t="n">
        <f aca="false">IFERROR(VLOOKUP(Orders!D338,Products!$A$2:$F$61,4,FALSE()),"")</f>
        <v>1182</v>
      </c>
      <c r="H338" s="47" t="n">
        <f aca="false">IF(G338="","",(Orders!G338-G338)/Orders!G338)</f>
        <v>0.503361344537815</v>
      </c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</row>
    <row r="339" customFormat="false" ht="15" hidden="false" customHeight="false" outlineLevel="0" collapsed="false">
      <c r="A339" s="46" t="str">
        <f aca="false">Orders!A339</f>
        <v>ORD-00338</v>
      </c>
      <c r="B339" s="46" t="str">
        <f aca="false">PROPER(TRIM(Orders!K339))</f>
        <v>Delhi</v>
      </c>
      <c r="C339" s="46" t="str">
        <f aca="false">IFERROR(VLOOKUP(Orders!D339,Products!$A$2:$F$61,3,FALSE()),"Not Found")</f>
        <v>Apparel</v>
      </c>
      <c r="D339" s="46" t="str">
        <f aca="false">IFERROR(VLOOKUP(Orders!C339,Customers!$A$2:$F$301,5,FALSE()),"Not Found")</f>
        <v>SMB</v>
      </c>
      <c r="E339" s="46" t="n">
        <f aca="false">IFERROR(VLOOKUP(Orders!C339,Customers!$A$2:$F$301,3,FALSE()),"Not Found")</f>
        <v>26</v>
      </c>
      <c r="F339" s="46" t="str">
        <f aca="false">IFERROR(VLOOKUP(Orders!E339,Sales_Reps!$A$2:$E$31,3,FALSE()),"Not Found")</f>
        <v>North</v>
      </c>
      <c r="G339" s="46" t="n">
        <f aca="false">IFERROR(VLOOKUP(Orders!D339,Products!$A$2:$F$61,4,FALSE()),"")</f>
        <v>1748</v>
      </c>
      <c r="H339" s="47" t="n">
        <f aca="false">IF(G339="","",(Orders!G339-G339)/Orders!G339)</f>
        <v>0.493333333333333</v>
      </c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</row>
    <row r="340" customFormat="false" ht="15" hidden="false" customHeight="false" outlineLevel="0" collapsed="false">
      <c r="A340" s="46" t="str">
        <f aca="false">Orders!A340</f>
        <v>ORD-00339</v>
      </c>
      <c r="B340" s="46" t="str">
        <f aca="false">PROPER(TRIM(Orders!K340))</f>
        <v>Bengaluru</v>
      </c>
      <c r="C340" s="46" t="str">
        <f aca="false">IFERROR(VLOOKUP(Orders!D340,Products!$A$2:$F$61,3,FALSE()),"Not Found")</f>
        <v>Electronics</v>
      </c>
      <c r="D340" s="46" t="str">
        <f aca="false">IFERROR(VLOOKUP(Orders!C340,Customers!$A$2:$F$301,5,FALSE()),"Not Found")</f>
        <v>Corporate</v>
      </c>
      <c r="E340" s="46" t="n">
        <f aca="false">IFERROR(VLOOKUP(Orders!C340,Customers!$A$2:$F$301,3,FALSE()),"Not Found")</f>
        <v>57</v>
      </c>
      <c r="F340" s="46" t="str">
        <f aca="false">IFERROR(VLOOKUP(Orders!E340,Sales_Reps!$A$2:$E$31,3,FALSE()),"Not Found")</f>
        <v>North</v>
      </c>
      <c r="G340" s="46" t="n">
        <f aca="false">IFERROR(VLOOKUP(Orders!D340,Products!$A$2:$F$61,4,FALSE()),"")</f>
        <v>1665</v>
      </c>
      <c r="H340" s="47" t="n">
        <f aca="false">IF(G340="","",(Orders!G340-G340)/Orders!G340)</f>
        <v>0.533613445378151</v>
      </c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</row>
    <row r="341" customFormat="false" ht="15" hidden="false" customHeight="false" outlineLevel="0" collapsed="false">
      <c r="A341" s="46" t="str">
        <f aca="false">Orders!A341</f>
        <v>ORD-00340</v>
      </c>
      <c r="B341" s="46" t="str">
        <f aca="false">PROPER(TRIM(Orders!K341))</f>
        <v>Hyderabad</v>
      </c>
      <c r="C341" s="46" t="str">
        <f aca="false">IFERROR(VLOOKUP(Orders!D341,Products!$A$2:$F$61,3,FALSE()),"Not Found")</f>
        <v>Electronics</v>
      </c>
      <c r="D341" s="46" t="str">
        <f aca="false">IFERROR(VLOOKUP(Orders!C341,Customers!$A$2:$F$301,5,FALSE()),"Not Found")</f>
        <v>Retail</v>
      </c>
      <c r="E341" s="46" t="n">
        <f aca="false">IFERROR(VLOOKUP(Orders!C341,Customers!$A$2:$F$301,3,FALSE()),"Not Found")</f>
        <v>27</v>
      </c>
      <c r="F341" s="46" t="str">
        <f aca="false">IFERROR(VLOOKUP(Orders!E341,Sales_Reps!$A$2:$E$31,3,FALSE()),"Not Found")</f>
        <v>West</v>
      </c>
      <c r="G341" s="46" t="n">
        <f aca="false">IFERROR(VLOOKUP(Orders!D341,Products!$A$2:$F$61,4,FALSE()),"")</f>
        <v>2405</v>
      </c>
      <c r="H341" s="47" t="n">
        <f aca="false">IF(G341="","",(Orders!G341-G341)/Orders!G341)</f>
        <v>0.548780487804878</v>
      </c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</row>
    <row r="342" customFormat="false" ht="15" hidden="false" customHeight="false" outlineLevel="0" collapsed="false">
      <c r="A342" s="46" t="str">
        <f aca="false">Orders!A342</f>
        <v>ORD-00341</v>
      </c>
      <c r="B342" s="46" t="str">
        <f aca="false">PROPER(TRIM(Orders!K342))</f>
        <v>Mumbai</v>
      </c>
      <c r="C342" s="46" t="str">
        <f aca="false">IFERROR(VLOOKUP(Orders!D342,Products!$A$2:$F$61,3,FALSE()),"Not Found")</f>
        <v>Grocery</v>
      </c>
      <c r="D342" s="46" t="str">
        <f aca="false">IFERROR(VLOOKUP(Orders!C342,Customers!$A$2:$F$301,5,FALSE()),"Not Found")</f>
        <v>Retail</v>
      </c>
      <c r="E342" s="46" t="n">
        <f aca="false">IFERROR(VLOOKUP(Orders!C342,Customers!$A$2:$F$301,3,FALSE()),"Not Found")</f>
        <v>56</v>
      </c>
      <c r="F342" s="46" t="str">
        <f aca="false">IFERROR(VLOOKUP(Orders!E342,Sales_Reps!$A$2:$E$31,3,FALSE()),"Not Found")</f>
        <v>West</v>
      </c>
      <c r="G342" s="46" t="n">
        <f aca="false">IFERROR(VLOOKUP(Orders!D342,Products!$A$2:$F$61,4,FALSE()),"")</f>
        <v>2214</v>
      </c>
      <c r="H342" s="47" t="n">
        <f aca="false">IF(G342="","",(Orders!G342-G342)/Orders!G342)</f>
        <v>0.395081967213115</v>
      </c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</row>
    <row r="343" customFormat="false" ht="15" hidden="false" customHeight="false" outlineLevel="0" collapsed="false">
      <c r="A343" s="46" t="str">
        <f aca="false">Orders!A343</f>
        <v>ORD-00342</v>
      </c>
      <c r="B343" s="46" t="str">
        <f aca="false">PROPER(TRIM(Orders!K343))</f>
        <v>Mumbai</v>
      </c>
      <c r="C343" s="46" t="str">
        <f aca="false">IFERROR(VLOOKUP(Orders!D343,Products!$A$2:$F$61,3,FALSE()),"Not Found")</f>
        <v>Sports</v>
      </c>
      <c r="D343" s="46" t="str">
        <f aca="false">IFERROR(VLOOKUP(Orders!C343,Customers!$A$2:$F$301,5,FALSE()),"Not Found")</f>
        <v>Retail</v>
      </c>
      <c r="E343" s="46" t="n">
        <f aca="false">IFERROR(VLOOKUP(Orders!C343,Customers!$A$2:$F$301,3,FALSE()),"Not Found")</f>
        <v>35</v>
      </c>
      <c r="F343" s="46" t="str">
        <f aca="false">IFERROR(VLOOKUP(Orders!E343,Sales_Reps!$A$2:$E$31,3,FALSE()),"Not Found")</f>
        <v>South</v>
      </c>
      <c r="G343" s="46" t="n">
        <f aca="false">IFERROR(VLOOKUP(Orders!D343,Products!$A$2:$F$61,4,FALSE()),"")</f>
        <v>516</v>
      </c>
      <c r="H343" s="47" t="n">
        <f aca="false">IF(G343="","",(Orders!G343-G343)/Orders!G343)</f>
        <v>0.489108910891089</v>
      </c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</row>
    <row r="344" customFormat="false" ht="15" hidden="false" customHeight="false" outlineLevel="0" collapsed="false">
      <c r="A344" s="46" t="str">
        <f aca="false">Orders!A344</f>
        <v>ORD-00343</v>
      </c>
      <c r="B344" s="46" t="str">
        <f aca="false">PROPER(TRIM(Orders!K344))</f>
        <v>Delhi</v>
      </c>
      <c r="C344" s="46" t="str">
        <f aca="false">IFERROR(VLOOKUP(Orders!D344,Products!$A$2:$F$61,3,FALSE()),"Not Found")</f>
        <v>Home</v>
      </c>
      <c r="D344" s="46" t="str">
        <f aca="false">IFERROR(VLOOKUP(Orders!C344,Customers!$A$2:$F$301,5,FALSE()),"Not Found")</f>
        <v>SMB</v>
      </c>
      <c r="E344" s="46" t="n">
        <f aca="false">IFERROR(VLOOKUP(Orders!C344,Customers!$A$2:$F$301,3,FALSE()),"Not Found")</f>
        <v>48</v>
      </c>
      <c r="F344" s="46" t="str">
        <f aca="false">IFERROR(VLOOKUP(Orders!E344,Sales_Reps!$A$2:$E$31,3,FALSE()),"Not Found")</f>
        <v>South</v>
      </c>
      <c r="G344" s="46" t="n">
        <f aca="false">IFERROR(VLOOKUP(Orders!D344,Products!$A$2:$F$61,4,FALSE()),"")</f>
        <v>519</v>
      </c>
      <c r="H344" s="47" t="n">
        <f aca="false">IF(G344="","",(Orders!G344-G344)/Orders!G344)</f>
        <v>0.519444444444445</v>
      </c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</row>
    <row r="345" customFormat="false" ht="15" hidden="false" customHeight="false" outlineLevel="0" collapsed="false">
      <c r="A345" s="46" t="str">
        <f aca="false">Orders!A345</f>
        <v>ORD-00344</v>
      </c>
      <c r="B345" s="46" t="str">
        <f aca="false">PROPER(TRIM(Orders!K345))</f>
        <v>Pune</v>
      </c>
      <c r="C345" s="46" t="str">
        <f aca="false">IFERROR(VLOOKUP(Orders!D345,Products!$A$2:$F$61,3,FALSE()),"Not Found")</f>
        <v>Sports</v>
      </c>
      <c r="D345" s="46" t="str">
        <f aca="false">IFERROR(VLOOKUP(Orders!C345,Customers!$A$2:$F$301,5,FALSE()),"Not Found")</f>
        <v>Retail</v>
      </c>
      <c r="E345" s="46" t="n">
        <f aca="false">IFERROR(VLOOKUP(Orders!C345,Customers!$A$2:$F$301,3,FALSE()),"Not Found")</f>
        <v>22</v>
      </c>
      <c r="F345" s="46" t="str">
        <f aca="false">IFERROR(VLOOKUP(Orders!E345,Sales_Reps!$A$2:$E$31,3,FALSE()),"Not Found")</f>
        <v>South</v>
      </c>
      <c r="G345" s="46" t="n">
        <f aca="false">IFERROR(VLOOKUP(Orders!D345,Products!$A$2:$F$61,4,FALSE()),"")</f>
        <v>2467</v>
      </c>
      <c r="H345" s="47" t="n">
        <f aca="false">IF(G345="","",(Orders!G345-G345)/Orders!G345)</f>
        <v>0.284927536231884</v>
      </c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</row>
    <row r="346" customFormat="false" ht="15" hidden="false" customHeight="false" outlineLevel="0" collapsed="false">
      <c r="A346" s="46" t="str">
        <f aca="false">Orders!A346</f>
        <v>ORD-00593</v>
      </c>
      <c r="B346" s="46" t="str">
        <f aca="false">PROPER(TRIM(Orders!K346))</f>
        <v>Mumbai</v>
      </c>
      <c r="C346" s="46" t="str">
        <f aca="false">IFERROR(VLOOKUP(Orders!D346,Products!$A$2:$F$61,3,FALSE()),"Not Found")</f>
        <v>Sports</v>
      </c>
      <c r="D346" s="46" t="str">
        <f aca="false">IFERROR(VLOOKUP(Orders!C346,Customers!$A$2:$F$301,5,FALSE()),"Not Found")</f>
        <v>Retail</v>
      </c>
      <c r="E346" s="46" t="n">
        <f aca="false">IFERROR(VLOOKUP(Orders!C346,Customers!$A$2:$F$301,3,FALSE()),"Not Found")</f>
        <v>42</v>
      </c>
      <c r="F346" s="46" t="str">
        <f aca="false">IFERROR(VLOOKUP(Orders!E346,Sales_Reps!$A$2:$E$31,3,FALSE()),"Not Found")</f>
        <v>South</v>
      </c>
      <c r="G346" s="46" t="n">
        <f aca="false">IFERROR(VLOOKUP(Orders!D346,Products!$A$2:$F$61,4,FALSE()),"")</f>
        <v>2827</v>
      </c>
      <c r="H346" s="47" t="n">
        <f aca="false">IF(G346="","",(Orders!G346-G346)/Orders!G346)</f>
        <v>0.592651296829971</v>
      </c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</row>
    <row r="347" customFormat="false" ht="15" hidden="false" customHeight="false" outlineLevel="0" collapsed="false">
      <c r="A347" s="46" t="str">
        <f aca="false">Orders!A347</f>
        <v>ORD-00346</v>
      </c>
      <c r="B347" s="46" t="str">
        <f aca="false">PROPER(TRIM(Orders!K347))</f>
        <v>Pune</v>
      </c>
      <c r="C347" s="46" t="str">
        <f aca="false">IFERROR(VLOOKUP(Orders!D347,Products!$A$2:$F$61,3,FALSE()),"Not Found")</f>
        <v>Beauty</v>
      </c>
      <c r="D347" s="46" t="str">
        <f aca="false">IFERROR(VLOOKUP(Orders!C347,Customers!$A$2:$F$301,5,FALSE()),"Not Found")</f>
        <v>Retail</v>
      </c>
      <c r="E347" s="46" t="n">
        <f aca="false">IFERROR(VLOOKUP(Orders!C347,Customers!$A$2:$F$301,3,FALSE()),"Not Found")</f>
        <v>54</v>
      </c>
      <c r="F347" s="46" t="str">
        <f aca="false">IFERROR(VLOOKUP(Orders!E347,Sales_Reps!$A$2:$E$31,3,FALSE()),"Not Found")</f>
        <v>North</v>
      </c>
      <c r="G347" s="46" t="n">
        <f aca="false">IFERROR(VLOOKUP(Orders!D347,Products!$A$2:$F$61,4,FALSE()),"")</f>
        <v>647</v>
      </c>
      <c r="H347" s="47" t="n">
        <f aca="false">IF(G347="","",(Orders!G347-G347)/Orders!G347)</f>
        <v>0.57987012987013</v>
      </c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</row>
    <row r="348" customFormat="false" ht="15" hidden="false" customHeight="false" outlineLevel="0" collapsed="false">
      <c r="A348" s="46" t="str">
        <f aca="false">Orders!A348</f>
        <v>ORD-00347</v>
      </c>
      <c r="B348" s="46" t="str">
        <f aca="false">PROPER(TRIM(Orders!K348))</f>
        <v>Pune</v>
      </c>
      <c r="C348" s="46" t="str">
        <f aca="false">IFERROR(VLOOKUP(Orders!D348,Products!$A$2:$F$61,3,FALSE()),"Not Found")</f>
        <v>Electronics</v>
      </c>
      <c r="D348" s="46" t="str">
        <f aca="false">IFERROR(VLOOKUP(Orders!C348,Customers!$A$2:$F$301,5,FALSE()),"Not Found")</f>
        <v>Corporate</v>
      </c>
      <c r="E348" s="46" t="n">
        <f aca="false">IFERROR(VLOOKUP(Orders!C348,Customers!$A$2:$F$301,3,FALSE()),"Not Found")</f>
        <v>47</v>
      </c>
      <c r="F348" s="46" t="str">
        <f aca="false">IFERROR(VLOOKUP(Orders!E348,Sales_Reps!$A$2:$E$31,3,FALSE()),"Not Found")</f>
        <v>South</v>
      </c>
      <c r="G348" s="46" t="n">
        <f aca="false">IFERROR(VLOOKUP(Orders!D348,Products!$A$2:$F$61,4,FALSE()),"")</f>
        <v>1149</v>
      </c>
      <c r="H348" s="47" t="n">
        <f aca="false">IF(G348="","",(Orders!G348-G348)/Orders!G348)</f>
        <v>0.564772727272727</v>
      </c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</row>
    <row r="349" customFormat="false" ht="15" hidden="false" customHeight="false" outlineLevel="0" collapsed="false">
      <c r="A349" s="46" t="str">
        <f aca="false">Orders!A349</f>
        <v>ORD-00348</v>
      </c>
      <c r="B349" s="46" t="str">
        <f aca="false">PROPER(TRIM(Orders!K349))</f>
        <v>Pune</v>
      </c>
      <c r="C349" s="46" t="str">
        <f aca="false">IFERROR(VLOOKUP(Orders!D349,Products!$A$2:$F$61,3,FALSE()),"Not Found")</f>
        <v>Sports</v>
      </c>
      <c r="D349" s="46" t="str">
        <f aca="false">IFERROR(VLOOKUP(Orders!C349,Customers!$A$2:$F$301,5,FALSE()),"Not Found")</f>
        <v>Retail</v>
      </c>
      <c r="E349" s="46" t="n">
        <f aca="false">IFERROR(VLOOKUP(Orders!C349,Customers!$A$2:$F$301,3,FALSE()),"Not Found")</f>
        <v>36</v>
      </c>
      <c r="F349" s="46" t="str">
        <f aca="false">IFERROR(VLOOKUP(Orders!E349,Sales_Reps!$A$2:$E$31,3,FALSE()),"Not Found")</f>
        <v>West</v>
      </c>
      <c r="G349" s="46" t="n">
        <f aca="false">IFERROR(VLOOKUP(Orders!D349,Products!$A$2:$F$61,4,FALSE()),"")</f>
        <v>2265</v>
      </c>
      <c r="H349" s="47" t="n">
        <f aca="false">IF(G349="","",(Orders!G349-G349)/Orders!G349)</f>
        <v>0.581330868761553</v>
      </c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</row>
    <row r="350" customFormat="false" ht="15" hidden="false" customHeight="false" outlineLevel="0" collapsed="false">
      <c r="A350" s="46" t="str">
        <f aca="false">Orders!A350</f>
        <v>ORD-00349</v>
      </c>
      <c r="B350" s="46" t="str">
        <f aca="false">PROPER(TRIM(Orders!K350))</f>
        <v>Delhi</v>
      </c>
      <c r="C350" s="46" t="str">
        <f aca="false">IFERROR(VLOOKUP(Orders!D350,Products!$A$2:$F$61,3,FALSE()),"Not Found")</f>
        <v>Electronics</v>
      </c>
      <c r="D350" s="46" t="str">
        <f aca="false">IFERROR(VLOOKUP(Orders!C350,Customers!$A$2:$F$301,5,FALSE()),"Not Found")</f>
        <v>SMB</v>
      </c>
      <c r="E350" s="46" t="n">
        <f aca="false">IFERROR(VLOOKUP(Orders!C350,Customers!$A$2:$F$301,3,FALSE()),"Not Found")</f>
        <v>38</v>
      </c>
      <c r="F350" s="46" t="str">
        <f aca="false">IFERROR(VLOOKUP(Orders!E350,Sales_Reps!$A$2:$E$31,3,FALSE()),"Not Found")</f>
        <v>West</v>
      </c>
      <c r="G350" s="46" t="n">
        <f aca="false">IFERROR(VLOOKUP(Orders!D350,Products!$A$2:$F$61,4,FALSE()),"")</f>
        <v>1665</v>
      </c>
      <c r="H350" s="47" t="n">
        <f aca="false">IF(G350="","",(Orders!G350-G350)/Orders!G350)</f>
        <v>0.533613445378151</v>
      </c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</row>
    <row r="351" customFormat="false" ht="15" hidden="false" customHeight="false" outlineLevel="0" collapsed="false">
      <c r="A351" s="46" t="str">
        <f aca="false">Orders!A351</f>
        <v>ORD-00350</v>
      </c>
      <c r="B351" s="46" t="str">
        <f aca="false">PROPER(TRIM(Orders!K351))</f>
        <v>Hyderabad</v>
      </c>
      <c r="C351" s="46" t="str">
        <f aca="false">IFERROR(VLOOKUP(Orders!D351,Products!$A$2:$F$61,3,FALSE()),"Not Found")</f>
        <v>Home</v>
      </c>
      <c r="D351" s="46" t="str">
        <f aca="false">IFERROR(VLOOKUP(Orders!C351,Customers!$A$2:$F$301,5,FALSE()),"Not Found")</f>
        <v>SMB</v>
      </c>
      <c r="E351" s="46" t="n">
        <f aca="false">IFERROR(VLOOKUP(Orders!C351,Customers!$A$2:$F$301,3,FALSE()),"Not Found")</f>
        <v>29</v>
      </c>
      <c r="F351" s="46" t="str">
        <f aca="false">IFERROR(VLOOKUP(Orders!E351,Sales_Reps!$A$2:$E$31,3,FALSE()),"Not Found")</f>
        <v>West</v>
      </c>
      <c r="G351" s="46" t="n">
        <f aca="false">IFERROR(VLOOKUP(Orders!D351,Products!$A$2:$F$61,4,FALSE()),"")</f>
        <v>288</v>
      </c>
      <c r="H351" s="47" t="n">
        <f aca="false">IF(G351="","",(Orders!G351-G351)/Orders!G351)</f>
        <v>0.221621621621622</v>
      </c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</row>
    <row r="352" customFormat="false" ht="15" hidden="false" customHeight="false" outlineLevel="0" collapsed="false">
      <c r="A352" s="46" t="str">
        <f aca="false">Orders!A352</f>
        <v>ORD-00351</v>
      </c>
      <c r="B352" s="46" t="str">
        <f aca="false">PROPER(TRIM(Orders!K352))</f>
        <v>Mumbai</v>
      </c>
      <c r="C352" s="46" t="str">
        <f aca="false">IFERROR(VLOOKUP(Orders!D352,Products!$A$2:$F$61,3,FALSE()),"Not Found")</f>
        <v>Apparel</v>
      </c>
      <c r="D352" s="46" t="str">
        <f aca="false">IFERROR(VLOOKUP(Orders!C352,Customers!$A$2:$F$301,5,FALSE()),"Not Found")</f>
        <v>Retail</v>
      </c>
      <c r="E352" s="46" t="n">
        <f aca="false">IFERROR(VLOOKUP(Orders!C352,Customers!$A$2:$F$301,3,FALSE()),"Not Found")</f>
        <v>39</v>
      </c>
      <c r="F352" s="46" t="str">
        <f aca="false">IFERROR(VLOOKUP(Orders!E352,Sales_Reps!$A$2:$E$31,3,FALSE()),"Not Found")</f>
        <v>East</v>
      </c>
      <c r="G352" s="46" t="n">
        <f aca="false">IFERROR(VLOOKUP(Orders!D352,Products!$A$2:$F$61,4,FALSE()),"")</f>
        <v>1075</v>
      </c>
      <c r="H352" s="47" t="n">
        <f aca="false">IF(G352="","",(Orders!G352-G352)/Orders!G352)</f>
        <v>0.571713147410359</v>
      </c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</row>
    <row r="353" customFormat="false" ht="15" hidden="false" customHeight="false" outlineLevel="0" collapsed="false">
      <c r="A353" s="46" t="str">
        <f aca="false">Orders!A353</f>
        <v>ORD-00352</v>
      </c>
      <c r="B353" s="46" t="str">
        <f aca="false">PROPER(TRIM(Orders!K353))</f>
        <v>Hyderabad</v>
      </c>
      <c r="C353" s="46" t="str">
        <f aca="false">IFERROR(VLOOKUP(Orders!D353,Products!$A$2:$F$61,3,FALSE()),"Not Found")</f>
        <v>Apparel</v>
      </c>
      <c r="D353" s="46" t="str">
        <f aca="false">IFERROR(VLOOKUP(Orders!C353,Customers!$A$2:$F$301,5,FALSE()),"Not Found")</f>
        <v>Retail</v>
      </c>
      <c r="E353" s="46" t="n">
        <f aca="false">IFERROR(VLOOKUP(Orders!C353,Customers!$A$2:$F$301,3,FALSE()),"Not Found")</f>
        <v>64</v>
      </c>
      <c r="F353" s="46" t="str">
        <f aca="false">IFERROR(VLOOKUP(Orders!E353,Sales_Reps!$A$2:$E$31,3,FALSE()),"Not Found")</f>
        <v>East</v>
      </c>
      <c r="G353" s="46" t="n">
        <f aca="false">IFERROR(VLOOKUP(Orders!D353,Products!$A$2:$F$61,4,FALSE()),"")</f>
        <v>2611</v>
      </c>
      <c r="H353" s="47" t="n">
        <f aca="false">IF(G353="","",(Orders!G353-G353)/Orders!G353)</f>
        <v>0.282692307692308</v>
      </c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</row>
    <row r="354" customFormat="false" ht="15" hidden="false" customHeight="false" outlineLevel="0" collapsed="false">
      <c r="A354" s="46" t="str">
        <f aca="false">Orders!A354</f>
        <v>ORD-00353</v>
      </c>
      <c r="B354" s="46" t="str">
        <f aca="false">PROPER(TRIM(Orders!K354))</f>
        <v>Chennai</v>
      </c>
      <c r="C354" s="46" t="str">
        <f aca="false">IFERROR(VLOOKUP(Orders!D354,Products!$A$2:$F$61,3,FALSE()),"Not Found")</f>
        <v>Beauty</v>
      </c>
      <c r="D354" s="46" t="str">
        <f aca="false">IFERROR(VLOOKUP(Orders!C354,Customers!$A$2:$F$301,5,FALSE()),"Not Found")</f>
        <v>SMB</v>
      </c>
      <c r="E354" s="46" t="n">
        <f aca="false">IFERROR(VLOOKUP(Orders!C354,Customers!$A$2:$F$301,3,FALSE()),"Not Found")</f>
        <v>52</v>
      </c>
      <c r="F354" s="46" t="str">
        <f aca="false">IFERROR(VLOOKUP(Orders!E354,Sales_Reps!$A$2:$E$31,3,FALSE()),"Not Found")</f>
        <v>West</v>
      </c>
      <c r="G354" s="46" t="n">
        <f aca="false">IFERROR(VLOOKUP(Orders!D354,Products!$A$2:$F$61,4,FALSE()),"")</f>
        <v>1222</v>
      </c>
      <c r="H354" s="47" t="n">
        <f aca="false">IF(G354="","",(Orders!G354-G354)/Orders!G354)</f>
        <v>0.259393939393939</v>
      </c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</row>
    <row r="355" customFormat="false" ht="15" hidden="false" customHeight="false" outlineLevel="0" collapsed="false">
      <c r="A355" s="46" t="str">
        <f aca="false">Orders!A355</f>
        <v>ORD-00354</v>
      </c>
      <c r="B355" s="46" t="str">
        <f aca="false">PROPER(TRIM(Orders!K355))</f>
        <v>Chennai</v>
      </c>
      <c r="C355" s="46" t="str">
        <f aca="false">IFERROR(VLOOKUP(Orders!D355,Products!$A$2:$F$61,3,FALSE()),"Not Found")</f>
        <v>Beauty</v>
      </c>
      <c r="D355" s="46" t="str">
        <f aca="false">IFERROR(VLOOKUP(Orders!C355,Customers!$A$2:$F$301,5,FALSE()),"Not Found")</f>
        <v>Retail</v>
      </c>
      <c r="E355" s="46" t="n">
        <f aca="false">IFERROR(VLOOKUP(Orders!C355,Customers!$A$2:$F$301,3,FALSE()),"Not Found")</f>
        <v>60</v>
      </c>
      <c r="F355" s="46" t="str">
        <f aca="false">IFERROR(VLOOKUP(Orders!E355,Sales_Reps!$A$2:$E$31,3,FALSE()),"Not Found")</f>
        <v>West</v>
      </c>
      <c r="G355" s="46" t="n">
        <f aca="false">IFERROR(VLOOKUP(Orders!D355,Products!$A$2:$F$61,4,FALSE()),"")</f>
        <v>675</v>
      </c>
      <c r="H355" s="47" t="n">
        <f aca="false">IF(G355="","",(Orders!G355-G355)/Orders!G355)</f>
        <v>0.296875</v>
      </c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</row>
    <row r="356" customFormat="false" ht="15" hidden="false" customHeight="false" outlineLevel="0" collapsed="false">
      <c r="A356" s="46" t="str">
        <f aca="false">Orders!A356</f>
        <v>ORD-00355</v>
      </c>
      <c r="B356" s="46" t="str">
        <f aca="false">PROPER(TRIM(Orders!K356))</f>
        <v>Bengaluru</v>
      </c>
      <c r="C356" s="46" t="str">
        <f aca="false">IFERROR(VLOOKUP(Orders!D356,Products!$A$2:$F$61,3,FALSE()),"Not Found")</f>
        <v>Grocery</v>
      </c>
      <c r="D356" s="46" t="str">
        <f aca="false">IFERROR(VLOOKUP(Orders!C356,Customers!$A$2:$F$301,5,FALSE()),"Not Found")</f>
        <v>SMB</v>
      </c>
      <c r="E356" s="46" t="n">
        <f aca="false">IFERROR(VLOOKUP(Orders!C356,Customers!$A$2:$F$301,3,FALSE()),"Not Found")</f>
        <v>64</v>
      </c>
      <c r="F356" s="46" t="str">
        <f aca="false">IFERROR(VLOOKUP(Orders!E356,Sales_Reps!$A$2:$E$31,3,FALSE()),"Not Found")</f>
        <v>East</v>
      </c>
      <c r="G356" s="46" t="n">
        <f aca="false">IFERROR(VLOOKUP(Orders!D356,Products!$A$2:$F$61,4,FALSE()),"")</f>
        <v>2436</v>
      </c>
      <c r="H356" s="47" t="n">
        <f aca="false">IF(G356="","",(Orders!G356-G356)/Orders!G356)</f>
        <v>0.355555555555556</v>
      </c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</row>
    <row r="357" customFormat="false" ht="15" hidden="false" customHeight="false" outlineLevel="0" collapsed="false">
      <c r="A357" s="46" t="str">
        <f aca="false">Orders!A357</f>
        <v>ORD-00356</v>
      </c>
      <c r="B357" s="46" t="str">
        <f aca="false">PROPER(TRIM(Orders!K357))</f>
        <v>Chennai</v>
      </c>
      <c r="C357" s="46" t="str">
        <f aca="false">IFERROR(VLOOKUP(Orders!D357,Products!$A$2:$F$61,3,FALSE()),"Not Found")</f>
        <v>Beauty</v>
      </c>
      <c r="D357" s="46" t="str">
        <f aca="false">IFERROR(VLOOKUP(Orders!C357,Customers!$A$2:$F$301,5,FALSE()),"Not Found")</f>
        <v>SMB</v>
      </c>
      <c r="E357" s="46" t="n">
        <f aca="false">IFERROR(VLOOKUP(Orders!C357,Customers!$A$2:$F$301,3,FALSE()),"Not Found")</f>
        <v>52</v>
      </c>
      <c r="F357" s="46" t="str">
        <f aca="false">IFERROR(VLOOKUP(Orders!E357,Sales_Reps!$A$2:$E$31,3,FALSE()),"Not Found")</f>
        <v>South</v>
      </c>
      <c r="G357" s="46" t="n">
        <f aca="false">IFERROR(VLOOKUP(Orders!D357,Products!$A$2:$F$61,4,FALSE()),"")</f>
        <v>1222</v>
      </c>
      <c r="H357" s="47" t="n">
        <f aca="false">IF(G357="","",(Orders!G357-G357)/Orders!G357)</f>
        <v>0.259393939393939</v>
      </c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</row>
    <row r="358" customFormat="false" ht="15" hidden="false" customHeight="false" outlineLevel="0" collapsed="false">
      <c r="A358" s="46" t="str">
        <f aca="false">Orders!A358</f>
        <v>ORD-00357</v>
      </c>
      <c r="B358" s="46" t="str">
        <f aca="false">PROPER(TRIM(Orders!K358))</f>
        <v>Hyderabad</v>
      </c>
      <c r="C358" s="46" t="str">
        <f aca="false">IFERROR(VLOOKUP(Orders!D358,Products!$A$2:$F$61,3,FALSE()),"Not Found")</f>
        <v>Apparel</v>
      </c>
      <c r="D358" s="46" t="str">
        <f aca="false">IFERROR(VLOOKUP(Orders!C358,Customers!$A$2:$F$301,5,FALSE()),"Not Found")</f>
        <v>Retail</v>
      </c>
      <c r="E358" s="46" t="n">
        <f aca="false">IFERROR(VLOOKUP(Orders!C358,Customers!$A$2:$F$301,3,FALSE()),"Not Found")</f>
        <v>38</v>
      </c>
      <c r="F358" s="46" t="str">
        <f aca="false">IFERROR(VLOOKUP(Orders!E358,Sales_Reps!$A$2:$E$31,3,FALSE()),"Not Found")</f>
        <v>South</v>
      </c>
      <c r="G358" s="46" t="n">
        <f aca="false">IFERROR(VLOOKUP(Orders!D358,Products!$A$2:$F$61,4,FALSE()),"")</f>
        <v>2509</v>
      </c>
      <c r="H358" s="47" t="n">
        <f aca="false">IF(G358="","",(Orders!G358-G358)/Orders!G358)</f>
        <v>0.306906077348066</v>
      </c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</row>
    <row r="359" customFormat="false" ht="15" hidden="false" customHeight="false" outlineLevel="0" collapsed="false">
      <c r="A359" s="46" t="str">
        <f aca="false">Orders!A359</f>
        <v>ORD-00358</v>
      </c>
      <c r="B359" s="46" t="str">
        <f aca="false">PROPER(TRIM(Orders!K359))</f>
        <v>Delhi</v>
      </c>
      <c r="C359" s="46" t="str">
        <f aca="false">IFERROR(VLOOKUP(Orders!D359,Products!$A$2:$F$61,3,FALSE()),"Not Found")</f>
        <v>Grocery</v>
      </c>
      <c r="D359" s="46" t="str">
        <f aca="false">IFERROR(VLOOKUP(Orders!C359,Customers!$A$2:$F$301,5,FALSE()),"Not Found")</f>
        <v>SMB</v>
      </c>
      <c r="E359" s="46" t="n">
        <f aca="false">IFERROR(VLOOKUP(Orders!C359,Customers!$A$2:$F$301,3,FALSE()),"Not Found")</f>
        <v>59</v>
      </c>
      <c r="F359" s="46" t="str">
        <f aca="false">IFERROR(VLOOKUP(Orders!E359,Sales_Reps!$A$2:$E$31,3,FALSE()),"Not Found")</f>
        <v>West</v>
      </c>
      <c r="G359" s="46" t="n">
        <f aca="false">IFERROR(VLOOKUP(Orders!D359,Products!$A$2:$F$61,4,FALSE()),"")</f>
        <v>1412</v>
      </c>
      <c r="H359" s="47" t="n">
        <f aca="false">IF(G359="","",(Orders!G359-G359)/Orders!G359)</f>
        <v>0.377973568281938</v>
      </c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</row>
    <row r="360" customFormat="false" ht="15" hidden="false" customHeight="false" outlineLevel="0" collapsed="false">
      <c r="A360" s="46" t="str">
        <f aca="false">Orders!A360</f>
        <v>ORD-00359</v>
      </c>
      <c r="B360" s="46" t="str">
        <f aca="false">PROPER(TRIM(Orders!K360))</f>
        <v>Bengaluru</v>
      </c>
      <c r="C360" s="46" t="str">
        <f aca="false">IFERROR(VLOOKUP(Orders!D360,Products!$A$2:$F$61,3,FALSE()),"Not Found")</f>
        <v>Beauty</v>
      </c>
      <c r="D360" s="46" t="str">
        <f aca="false">IFERROR(VLOOKUP(Orders!C360,Customers!$A$2:$F$301,5,FALSE()),"Not Found")</f>
        <v>Retail</v>
      </c>
      <c r="E360" s="46" t="n">
        <f aca="false">IFERROR(VLOOKUP(Orders!C360,Customers!$A$2:$F$301,3,FALSE()),"Not Found")</f>
        <v>32</v>
      </c>
      <c r="F360" s="46" t="str">
        <f aca="false">IFERROR(VLOOKUP(Orders!E360,Sales_Reps!$A$2:$E$31,3,FALSE()),"Not Found")</f>
        <v>South</v>
      </c>
      <c r="G360" s="46" t="n">
        <f aca="false">IFERROR(VLOOKUP(Orders!D360,Products!$A$2:$F$61,4,FALSE()),"")</f>
        <v>647</v>
      </c>
      <c r="H360" s="47" t="n">
        <f aca="false">IF(G360="","",(Orders!G360-G360)/Orders!G360)</f>
        <v>0.57987012987013</v>
      </c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</row>
    <row r="361" customFormat="false" ht="15" hidden="false" customHeight="false" outlineLevel="0" collapsed="false">
      <c r="A361" s="46" t="str">
        <f aca="false">Orders!A361</f>
        <v>ORD-00360</v>
      </c>
      <c r="B361" s="46" t="str">
        <f aca="false">PROPER(TRIM(Orders!K361))</f>
        <v>Hyderabad</v>
      </c>
      <c r="C361" s="46" t="str">
        <f aca="false">IFERROR(VLOOKUP(Orders!D361,Products!$A$2:$F$61,3,FALSE()),"Not Found")</f>
        <v>Sports</v>
      </c>
      <c r="D361" s="46" t="str">
        <f aca="false">IFERROR(VLOOKUP(Orders!C361,Customers!$A$2:$F$301,5,FALSE()),"Not Found")</f>
        <v>Retail</v>
      </c>
      <c r="E361" s="46" t="n">
        <f aca="false">IFERROR(VLOOKUP(Orders!C361,Customers!$A$2:$F$301,3,FALSE()),"Not Found")</f>
        <v>26</v>
      </c>
      <c r="F361" s="46" t="str">
        <f aca="false">IFERROR(VLOOKUP(Orders!E361,Sales_Reps!$A$2:$E$31,3,FALSE()),"Not Found")</f>
        <v>East</v>
      </c>
      <c r="G361" s="46" t="n">
        <f aca="false">IFERROR(VLOOKUP(Orders!D361,Products!$A$2:$F$61,4,FALSE()),"")</f>
        <v>2028</v>
      </c>
      <c r="H361" s="47" t="n">
        <f aca="false">IF(G361="","",(Orders!G361-G361)/Orders!G361)</f>
        <v>0.290909090909091</v>
      </c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</row>
    <row r="362" customFormat="false" ht="15" hidden="false" customHeight="false" outlineLevel="0" collapsed="false">
      <c r="A362" s="46" t="str">
        <f aca="false">Orders!A362</f>
        <v>ORD-00361</v>
      </c>
      <c r="B362" s="46" t="str">
        <f aca="false">PROPER(TRIM(Orders!K362))</f>
        <v>Chennai</v>
      </c>
      <c r="C362" s="46" t="str">
        <f aca="false">IFERROR(VLOOKUP(Orders!D362,Products!$A$2:$F$61,3,FALSE()),"Not Found")</f>
        <v>Grocery</v>
      </c>
      <c r="D362" s="46" t="str">
        <f aca="false">IFERROR(VLOOKUP(Orders!C362,Customers!$A$2:$F$301,5,FALSE()),"Not Found")</f>
        <v>SMB</v>
      </c>
      <c r="E362" s="46" t="n">
        <f aca="false">IFERROR(VLOOKUP(Orders!C362,Customers!$A$2:$F$301,3,FALSE()),"Not Found")</f>
        <v>46</v>
      </c>
      <c r="F362" s="46" t="str">
        <f aca="false">IFERROR(VLOOKUP(Orders!E362,Sales_Reps!$A$2:$E$31,3,FALSE()),"Not Found")</f>
        <v>South</v>
      </c>
      <c r="G362" s="46" t="n">
        <f aca="false">IFERROR(VLOOKUP(Orders!D362,Products!$A$2:$F$61,4,FALSE()),"")</f>
        <v>1010</v>
      </c>
      <c r="H362" s="47" t="n">
        <f aca="false">IF(G362="","",(Orders!G362-G362)/Orders!G362)</f>
        <v>0.542986425339367</v>
      </c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</row>
    <row r="363" customFormat="false" ht="15" hidden="false" customHeight="false" outlineLevel="0" collapsed="false">
      <c r="A363" s="46" t="str">
        <f aca="false">Orders!A363</f>
        <v>ORD-00362</v>
      </c>
      <c r="B363" s="46" t="str">
        <f aca="false">PROPER(TRIM(Orders!K363))</f>
        <v>Chennai</v>
      </c>
      <c r="C363" s="46" t="str">
        <f aca="false">IFERROR(VLOOKUP(Orders!D363,Products!$A$2:$F$61,3,FALSE()),"Not Found")</f>
        <v>Electronics</v>
      </c>
      <c r="D363" s="46" t="str">
        <f aca="false">IFERROR(VLOOKUP(Orders!C363,Customers!$A$2:$F$301,5,FALSE()),"Not Found")</f>
        <v>SMB</v>
      </c>
      <c r="E363" s="46" t="n">
        <f aca="false">IFERROR(VLOOKUP(Orders!C363,Customers!$A$2:$F$301,3,FALSE()),"Not Found")</f>
        <v>53</v>
      </c>
      <c r="F363" s="46" t="str">
        <f aca="false">IFERROR(VLOOKUP(Orders!E363,Sales_Reps!$A$2:$E$31,3,FALSE()),"Not Found")</f>
        <v>West</v>
      </c>
      <c r="G363" s="46" t="n">
        <f aca="false">IFERROR(VLOOKUP(Orders!D363,Products!$A$2:$F$61,4,FALSE()),"")</f>
        <v>517</v>
      </c>
      <c r="H363" s="47" t="n">
        <f aca="false">IF(G363="","",(Orders!G363-G363)/Orders!G363)</f>
        <v>0.576229508196721</v>
      </c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</row>
    <row r="364" customFormat="false" ht="15" hidden="false" customHeight="false" outlineLevel="0" collapsed="false">
      <c r="A364" s="46" t="str">
        <f aca="false">Orders!A364</f>
        <v>ORD-00363</v>
      </c>
      <c r="B364" s="46" t="str">
        <f aca="false">PROPER(TRIM(Orders!K364))</f>
        <v>Bengaluru</v>
      </c>
      <c r="C364" s="46" t="str">
        <f aca="false">IFERROR(VLOOKUP(Orders!D364,Products!$A$2:$F$61,3,FALSE()),"Not Found")</f>
        <v>Electronics</v>
      </c>
      <c r="D364" s="46" t="str">
        <f aca="false">IFERROR(VLOOKUP(Orders!C364,Customers!$A$2:$F$301,5,FALSE()),"Not Found")</f>
        <v>Corporate</v>
      </c>
      <c r="E364" s="46" t="n">
        <f aca="false">IFERROR(VLOOKUP(Orders!C364,Customers!$A$2:$F$301,3,FALSE()),"Not Found")</f>
        <v>43</v>
      </c>
      <c r="F364" s="46" t="str">
        <f aca="false">IFERROR(VLOOKUP(Orders!E364,Sales_Reps!$A$2:$E$31,3,FALSE()),"Not Found")</f>
        <v>North</v>
      </c>
      <c r="G364" s="46" t="n">
        <f aca="false">IFERROR(VLOOKUP(Orders!D364,Products!$A$2:$F$61,4,FALSE()),"")</f>
        <v>1665</v>
      </c>
      <c r="H364" s="47" t="n">
        <f aca="false">IF(G364="","",(Orders!G364-G364)/Orders!G364)</f>
        <v>0.533613445378151</v>
      </c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</row>
    <row r="365" customFormat="false" ht="15" hidden="false" customHeight="false" outlineLevel="0" collapsed="false">
      <c r="A365" s="46" t="str">
        <f aca="false">Orders!A365</f>
        <v>ORD-00364</v>
      </c>
      <c r="B365" s="46" t="str">
        <f aca="false">PROPER(TRIM(Orders!K365))</f>
        <v>Bengaluru</v>
      </c>
      <c r="C365" s="46" t="str">
        <f aca="false">IFERROR(VLOOKUP(Orders!D365,Products!$A$2:$F$61,3,FALSE()),"Not Found")</f>
        <v>Apparel</v>
      </c>
      <c r="D365" s="46" t="str">
        <f aca="false">IFERROR(VLOOKUP(Orders!C365,Customers!$A$2:$F$301,5,FALSE()),"Not Found")</f>
        <v>Retail</v>
      </c>
      <c r="E365" s="46" t="n">
        <f aca="false">IFERROR(VLOOKUP(Orders!C365,Customers!$A$2:$F$301,3,FALSE()),"Not Found")</f>
        <v>29</v>
      </c>
      <c r="F365" s="46" t="str">
        <f aca="false">IFERROR(VLOOKUP(Orders!E365,Sales_Reps!$A$2:$E$31,3,FALSE()),"Not Found")</f>
        <v>South</v>
      </c>
      <c r="G365" s="46" t="n">
        <f aca="false">IFERROR(VLOOKUP(Orders!D365,Products!$A$2:$F$61,4,FALSE()),"")</f>
        <v>1748</v>
      </c>
      <c r="H365" s="47" t="n">
        <f aca="false">IF(G365="","",(Orders!G365-G365)/Orders!G365)</f>
        <v>0.493333333333333</v>
      </c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</row>
    <row r="366" customFormat="false" ht="15" hidden="false" customHeight="false" outlineLevel="0" collapsed="false">
      <c r="A366" s="46" t="str">
        <f aca="false">Orders!A366</f>
        <v>ORD-00365</v>
      </c>
      <c r="B366" s="46" t="str">
        <f aca="false">PROPER(TRIM(Orders!K366))</f>
        <v>Pune</v>
      </c>
      <c r="C366" s="46" t="str">
        <f aca="false">IFERROR(VLOOKUP(Orders!D366,Products!$A$2:$F$61,3,FALSE()),"Not Found")</f>
        <v>Grocery</v>
      </c>
      <c r="D366" s="46" t="str">
        <f aca="false">IFERROR(VLOOKUP(Orders!C366,Customers!$A$2:$F$301,5,FALSE()),"Not Found")</f>
        <v>Retail</v>
      </c>
      <c r="E366" s="46" t="n">
        <f aca="false">IFERROR(VLOOKUP(Orders!C366,Customers!$A$2:$F$301,3,FALSE()),"Not Found")</f>
        <v>36</v>
      </c>
      <c r="F366" s="46" t="str">
        <f aca="false">IFERROR(VLOOKUP(Orders!E366,Sales_Reps!$A$2:$E$31,3,FALSE()),"Not Found")</f>
        <v>East</v>
      </c>
      <c r="G366" s="46" t="n">
        <f aca="false">IFERROR(VLOOKUP(Orders!D366,Products!$A$2:$F$61,4,FALSE()),"")</f>
        <v>1010</v>
      </c>
      <c r="H366" s="47" t="n">
        <f aca="false">IF(G366="","",(Orders!G366-G366)/Orders!G366)</f>
        <v>0.542986425339367</v>
      </c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</row>
    <row r="367" customFormat="false" ht="15" hidden="false" customHeight="false" outlineLevel="0" collapsed="false">
      <c r="A367" s="46" t="str">
        <f aca="false">Orders!A367</f>
        <v>ORD-00366</v>
      </c>
      <c r="B367" s="46" t="str">
        <f aca="false">PROPER(TRIM(Orders!K367))</f>
        <v>Hyderabad</v>
      </c>
      <c r="C367" s="46" t="str">
        <f aca="false">IFERROR(VLOOKUP(Orders!D367,Products!$A$2:$F$61,3,FALSE()),"Not Found")</f>
        <v>Home</v>
      </c>
      <c r="D367" s="46" t="str">
        <f aca="false">IFERROR(VLOOKUP(Orders!C367,Customers!$A$2:$F$301,5,FALSE()),"Not Found")</f>
        <v>Retail</v>
      </c>
      <c r="E367" s="46" t="n">
        <f aca="false">IFERROR(VLOOKUP(Orders!C367,Customers!$A$2:$F$301,3,FALSE()),"Not Found")</f>
        <v>52</v>
      </c>
      <c r="F367" s="46" t="str">
        <f aca="false">IFERROR(VLOOKUP(Orders!E367,Sales_Reps!$A$2:$E$31,3,FALSE()),"Not Found")</f>
        <v>South</v>
      </c>
      <c r="G367" s="46" t="n">
        <f aca="false">IFERROR(VLOOKUP(Orders!D367,Products!$A$2:$F$61,4,FALSE()),"")</f>
        <v>464</v>
      </c>
      <c r="H367" s="47" t="n">
        <f aca="false">IF(G367="","",(Orders!G367-G367)/Orders!G367)</f>
        <v>0.574311926605505</v>
      </c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</row>
    <row r="368" customFormat="false" ht="15" hidden="false" customHeight="false" outlineLevel="0" collapsed="false">
      <c r="A368" s="46" t="str">
        <f aca="false">Orders!A368</f>
        <v>ORD-00367</v>
      </c>
      <c r="B368" s="46" t="str">
        <f aca="false">PROPER(TRIM(Orders!K368))</f>
        <v>Chennai</v>
      </c>
      <c r="C368" s="46" t="str">
        <f aca="false">IFERROR(VLOOKUP(Orders!D368,Products!$A$2:$F$61,3,FALSE()),"Not Found")</f>
        <v>Beauty</v>
      </c>
      <c r="D368" s="46" t="str">
        <f aca="false">IFERROR(VLOOKUP(Orders!C368,Customers!$A$2:$F$301,5,FALSE()),"Not Found")</f>
        <v>SMB</v>
      </c>
      <c r="E368" s="46" t="n">
        <f aca="false">IFERROR(VLOOKUP(Orders!C368,Customers!$A$2:$F$301,3,FALSE()),"Not Found")</f>
        <v>26</v>
      </c>
      <c r="F368" s="46" t="str">
        <f aca="false">IFERROR(VLOOKUP(Orders!E368,Sales_Reps!$A$2:$E$31,3,FALSE()),"Not Found")</f>
        <v>East</v>
      </c>
      <c r="G368" s="46" t="n">
        <f aca="false">IFERROR(VLOOKUP(Orders!D368,Products!$A$2:$F$61,4,FALSE()),"")</f>
        <v>647</v>
      </c>
      <c r="H368" s="47" t="n">
        <f aca="false">IF(G368="","",(Orders!G368-G368)/Orders!G368)</f>
        <v>0.57987012987013</v>
      </c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</row>
    <row r="369" customFormat="false" ht="15" hidden="false" customHeight="false" outlineLevel="0" collapsed="false">
      <c r="A369" s="46" t="str">
        <f aca="false">Orders!A369</f>
        <v>ORD-00368</v>
      </c>
      <c r="B369" s="46" t="str">
        <f aca="false">PROPER(TRIM(Orders!K369))</f>
        <v>Pune</v>
      </c>
      <c r="C369" s="46" t="str">
        <f aca="false">IFERROR(VLOOKUP(Orders!D369,Products!$A$2:$F$61,3,FALSE()),"Not Found")</f>
        <v>Electronics</v>
      </c>
      <c r="D369" s="46" t="str">
        <f aca="false">IFERROR(VLOOKUP(Orders!C369,Customers!$A$2:$F$301,5,FALSE()),"Not Found")</f>
        <v>Retail</v>
      </c>
      <c r="E369" s="46" t="n">
        <f aca="false">IFERROR(VLOOKUP(Orders!C369,Customers!$A$2:$F$301,3,FALSE()),"Not Found")</f>
        <v>49</v>
      </c>
      <c r="F369" s="46" t="str">
        <f aca="false">IFERROR(VLOOKUP(Orders!E369,Sales_Reps!$A$2:$E$31,3,FALSE()),"Not Found")</f>
        <v>West</v>
      </c>
      <c r="G369" s="46" t="n">
        <f aca="false">IFERROR(VLOOKUP(Orders!D369,Products!$A$2:$F$61,4,FALSE()),"")</f>
        <v>1052</v>
      </c>
      <c r="H369" s="47" t="n">
        <f aca="false">IF(G369="","",(Orders!G369-G369)/Orders!G369)</f>
        <v>0.595384615384615</v>
      </c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</row>
    <row r="370" customFormat="false" ht="15" hidden="false" customHeight="false" outlineLevel="0" collapsed="false">
      <c r="A370" s="46" t="str">
        <f aca="false">Orders!A370</f>
        <v>ORD-00369</v>
      </c>
      <c r="B370" s="46" t="str">
        <f aca="false">PROPER(TRIM(Orders!K370))</f>
        <v>Chennai</v>
      </c>
      <c r="C370" s="46" t="str">
        <f aca="false">IFERROR(VLOOKUP(Orders!D370,Products!$A$2:$F$61,3,FALSE()),"Not Found")</f>
        <v>Sports</v>
      </c>
      <c r="D370" s="46" t="str">
        <f aca="false">IFERROR(VLOOKUP(Orders!C370,Customers!$A$2:$F$301,5,FALSE()),"Not Found")</f>
        <v>Retail</v>
      </c>
      <c r="E370" s="46" t="n">
        <f aca="false">IFERROR(VLOOKUP(Orders!C370,Customers!$A$2:$F$301,3,FALSE()),"Not Found")</f>
        <v>26</v>
      </c>
      <c r="F370" s="46" t="str">
        <f aca="false">IFERROR(VLOOKUP(Orders!E370,Sales_Reps!$A$2:$E$31,3,FALSE()),"Not Found")</f>
        <v>North</v>
      </c>
      <c r="G370" s="46" t="n">
        <f aca="false">IFERROR(VLOOKUP(Orders!D370,Products!$A$2:$F$61,4,FALSE()),"")</f>
        <v>147</v>
      </c>
      <c r="H370" s="47" t="n">
        <f aca="false">IF(G370="","",(Orders!G370-G370)/Orders!G370)</f>
        <v>0.226315789473684</v>
      </c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</row>
    <row r="371" customFormat="false" ht="15" hidden="false" customHeight="false" outlineLevel="0" collapsed="false">
      <c r="A371" s="46" t="str">
        <f aca="false">Orders!A371</f>
        <v>ORD-00370</v>
      </c>
      <c r="B371" s="46" t="str">
        <f aca="false">PROPER(TRIM(Orders!K371))</f>
        <v>Pune</v>
      </c>
      <c r="C371" s="46" t="str">
        <f aca="false">IFERROR(VLOOKUP(Orders!D371,Products!$A$2:$F$61,3,FALSE()),"Not Found")</f>
        <v>Apparel</v>
      </c>
      <c r="D371" s="46" t="str">
        <f aca="false">IFERROR(VLOOKUP(Orders!C371,Customers!$A$2:$F$301,5,FALSE()),"Not Found")</f>
        <v>Corporate</v>
      </c>
      <c r="E371" s="46" t="n">
        <f aca="false">IFERROR(VLOOKUP(Orders!C371,Customers!$A$2:$F$301,3,FALSE()),"Not Found")</f>
        <v>42</v>
      </c>
      <c r="F371" s="46" t="str">
        <f aca="false">IFERROR(VLOOKUP(Orders!E371,Sales_Reps!$A$2:$E$31,3,FALSE()),"Not Found")</f>
        <v>South</v>
      </c>
      <c r="G371" s="46" t="n">
        <f aca="false">IFERROR(VLOOKUP(Orders!D371,Products!$A$2:$F$61,4,FALSE()),"")</f>
        <v>1173</v>
      </c>
      <c r="H371" s="47" t="n">
        <f aca="false">IF(G371="","",(Orders!G371-G371)/Orders!G371)</f>
        <v>0.527016129032258</v>
      </c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</row>
    <row r="372" customFormat="false" ht="15" hidden="false" customHeight="false" outlineLevel="0" collapsed="false">
      <c r="A372" s="46" t="str">
        <f aca="false">Orders!A372</f>
        <v>ORD-00371</v>
      </c>
      <c r="B372" s="46" t="str">
        <f aca="false">PROPER(TRIM(Orders!K372))</f>
        <v>Pune</v>
      </c>
      <c r="C372" s="46" t="str">
        <f aca="false">IFERROR(VLOOKUP(Orders!D372,Products!$A$2:$F$61,3,FALSE()),"Not Found")</f>
        <v>Beauty</v>
      </c>
      <c r="D372" s="46" t="str">
        <f aca="false">IFERROR(VLOOKUP(Orders!C372,Customers!$A$2:$F$301,5,FALSE()),"Not Found")</f>
        <v>Retail</v>
      </c>
      <c r="E372" s="46" t="n">
        <f aca="false">IFERROR(VLOOKUP(Orders!C372,Customers!$A$2:$F$301,3,FALSE()),"Not Found")</f>
        <v>35</v>
      </c>
      <c r="F372" s="46" t="str">
        <f aca="false">IFERROR(VLOOKUP(Orders!E372,Sales_Reps!$A$2:$E$31,3,FALSE()),"Not Found")</f>
        <v>North</v>
      </c>
      <c r="G372" s="46" t="n">
        <f aca="false">IFERROR(VLOOKUP(Orders!D372,Products!$A$2:$F$61,4,FALSE()),"")</f>
        <v>1219</v>
      </c>
      <c r="H372" s="47" t="n">
        <f aca="false">IF(G372="","",(Orders!G372-G372)/Orders!G372)</f>
        <v>0.467685589519651</v>
      </c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</row>
    <row r="373" customFormat="false" ht="15" hidden="false" customHeight="false" outlineLevel="0" collapsed="false">
      <c r="A373" s="46" t="str">
        <f aca="false">Orders!A373</f>
        <v>ORD-00372</v>
      </c>
      <c r="B373" s="46" t="str">
        <f aca="false">PROPER(TRIM(Orders!K373))</f>
        <v>Hyderabad</v>
      </c>
      <c r="C373" s="46" t="str">
        <f aca="false">IFERROR(VLOOKUP(Orders!D373,Products!$A$2:$F$61,3,FALSE()),"Not Found")</f>
        <v>Beauty</v>
      </c>
      <c r="D373" s="46" t="str">
        <f aca="false">IFERROR(VLOOKUP(Orders!C373,Customers!$A$2:$F$301,5,FALSE()),"Not Found")</f>
        <v>Retail</v>
      </c>
      <c r="E373" s="46" t="n">
        <f aca="false">IFERROR(VLOOKUP(Orders!C373,Customers!$A$2:$F$301,3,FALSE()),"Not Found")</f>
        <v>64</v>
      </c>
      <c r="F373" s="46" t="str">
        <f aca="false">IFERROR(VLOOKUP(Orders!E373,Sales_Reps!$A$2:$E$31,3,FALSE()),"Not Found")</f>
        <v>South</v>
      </c>
      <c r="G373" s="46" t="n">
        <f aca="false">IFERROR(VLOOKUP(Orders!D373,Products!$A$2:$F$61,4,FALSE()),"")</f>
        <v>647</v>
      </c>
      <c r="H373" s="47" t="n">
        <f aca="false">IF(G373="","",(Orders!G373-G373)/Orders!G373)</f>
        <v>0.57987012987013</v>
      </c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</row>
    <row r="374" customFormat="false" ht="15" hidden="false" customHeight="false" outlineLevel="0" collapsed="false">
      <c r="A374" s="46" t="str">
        <f aca="false">Orders!A374</f>
        <v>ORD-00373</v>
      </c>
      <c r="B374" s="46" t="str">
        <f aca="false">PROPER(TRIM(Orders!K374))</f>
        <v>Delhi</v>
      </c>
      <c r="C374" s="46" t="str">
        <f aca="false">IFERROR(VLOOKUP(Orders!D374,Products!$A$2:$F$61,3,FALSE()),"Not Found")</f>
        <v>Home</v>
      </c>
      <c r="D374" s="46" t="str">
        <f aca="false">IFERROR(VLOOKUP(Orders!C374,Customers!$A$2:$F$301,5,FALSE()),"Not Found")</f>
        <v>SMB</v>
      </c>
      <c r="E374" s="46" t="n">
        <f aca="false">IFERROR(VLOOKUP(Orders!C374,Customers!$A$2:$F$301,3,FALSE()),"Not Found")</f>
        <v>28</v>
      </c>
      <c r="F374" s="46" t="str">
        <f aca="false">IFERROR(VLOOKUP(Orders!E374,Sales_Reps!$A$2:$E$31,3,FALSE()),"Not Found")</f>
        <v>West</v>
      </c>
      <c r="G374" s="46" t="n">
        <f aca="false">IFERROR(VLOOKUP(Orders!D374,Products!$A$2:$F$61,4,FALSE()),"")</f>
        <v>2459</v>
      </c>
      <c r="H374" s="47" t="n">
        <f aca="false">IF(G374="","",(Orders!G374-G374)/Orders!G374)</f>
        <v>0.515944881889764</v>
      </c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</row>
    <row r="375" customFormat="false" ht="15" hidden="false" customHeight="false" outlineLevel="0" collapsed="false">
      <c r="A375" s="46" t="str">
        <f aca="false">Orders!A375</f>
        <v>ORD-00374</v>
      </c>
      <c r="B375" s="46" t="str">
        <f aca="false">PROPER(TRIM(Orders!K375))</f>
        <v>Pune</v>
      </c>
      <c r="C375" s="46" t="str">
        <f aca="false">IFERROR(VLOOKUP(Orders!D375,Products!$A$2:$F$61,3,FALSE()),"Not Found")</f>
        <v>Apparel</v>
      </c>
      <c r="D375" s="46" t="str">
        <f aca="false">IFERROR(VLOOKUP(Orders!C375,Customers!$A$2:$F$301,5,FALSE()),"Not Found")</f>
        <v>Retail</v>
      </c>
      <c r="E375" s="46" t="n">
        <f aca="false">IFERROR(VLOOKUP(Orders!C375,Customers!$A$2:$F$301,3,FALSE()),"Not Found")</f>
        <v>57</v>
      </c>
      <c r="F375" s="46" t="str">
        <f aca="false">IFERROR(VLOOKUP(Orders!E375,Sales_Reps!$A$2:$E$31,3,FALSE()),"Not Found")</f>
        <v>South</v>
      </c>
      <c r="G375" s="46" t="n">
        <f aca="false">IFERROR(VLOOKUP(Orders!D375,Products!$A$2:$F$61,4,FALSE()),"")</f>
        <v>1075</v>
      </c>
      <c r="H375" s="47" t="n">
        <f aca="false">IF(G375="","",(Orders!G375-G375)/Orders!G375)</f>
        <v>0.571713147410359</v>
      </c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</row>
    <row r="376" customFormat="false" ht="15" hidden="false" customHeight="false" outlineLevel="0" collapsed="false">
      <c r="A376" s="46" t="str">
        <f aca="false">Orders!A376</f>
        <v>ORD-00375</v>
      </c>
      <c r="B376" s="46" t="str">
        <f aca="false">PROPER(TRIM(Orders!K376))</f>
        <v>Delhi</v>
      </c>
      <c r="C376" s="46" t="str">
        <f aca="false">IFERROR(VLOOKUP(Orders!D376,Products!$A$2:$F$61,3,FALSE()),"Not Found")</f>
        <v>Beauty</v>
      </c>
      <c r="D376" s="46" t="str">
        <f aca="false">IFERROR(VLOOKUP(Orders!C376,Customers!$A$2:$F$301,5,FALSE()),"Not Found")</f>
        <v>SMB</v>
      </c>
      <c r="E376" s="46" t="n">
        <f aca="false">IFERROR(VLOOKUP(Orders!C376,Customers!$A$2:$F$301,3,FALSE()),"Not Found")</f>
        <v>28</v>
      </c>
      <c r="F376" s="46" t="str">
        <f aca="false">IFERROR(VLOOKUP(Orders!E376,Sales_Reps!$A$2:$E$31,3,FALSE()),"Not Found")</f>
        <v>South</v>
      </c>
      <c r="G376" s="46" t="n">
        <f aca="false">IFERROR(VLOOKUP(Orders!D376,Products!$A$2:$F$61,4,FALSE()),"")</f>
        <v>1219</v>
      </c>
      <c r="H376" s="47" t="n">
        <f aca="false">IF(G376="","",(Orders!G376-G376)/Orders!G376)</f>
        <v>0.467685589519651</v>
      </c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</row>
    <row r="377" customFormat="false" ht="15" hidden="false" customHeight="false" outlineLevel="0" collapsed="false">
      <c r="A377" s="46" t="str">
        <f aca="false">Orders!A377</f>
        <v>ORD-00376</v>
      </c>
      <c r="B377" s="46" t="str">
        <f aca="false">PROPER(TRIM(Orders!K377))</f>
        <v>Chennai</v>
      </c>
      <c r="C377" s="46" t="str">
        <f aca="false">IFERROR(VLOOKUP(Orders!D377,Products!$A$2:$F$61,3,FALSE()),"Not Found")</f>
        <v>Sports</v>
      </c>
      <c r="D377" s="46" t="str">
        <f aca="false">IFERROR(VLOOKUP(Orders!C377,Customers!$A$2:$F$301,5,FALSE()),"Not Found")</f>
        <v>Retail</v>
      </c>
      <c r="E377" s="46" t="n">
        <f aca="false">IFERROR(VLOOKUP(Orders!C377,Customers!$A$2:$F$301,3,FALSE()),"Not Found")</f>
        <v>28</v>
      </c>
      <c r="F377" s="46" t="str">
        <f aca="false">IFERROR(VLOOKUP(Orders!E377,Sales_Reps!$A$2:$E$31,3,FALSE()),"Not Found")</f>
        <v>North</v>
      </c>
      <c r="G377" s="46" t="n">
        <f aca="false">IFERROR(VLOOKUP(Orders!D377,Products!$A$2:$F$61,4,FALSE()),"")</f>
        <v>302</v>
      </c>
      <c r="H377" s="47" t="n">
        <f aca="false">IF(G377="","",(Orders!G377-G377)/Orders!G377)</f>
        <v>0.357446808510638</v>
      </c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</row>
    <row r="378" customFormat="false" ht="15" hidden="false" customHeight="false" outlineLevel="0" collapsed="false">
      <c r="A378" s="46" t="str">
        <f aca="false">Orders!A378</f>
        <v>ORD-00377</v>
      </c>
      <c r="B378" s="46" t="str">
        <f aca="false">PROPER(TRIM(Orders!K378))</f>
        <v>Hyderabad</v>
      </c>
      <c r="C378" s="46" t="str">
        <f aca="false">IFERROR(VLOOKUP(Orders!D378,Products!$A$2:$F$61,3,FALSE()),"Not Found")</f>
        <v>Beauty</v>
      </c>
      <c r="D378" s="46" t="str">
        <f aca="false">IFERROR(VLOOKUP(Orders!C378,Customers!$A$2:$F$301,5,FALSE()),"Not Found")</f>
        <v>SMB</v>
      </c>
      <c r="E378" s="46" t="n">
        <f aca="false">IFERROR(VLOOKUP(Orders!C378,Customers!$A$2:$F$301,3,FALSE()),"Not Found")</f>
        <v>36</v>
      </c>
      <c r="F378" s="46" t="str">
        <f aca="false">IFERROR(VLOOKUP(Orders!E378,Sales_Reps!$A$2:$E$31,3,FALSE()),"Not Found")</f>
        <v>South</v>
      </c>
      <c r="G378" s="46" t="n">
        <f aca="false">IFERROR(VLOOKUP(Orders!D378,Products!$A$2:$F$61,4,FALSE()),"")</f>
        <v>2237</v>
      </c>
      <c r="H378" s="47" t="n">
        <f aca="false">IF(G378="","",(Orders!G378-G378)/Orders!G378)</f>
        <v>0.561372549019608</v>
      </c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</row>
    <row r="379" customFormat="false" ht="15" hidden="false" customHeight="false" outlineLevel="0" collapsed="false">
      <c r="A379" s="46" t="str">
        <f aca="false">Orders!A379</f>
        <v>ORD-00378</v>
      </c>
      <c r="B379" s="46" t="str">
        <f aca="false">PROPER(TRIM(Orders!K379))</f>
        <v>Chennai</v>
      </c>
      <c r="C379" s="46" t="str">
        <f aca="false">IFERROR(VLOOKUP(Orders!D379,Products!$A$2:$F$61,3,FALSE()),"Not Found")</f>
        <v>Electronics</v>
      </c>
      <c r="D379" s="46" t="str">
        <f aca="false">IFERROR(VLOOKUP(Orders!C379,Customers!$A$2:$F$301,5,FALSE()),"Not Found")</f>
        <v>SMB</v>
      </c>
      <c r="E379" s="46" t="n">
        <f aca="false">IFERROR(VLOOKUP(Orders!C379,Customers!$A$2:$F$301,3,FALSE()),"Not Found")</f>
        <v>59</v>
      </c>
      <c r="F379" s="46" t="str">
        <f aca="false">IFERROR(VLOOKUP(Orders!E379,Sales_Reps!$A$2:$E$31,3,FALSE()),"Not Found")</f>
        <v>South</v>
      </c>
      <c r="G379" s="46" t="n">
        <f aca="false">IFERROR(VLOOKUP(Orders!D379,Products!$A$2:$F$61,4,FALSE()),"")</f>
        <v>2405</v>
      </c>
      <c r="H379" s="47" t="n">
        <f aca="false">IF(G379="","",(Orders!G379-G379)/Orders!G379)</f>
        <v>0.548780487804878</v>
      </c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</row>
    <row r="380" customFormat="false" ht="15" hidden="false" customHeight="false" outlineLevel="0" collapsed="false">
      <c r="A380" s="46" t="str">
        <f aca="false">Orders!A380</f>
        <v>ORD-00379</v>
      </c>
      <c r="B380" s="46" t="str">
        <f aca="false">PROPER(TRIM(Orders!K380))</f>
        <v>Bengaluru</v>
      </c>
      <c r="C380" s="46" t="str">
        <f aca="false">IFERROR(VLOOKUP(Orders!D380,Products!$A$2:$F$61,3,FALSE()),"Not Found")</f>
        <v>Home</v>
      </c>
      <c r="D380" s="46" t="str">
        <f aca="false">IFERROR(VLOOKUP(Orders!C380,Customers!$A$2:$F$301,5,FALSE()),"Not Found")</f>
        <v>Retail</v>
      </c>
      <c r="E380" s="46" t="n">
        <f aca="false">IFERROR(VLOOKUP(Orders!C380,Customers!$A$2:$F$301,3,FALSE()),"Not Found")</f>
        <v>27</v>
      </c>
      <c r="F380" s="46" t="str">
        <f aca="false">IFERROR(VLOOKUP(Orders!E380,Sales_Reps!$A$2:$E$31,3,FALSE()),"Not Found")</f>
        <v>West</v>
      </c>
      <c r="G380" s="46" t="n">
        <f aca="false">IFERROR(VLOOKUP(Orders!D380,Products!$A$2:$F$61,4,FALSE()),"")</f>
        <v>1143</v>
      </c>
      <c r="H380" s="47" t="n">
        <f aca="false">IF(G380="","",(Orders!G380-G380)/Orders!G380)</f>
        <v>0.436945812807882</v>
      </c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</row>
    <row r="381" customFormat="false" ht="15" hidden="false" customHeight="false" outlineLevel="0" collapsed="false">
      <c r="A381" s="46" t="str">
        <f aca="false">Orders!A381</f>
        <v>ORD-00380</v>
      </c>
      <c r="B381" s="46" t="str">
        <f aca="false">PROPER(TRIM(Orders!K381))</f>
        <v>Delhi</v>
      </c>
      <c r="C381" s="46" t="str">
        <f aca="false">IFERROR(VLOOKUP(Orders!D381,Products!$A$2:$F$61,3,FALSE()),"Not Found")</f>
        <v>Home</v>
      </c>
      <c r="D381" s="46" t="str">
        <f aca="false">IFERROR(VLOOKUP(Orders!C381,Customers!$A$2:$F$301,5,FALSE()),"Not Found")</f>
        <v>SMB</v>
      </c>
      <c r="E381" s="46" t="n">
        <f aca="false">IFERROR(VLOOKUP(Orders!C381,Customers!$A$2:$F$301,3,FALSE()),"Not Found")</f>
        <v>29</v>
      </c>
      <c r="F381" s="46" t="str">
        <f aca="false">IFERROR(VLOOKUP(Orders!E381,Sales_Reps!$A$2:$E$31,3,FALSE()),"Not Found")</f>
        <v>North</v>
      </c>
      <c r="G381" s="46" t="n">
        <f aca="false">IFERROR(VLOOKUP(Orders!D381,Products!$A$2:$F$61,4,FALSE()),"")</f>
        <v>2459</v>
      </c>
      <c r="H381" s="47" t="n">
        <f aca="false">IF(G381="","",(Orders!G381-G381)/Orders!G381)</f>
        <v>0.515944881889764</v>
      </c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</row>
    <row r="382" customFormat="false" ht="15" hidden="false" customHeight="false" outlineLevel="0" collapsed="false">
      <c r="A382" s="46" t="str">
        <f aca="false">Orders!A382</f>
        <v>ORD-00381</v>
      </c>
      <c r="B382" s="46" t="str">
        <f aca="false">PROPER(TRIM(Orders!K382))</f>
        <v>Hyderabad</v>
      </c>
      <c r="C382" s="46" t="str">
        <f aca="false">IFERROR(VLOOKUP(Orders!D382,Products!$A$2:$F$61,3,FALSE()),"Not Found")</f>
        <v>Grocery</v>
      </c>
      <c r="D382" s="46" t="str">
        <f aca="false">IFERROR(VLOOKUP(Orders!C382,Customers!$A$2:$F$301,5,FALSE()),"Not Found")</f>
        <v>SMB</v>
      </c>
      <c r="E382" s="46" t="n">
        <f aca="false">IFERROR(VLOOKUP(Orders!C382,Customers!$A$2:$F$301,3,FALSE()),"Not Found")</f>
        <v>40</v>
      </c>
      <c r="F382" s="46" t="str">
        <f aca="false">IFERROR(VLOOKUP(Orders!E382,Sales_Reps!$A$2:$E$31,3,FALSE()),"Not Found")</f>
        <v>South</v>
      </c>
      <c r="G382" s="46" t="n">
        <f aca="false">IFERROR(VLOOKUP(Orders!D382,Products!$A$2:$F$61,4,FALSE()),"")</f>
        <v>1182</v>
      </c>
      <c r="H382" s="47" t="n">
        <f aca="false">IF(G382="","",(Orders!G382-G382)/Orders!G382)</f>
        <v>0.503361344537815</v>
      </c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</row>
    <row r="383" customFormat="false" ht="15" hidden="false" customHeight="false" outlineLevel="0" collapsed="false">
      <c r="A383" s="46" t="str">
        <f aca="false">Orders!A383</f>
        <v>ORD-00382</v>
      </c>
      <c r="B383" s="46" t="str">
        <f aca="false">PROPER(TRIM(Orders!K383))</f>
        <v>Chennai</v>
      </c>
      <c r="C383" s="46" t="str">
        <f aca="false">IFERROR(VLOOKUP(Orders!D383,Products!$A$2:$F$61,3,FALSE()),"Not Found")</f>
        <v>Beauty</v>
      </c>
      <c r="D383" s="46" t="str">
        <f aca="false">IFERROR(VLOOKUP(Orders!C383,Customers!$A$2:$F$301,5,FALSE()),"Not Found")</f>
        <v>SMB</v>
      </c>
      <c r="E383" s="46" t="n">
        <f aca="false">IFERROR(VLOOKUP(Orders!C383,Customers!$A$2:$F$301,3,FALSE()),"Not Found")</f>
        <v>55</v>
      </c>
      <c r="F383" s="46" t="str">
        <f aca="false">IFERROR(VLOOKUP(Orders!E383,Sales_Reps!$A$2:$E$31,3,FALSE()),"Not Found")</f>
        <v>West</v>
      </c>
      <c r="G383" s="46" t="n">
        <f aca="false">IFERROR(VLOOKUP(Orders!D383,Products!$A$2:$F$61,4,FALSE()),"")</f>
        <v>647</v>
      </c>
      <c r="H383" s="47" t="n">
        <f aca="false">IF(G383="","",(Orders!G383-G383)/Orders!G383)</f>
        <v>0.57987012987013</v>
      </c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</row>
    <row r="384" customFormat="false" ht="15" hidden="false" customHeight="false" outlineLevel="0" collapsed="false">
      <c r="A384" s="46" t="str">
        <f aca="false">Orders!A384</f>
        <v>ORD-00383</v>
      </c>
      <c r="B384" s="46" t="str">
        <f aca="false">PROPER(TRIM(Orders!K384))</f>
        <v>Pune</v>
      </c>
      <c r="C384" s="46" t="str">
        <f aca="false">IFERROR(VLOOKUP(Orders!D384,Products!$A$2:$F$61,3,FALSE()),"Not Found")</f>
        <v>Grocery</v>
      </c>
      <c r="D384" s="46" t="str">
        <f aca="false">IFERROR(VLOOKUP(Orders!C384,Customers!$A$2:$F$301,5,FALSE()),"Not Found")</f>
        <v>Retail</v>
      </c>
      <c r="E384" s="46" t="n">
        <f aca="false">IFERROR(VLOOKUP(Orders!C384,Customers!$A$2:$F$301,3,FALSE()),"Not Found")</f>
        <v>31</v>
      </c>
      <c r="F384" s="46" t="str">
        <f aca="false">IFERROR(VLOOKUP(Orders!E384,Sales_Reps!$A$2:$E$31,3,FALSE()),"Not Found")</f>
        <v>West</v>
      </c>
      <c r="G384" s="46" t="n">
        <f aca="false">IFERROR(VLOOKUP(Orders!D384,Products!$A$2:$F$61,4,FALSE()),"")</f>
        <v>1203</v>
      </c>
      <c r="H384" s="47" t="n">
        <f aca="false">IF(G384="","",(Orders!G384-G384)/Orders!G384)</f>
        <v>0.470044052863436</v>
      </c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</row>
    <row r="385" customFormat="false" ht="15" hidden="false" customHeight="false" outlineLevel="0" collapsed="false">
      <c r="A385" s="46" t="str">
        <f aca="false">Orders!A385</f>
        <v>ORD-00384</v>
      </c>
      <c r="B385" s="46" t="str">
        <f aca="false">PROPER(TRIM(Orders!K385))</f>
        <v>Pune</v>
      </c>
      <c r="C385" s="46" t="str">
        <f aca="false">IFERROR(VLOOKUP(Orders!D385,Products!$A$2:$F$61,3,FALSE()),"Not Found")</f>
        <v>Apparel</v>
      </c>
      <c r="D385" s="46" t="str">
        <f aca="false">IFERROR(VLOOKUP(Orders!C385,Customers!$A$2:$F$301,5,FALSE()),"Not Found")</f>
        <v>SMB</v>
      </c>
      <c r="E385" s="46" t="n">
        <f aca="false">IFERROR(VLOOKUP(Orders!C385,Customers!$A$2:$F$301,3,FALSE()),"Not Found")</f>
        <v>60</v>
      </c>
      <c r="F385" s="46" t="str">
        <f aca="false">IFERROR(VLOOKUP(Orders!E385,Sales_Reps!$A$2:$E$31,3,FALSE()),"Not Found")</f>
        <v>West</v>
      </c>
      <c r="G385" s="46" t="n">
        <f aca="false">IFERROR(VLOOKUP(Orders!D385,Products!$A$2:$F$61,4,FALSE()),"")</f>
        <v>1173</v>
      </c>
      <c r="H385" s="47" t="n">
        <f aca="false">IF(G385="","",(Orders!G385-G385)/Orders!G385)</f>
        <v>0.527016129032258</v>
      </c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</row>
    <row r="386" customFormat="false" ht="15" hidden="false" customHeight="false" outlineLevel="0" collapsed="false">
      <c r="A386" s="46" t="str">
        <f aca="false">Orders!A386</f>
        <v>ORD-00385</v>
      </c>
      <c r="B386" s="46" t="str">
        <f aca="false">PROPER(TRIM(Orders!K386))</f>
        <v>Chennai</v>
      </c>
      <c r="C386" s="46" t="str">
        <f aca="false">IFERROR(VLOOKUP(Orders!D386,Products!$A$2:$F$61,3,FALSE()),"Not Found")</f>
        <v>Apparel</v>
      </c>
      <c r="D386" s="46" t="str">
        <f aca="false">IFERROR(VLOOKUP(Orders!C386,Customers!$A$2:$F$301,5,FALSE()),"Not Found")</f>
        <v>SMB</v>
      </c>
      <c r="E386" s="46" t="n">
        <f aca="false">IFERROR(VLOOKUP(Orders!C386,Customers!$A$2:$F$301,3,FALSE()),"Not Found")</f>
        <v>57</v>
      </c>
      <c r="F386" s="46" t="str">
        <f aca="false">IFERROR(VLOOKUP(Orders!E386,Sales_Reps!$A$2:$E$31,3,FALSE()),"Not Found")</f>
        <v>East</v>
      </c>
      <c r="G386" s="46" t="n">
        <f aca="false">IFERROR(VLOOKUP(Orders!D386,Products!$A$2:$F$61,4,FALSE()),"")</f>
        <v>2629</v>
      </c>
      <c r="H386" s="47" t="n">
        <f aca="false">IF(G386="","",(Orders!G386-G386)/Orders!G386)</f>
        <v>0.261516853932584</v>
      </c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</row>
    <row r="387" customFormat="false" ht="15" hidden="false" customHeight="false" outlineLevel="0" collapsed="false">
      <c r="A387" s="46" t="str">
        <f aca="false">Orders!A387</f>
        <v>ORD-00386</v>
      </c>
      <c r="B387" s="46" t="str">
        <f aca="false">PROPER(TRIM(Orders!K387))</f>
        <v>Hyderabad</v>
      </c>
      <c r="C387" s="46" t="str">
        <f aca="false">IFERROR(VLOOKUP(Orders!D387,Products!$A$2:$F$61,3,FALSE()),"Not Found")</f>
        <v>Electronics</v>
      </c>
      <c r="D387" s="46" t="str">
        <f aca="false">IFERROR(VLOOKUP(Orders!C387,Customers!$A$2:$F$301,5,FALSE()),"Not Found")</f>
        <v>Retail</v>
      </c>
      <c r="E387" s="46" t="n">
        <f aca="false">IFERROR(VLOOKUP(Orders!C387,Customers!$A$2:$F$301,3,FALSE()),"Not Found")</f>
        <v>50</v>
      </c>
      <c r="F387" s="46" t="str">
        <f aca="false">IFERROR(VLOOKUP(Orders!E387,Sales_Reps!$A$2:$E$31,3,FALSE()),"Not Found")</f>
        <v>North</v>
      </c>
      <c r="G387" s="46" t="n">
        <f aca="false">IFERROR(VLOOKUP(Orders!D387,Products!$A$2:$F$61,4,FALSE()),"")</f>
        <v>1259</v>
      </c>
      <c r="H387" s="47" t="n">
        <f aca="false">IF(G387="","",(Orders!G387-G387)/Orders!G387)</f>
        <v>0.526691729323308</v>
      </c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</row>
    <row r="388" customFormat="false" ht="15" hidden="false" customHeight="false" outlineLevel="0" collapsed="false">
      <c r="A388" s="46" t="str">
        <f aca="false">Orders!A388</f>
        <v>ORD-00387</v>
      </c>
      <c r="B388" s="46" t="str">
        <f aca="false">PROPER(TRIM(Orders!K388))</f>
        <v>Pune</v>
      </c>
      <c r="C388" s="46" t="str">
        <f aca="false">IFERROR(VLOOKUP(Orders!D388,Products!$A$2:$F$61,3,FALSE()),"Not Found")</f>
        <v>Electronics</v>
      </c>
      <c r="D388" s="46" t="str">
        <f aca="false">IFERROR(VLOOKUP(Orders!C388,Customers!$A$2:$F$301,5,FALSE()),"Not Found")</f>
        <v>Retail</v>
      </c>
      <c r="E388" s="46" t="n">
        <f aca="false">IFERROR(VLOOKUP(Orders!C388,Customers!$A$2:$F$301,3,FALSE()),"Not Found")</f>
        <v>50</v>
      </c>
      <c r="F388" s="46" t="str">
        <f aca="false">IFERROR(VLOOKUP(Orders!E388,Sales_Reps!$A$2:$E$31,3,FALSE()),"Not Found")</f>
        <v>South</v>
      </c>
      <c r="G388" s="46" t="n">
        <f aca="false">IFERROR(VLOOKUP(Orders!D388,Products!$A$2:$F$61,4,FALSE()),"")</f>
        <v>517</v>
      </c>
      <c r="H388" s="47" t="n">
        <f aca="false">IF(G388="","",(Orders!G388-G388)/Orders!G388)</f>
        <v>0.576229508196721</v>
      </c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</row>
    <row r="389" customFormat="false" ht="15" hidden="false" customHeight="false" outlineLevel="0" collapsed="false">
      <c r="A389" s="46" t="str">
        <f aca="false">Orders!A389</f>
        <v>ORD-00388</v>
      </c>
      <c r="B389" s="46" t="str">
        <f aca="false">PROPER(TRIM(Orders!K389))</f>
        <v>Pune</v>
      </c>
      <c r="C389" s="46" t="str">
        <f aca="false">IFERROR(VLOOKUP(Orders!D389,Products!$A$2:$F$61,3,FALSE()),"Not Found")</f>
        <v>Electronics</v>
      </c>
      <c r="D389" s="46" t="str">
        <f aca="false">IFERROR(VLOOKUP(Orders!C389,Customers!$A$2:$F$301,5,FALSE()),"Not Found")</f>
        <v>SMB</v>
      </c>
      <c r="E389" s="46" t="n">
        <f aca="false">IFERROR(VLOOKUP(Orders!C389,Customers!$A$2:$F$301,3,FALSE()),"Not Found")</f>
        <v>35</v>
      </c>
      <c r="F389" s="46" t="str">
        <f aca="false">IFERROR(VLOOKUP(Orders!E389,Sales_Reps!$A$2:$E$31,3,FALSE()),"Not Found")</f>
        <v>South</v>
      </c>
      <c r="G389" s="46" t="n">
        <f aca="false">IFERROR(VLOOKUP(Orders!D389,Products!$A$2:$F$61,4,FALSE()),"")</f>
        <v>1052</v>
      </c>
      <c r="H389" s="47" t="n">
        <f aca="false">IF(G389="","",(Orders!G389-G389)/Orders!G389)</f>
        <v>0.595384615384615</v>
      </c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</row>
    <row r="390" customFormat="false" ht="15" hidden="false" customHeight="false" outlineLevel="0" collapsed="false">
      <c r="A390" s="46" t="str">
        <f aca="false">Orders!A390</f>
        <v>ORD-00389</v>
      </c>
      <c r="B390" s="46" t="str">
        <f aca="false">PROPER(TRIM(Orders!K390))</f>
        <v>Pune</v>
      </c>
      <c r="C390" s="46" t="str">
        <f aca="false">IFERROR(VLOOKUP(Orders!D390,Products!$A$2:$F$61,3,FALSE()),"Not Found")</f>
        <v>Apparel</v>
      </c>
      <c r="D390" s="46" t="str">
        <f aca="false">IFERROR(VLOOKUP(Orders!C390,Customers!$A$2:$F$301,5,FALSE()),"Not Found")</f>
        <v>Retail</v>
      </c>
      <c r="E390" s="46" t="n">
        <f aca="false">IFERROR(VLOOKUP(Orders!C390,Customers!$A$2:$F$301,3,FALSE()),"Not Found")</f>
        <v>49</v>
      </c>
      <c r="F390" s="46" t="str">
        <f aca="false">IFERROR(VLOOKUP(Orders!E390,Sales_Reps!$A$2:$E$31,3,FALSE()),"Not Found")</f>
        <v>East</v>
      </c>
      <c r="G390" s="46" t="n">
        <f aca="false">IFERROR(VLOOKUP(Orders!D390,Products!$A$2:$F$61,4,FALSE()),"")</f>
        <v>1748</v>
      </c>
      <c r="H390" s="47" t="n">
        <f aca="false">IF(G390="","",(Orders!G390-G390)/Orders!G390)</f>
        <v>0.493333333333333</v>
      </c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</row>
    <row r="391" customFormat="false" ht="15" hidden="false" customHeight="false" outlineLevel="0" collapsed="false">
      <c r="A391" s="46" t="str">
        <f aca="false">Orders!A391</f>
        <v>ORD-00390</v>
      </c>
      <c r="B391" s="46" t="str">
        <f aca="false">PROPER(TRIM(Orders!K391))</f>
        <v>Hyderabad</v>
      </c>
      <c r="C391" s="46" t="str">
        <f aca="false">IFERROR(VLOOKUP(Orders!D391,Products!$A$2:$F$61,3,FALSE()),"Not Found")</f>
        <v>Sports</v>
      </c>
      <c r="D391" s="46" t="str">
        <f aca="false">IFERROR(VLOOKUP(Orders!C391,Customers!$A$2:$F$301,5,FALSE()),"Not Found")</f>
        <v>Retail</v>
      </c>
      <c r="E391" s="46" t="n">
        <f aca="false">IFERROR(VLOOKUP(Orders!C391,Customers!$A$2:$F$301,3,FALSE()),"Not Found")</f>
        <v>26</v>
      </c>
      <c r="F391" s="46" t="str">
        <f aca="false">IFERROR(VLOOKUP(Orders!E391,Sales_Reps!$A$2:$E$31,3,FALSE()),"Not Found")</f>
        <v>East</v>
      </c>
      <c r="G391" s="46" t="n">
        <f aca="false">IFERROR(VLOOKUP(Orders!D391,Products!$A$2:$F$61,4,FALSE()),"")</f>
        <v>2827</v>
      </c>
      <c r="H391" s="47" t="n">
        <f aca="false">IF(G391="","",(Orders!G391-G391)/Orders!G391)</f>
        <v>0.592651296829971</v>
      </c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</row>
    <row r="392" customFormat="false" ht="15" hidden="false" customHeight="false" outlineLevel="0" collapsed="false">
      <c r="A392" s="46" t="str">
        <f aca="false">Orders!A392</f>
        <v>ORD-00391</v>
      </c>
      <c r="B392" s="46" t="str">
        <f aca="false">PROPER(TRIM(Orders!K392))</f>
        <v>Chennai</v>
      </c>
      <c r="C392" s="46" t="str">
        <f aca="false">IFERROR(VLOOKUP(Orders!D392,Products!$A$2:$F$61,3,FALSE()),"Not Found")</f>
        <v>Beauty</v>
      </c>
      <c r="D392" s="46" t="str">
        <f aca="false">IFERROR(VLOOKUP(Orders!C392,Customers!$A$2:$F$301,5,FALSE()),"Not Found")</f>
        <v>Retail</v>
      </c>
      <c r="E392" s="46" t="n">
        <f aca="false">IFERROR(VLOOKUP(Orders!C392,Customers!$A$2:$F$301,3,FALSE()),"Not Found")</f>
        <v>22</v>
      </c>
      <c r="F392" s="46" t="str">
        <f aca="false">IFERROR(VLOOKUP(Orders!E392,Sales_Reps!$A$2:$E$31,3,FALSE()),"Not Found")</f>
        <v>North</v>
      </c>
      <c r="G392" s="46" t="n">
        <f aca="false">IFERROR(VLOOKUP(Orders!D392,Products!$A$2:$F$61,4,FALSE()),"")</f>
        <v>1728</v>
      </c>
      <c r="H392" s="47" t="n">
        <f aca="false">IF(G392="","",(Orders!G392-G392)/Orders!G392)</f>
        <v>0.484179104477612</v>
      </c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</row>
    <row r="393" customFormat="false" ht="15" hidden="false" customHeight="false" outlineLevel="0" collapsed="false">
      <c r="A393" s="46" t="str">
        <f aca="false">Orders!A393</f>
        <v>ORD-00392</v>
      </c>
      <c r="B393" s="46" t="str">
        <f aca="false">PROPER(TRIM(Orders!K393))</f>
        <v>Delhi</v>
      </c>
      <c r="C393" s="46" t="str">
        <f aca="false">IFERROR(VLOOKUP(Orders!D393,Products!$A$2:$F$61,3,FALSE()),"Not Found")</f>
        <v>Beauty</v>
      </c>
      <c r="D393" s="46" t="str">
        <f aca="false">IFERROR(VLOOKUP(Orders!C393,Customers!$A$2:$F$301,5,FALSE()),"Not Found")</f>
        <v>Retail</v>
      </c>
      <c r="E393" s="46" t="n">
        <f aca="false">IFERROR(VLOOKUP(Orders!C393,Customers!$A$2:$F$301,3,FALSE()),"Not Found")</f>
        <v>63</v>
      </c>
      <c r="F393" s="46" t="str">
        <f aca="false">IFERROR(VLOOKUP(Orders!E393,Sales_Reps!$A$2:$E$31,3,FALSE()),"Not Found")</f>
        <v>West</v>
      </c>
      <c r="G393" s="46" t="n">
        <f aca="false">IFERROR(VLOOKUP(Orders!D393,Products!$A$2:$F$61,4,FALSE()),"")</f>
        <v>647</v>
      </c>
      <c r="H393" s="47" t="n">
        <f aca="false">IF(G393="","",(Orders!G393-G393)/Orders!G393)</f>
        <v>0.57987012987013</v>
      </c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</row>
    <row r="394" customFormat="false" ht="15" hidden="false" customHeight="false" outlineLevel="0" collapsed="false">
      <c r="A394" s="46" t="str">
        <f aca="false">Orders!A394</f>
        <v>ORD-00393</v>
      </c>
      <c r="B394" s="46" t="str">
        <f aca="false">PROPER(TRIM(Orders!K394))</f>
        <v>Pune</v>
      </c>
      <c r="C394" s="46" t="str">
        <f aca="false">IFERROR(VLOOKUP(Orders!D394,Products!$A$2:$F$61,3,FALSE()),"Not Found")</f>
        <v>Apparel</v>
      </c>
      <c r="D394" s="46" t="str">
        <f aca="false">IFERROR(VLOOKUP(Orders!C394,Customers!$A$2:$F$301,5,FALSE()),"Not Found")</f>
        <v>Not Found</v>
      </c>
      <c r="E394" s="46" t="str">
        <f aca="false">IFERROR(VLOOKUP(Orders!C394,Customers!$A$2:$F$301,3,FALSE()),"Not Found")</f>
        <v>Not Found</v>
      </c>
      <c r="F394" s="46" t="str">
        <f aca="false">IFERROR(VLOOKUP(Orders!E394,Sales_Reps!$A$2:$E$31,3,FALSE()),"Not Found")</f>
        <v>West</v>
      </c>
      <c r="G394" s="46" t="n">
        <f aca="false">IFERROR(VLOOKUP(Orders!D394,Products!$A$2:$F$61,4,FALSE()),"")</f>
        <v>2509</v>
      </c>
      <c r="H394" s="47" t="n">
        <f aca="false">IF(G394="","",(Orders!G394-G394)/Orders!G394)</f>
        <v>0.306906077348066</v>
      </c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</row>
    <row r="395" customFormat="false" ht="15" hidden="false" customHeight="false" outlineLevel="0" collapsed="false">
      <c r="A395" s="46" t="str">
        <f aca="false">Orders!A395</f>
        <v>ORD-00394</v>
      </c>
      <c r="B395" s="46" t="str">
        <f aca="false">PROPER(TRIM(Orders!K395))</f>
        <v>Pune</v>
      </c>
      <c r="C395" s="46" t="str">
        <f aca="false">IFERROR(VLOOKUP(Orders!D395,Products!$A$2:$F$61,3,FALSE()),"Not Found")</f>
        <v>Sports</v>
      </c>
      <c r="D395" s="46" t="str">
        <f aca="false">IFERROR(VLOOKUP(Orders!C395,Customers!$A$2:$F$301,5,FALSE()),"Not Found")</f>
        <v>SMB</v>
      </c>
      <c r="E395" s="46" t="n">
        <f aca="false">IFERROR(VLOOKUP(Orders!C395,Customers!$A$2:$F$301,3,FALSE()),"Not Found")</f>
        <v>29</v>
      </c>
      <c r="F395" s="46" t="str">
        <f aca="false">IFERROR(VLOOKUP(Orders!E395,Sales_Reps!$A$2:$E$31,3,FALSE()),"Not Found")</f>
        <v>West</v>
      </c>
      <c r="G395" s="46" t="n">
        <f aca="false">IFERROR(VLOOKUP(Orders!D395,Products!$A$2:$F$61,4,FALSE()),"")</f>
        <v>302</v>
      </c>
      <c r="H395" s="47" t="n">
        <f aca="false">IF(G395="","",(Orders!G395-G395)/Orders!G395)</f>
        <v>0.357446808510638</v>
      </c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</row>
    <row r="396" customFormat="false" ht="15" hidden="false" customHeight="false" outlineLevel="0" collapsed="false">
      <c r="A396" s="46" t="str">
        <f aca="false">Orders!A396</f>
        <v>ORD-00395</v>
      </c>
      <c r="B396" s="46" t="str">
        <f aca="false">PROPER(TRIM(Orders!K396))</f>
        <v>Chennai</v>
      </c>
      <c r="C396" s="46" t="str">
        <f aca="false">IFERROR(VLOOKUP(Orders!D396,Products!$A$2:$F$61,3,FALSE()),"Not Found")</f>
        <v>Grocery</v>
      </c>
      <c r="D396" s="46" t="str">
        <f aca="false">IFERROR(VLOOKUP(Orders!C396,Customers!$A$2:$F$301,5,FALSE()),"Not Found")</f>
        <v>SMB</v>
      </c>
      <c r="E396" s="46" t="n">
        <f aca="false">IFERROR(VLOOKUP(Orders!C396,Customers!$A$2:$F$301,3,FALSE()),"Not Found")</f>
        <v>39</v>
      </c>
      <c r="F396" s="46" t="str">
        <f aca="false">IFERROR(VLOOKUP(Orders!E396,Sales_Reps!$A$2:$E$31,3,FALSE()),"Not Found")</f>
        <v>South</v>
      </c>
      <c r="G396" s="46" t="n">
        <f aca="false">IFERROR(VLOOKUP(Orders!D396,Products!$A$2:$F$61,4,FALSE()),"")</f>
        <v>2214</v>
      </c>
      <c r="H396" s="47" t="n">
        <f aca="false">IF(G396="","",(Orders!G396-G396)/Orders!G396)</f>
        <v>0.395081967213115</v>
      </c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</row>
    <row r="397" customFormat="false" ht="15" hidden="false" customHeight="false" outlineLevel="0" collapsed="false">
      <c r="A397" s="46" t="str">
        <f aca="false">Orders!A397</f>
        <v>ORD-00396</v>
      </c>
      <c r="B397" s="46" t="str">
        <f aca="false">PROPER(TRIM(Orders!K397))</f>
        <v>Bengaluru</v>
      </c>
      <c r="C397" s="46" t="str">
        <f aca="false">IFERROR(VLOOKUP(Orders!D397,Products!$A$2:$F$61,3,FALSE()),"Not Found")</f>
        <v>Sports</v>
      </c>
      <c r="D397" s="46" t="str">
        <f aca="false">IFERROR(VLOOKUP(Orders!C397,Customers!$A$2:$F$301,5,FALSE()),"Not Found")</f>
        <v>Corporate</v>
      </c>
      <c r="E397" s="46" t="n">
        <f aca="false">IFERROR(VLOOKUP(Orders!C397,Customers!$A$2:$F$301,3,FALSE()),"Not Found")</f>
        <v>57</v>
      </c>
      <c r="F397" s="46" t="str">
        <f aca="false">IFERROR(VLOOKUP(Orders!E397,Sales_Reps!$A$2:$E$31,3,FALSE()),"Not Found")</f>
        <v>East</v>
      </c>
      <c r="G397" s="46" t="n">
        <f aca="false">IFERROR(VLOOKUP(Orders!D397,Products!$A$2:$F$61,4,FALSE()),"")</f>
        <v>2827</v>
      </c>
      <c r="H397" s="47" t="n">
        <f aca="false">IF(G397="","",(Orders!G397-G397)/Orders!G397)</f>
        <v>0.592651296829971</v>
      </c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</row>
    <row r="398" customFormat="false" ht="15" hidden="false" customHeight="false" outlineLevel="0" collapsed="false">
      <c r="A398" s="46" t="str">
        <f aca="false">Orders!A398</f>
        <v>ORD-00397</v>
      </c>
      <c r="B398" s="46" t="str">
        <f aca="false">PROPER(TRIM(Orders!K398))</f>
        <v>Pune</v>
      </c>
      <c r="C398" s="46" t="str">
        <f aca="false">IFERROR(VLOOKUP(Orders!D398,Products!$A$2:$F$61,3,FALSE()),"Not Found")</f>
        <v>Beauty</v>
      </c>
      <c r="D398" s="46" t="str">
        <f aca="false">IFERROR(VLOOKUP(Orders!C398,Customers!$A$2:$F$301,5,FALSE()),"Not Found")</f>
        <v>Corporate</v>
      </c>
      <c r="E398" s="46" t="n">
        <f aca="false">IFERROR(VLOOKUP(Orders!C398,Customers!$A$2:$F$301,3,FALSE()),"Not Found")</f>
        <v>40</v>
      </c>
      <c r="F398" s="46" t="str">
        <f aca="false">IFERROR(VLOOKUP(Orders!E398,Sales_Reps!$A$2:$E$31,3,FALSE()),"Not Found")</f>
        <v>North</v>
      </c>
      <c r="G398" s="46" t="n">
        <f aca="false">IFERROR(VLOOKUP(Orders!D398,Products!$A$2:$F$61,4,FALSE()),"")</f>
        <v>1219</v>
      </c>
      <c r="H398" s="47" t="n">
        <f aca="false">IF(G398="","",(Orders!G398-G398)/Orders!G398)</f>
        <v>0.467685589519651</v>
      </c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</row>
    <row r="399" customFormat="false" ht="15" hidden="false" customHeight="false" outlineLevel="0" collapsed="false">
      <c r="A399" s="46" t="str">
        <f aca="false">Orders!A399</f>
        <v>ORD-00398</v>
      </c>
      <c r="B399" s="46" t="str">
        <f aca="false">PROPER(TRIM(Orders!K399))</f>
        <v>Hyderabad</v>
      </c>
      <c r="C399" s="46" t="str">
        <f aca="false">IFERROR(VLOOKUP(Orders!D399,Products!$A$2:$F$61,3,FALSE()),"Not Found")</f>
        <v>Apparel</v>
      </c>
      <c r="D399" s="46" t="str">
        <f aca="false">IFERROR(VLOOKUP(Orders!C399,Customers!$A$2:$F$301,5,FALSE()),"Not Found")</f>
        <v>Retail</v>
      </c>
      <c r="E399" s="46" t="n">
        <f aca="false">IFERROR(VLOOKUP(Orders!C399,Customers!$A$2:$F$301,3,FALSE()),"Not Found")</f>
        <v>61</v>
      </c>
      <c r="F399" s="46" t="str">
        <f aca="false">IFERROR(VLOOKUP(Orders!E399,Sales_Reps!$A$2:$E$31,3,FALSE()),"Not Found")</f>
        <v>West</v>
      </c>
      <c r="G399" s="46" t="n">
        <f aca="false">IFERROR(VLOOKUP(Orders!D399,Products!$A$2:$F$61,4,FALSE()),"")</f>
        <v>1886</v>
      </c>
      <c r="H399" s="47" t="n">
        <f aca="false">IF(G399="","",(Orders!G399-G399)/Orders!G399)</f>
        <v>0.403164556962025</v>
      </c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</row>
    <row r="400" customFormat="false" ht="15" hidden="false" customHeight="false" outlineLevel="0" collapsed="false">
      <c r="A400" s="46" t="str">
        <f aca="false">Orders!A400</f>
        <v>ORD-00399</v>
      </c>
      <c r="B400" s="46" t="str">
        <f aca="false">PROPER(TRIM(Orders!K400))</f>
        <v>Pune</v>
      </c>
      <c r="C400" s="46" t="str">
        <f aca="false">IFERROR(VLOOKUP(Orders!D400,Products!$A$2:$F$61,3,FALSE()),"Not Found")</f>
        <v>Home</v>
      </c>
      <c r="D400" s="46" t="str">
        <f aca="false">IFERROR(VLOOKUP(Orders!C400,Customers!$A$2:$F$301,5,FALSE()),"Not Found")</f>
        <v>Retail</v>
      </c>
      <c r="E400" s="46" t="n">
        <f aca="false">IFERROR(VLOOKUP(Orders!C400,Customers!$A$2:$F$301,3,FALSE()),"Not Found")</f>
        <v>36</v>
      </c>
      <c r="F400" s="46" t="str">
        <f aca="false">IFERROR(VLOOKUP(Orders!E400,Sales_Reps!$A$2:$E$31,3,FALSE()),"Not Found")</f>
        <v>West</v>
      </c>
      <c r="G400" s="46" t="n">
        <f aca="false">IFERROR(VLOOKUP(Orders!D400,Products!$A$2:$F$61,4,FALSE()),"")</f>
        <v>2459</v>
      </c>
      <c r="H400" s="47" t="n">
        <f aca="false">IF(G400="","",(Orders!G400-G400)/Orders!G400)</f>
        <v>0.515944881889764</v>
      </c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</row>
    <row r="401" customFormat="false" ht="15" hidden="false" customHeight="false" outlineLevel="0" collapsed="false">
      <c r="A401" s="46" t="str">
        <f aca="false">Orders!A401</f>
        <v>ORD-00400</v>
      </c>
      <c r="B401" s="46" t="str">
        <f aca="false">PROPER(TRIM(Orders!K401))</f>
        <v>Hyderabad</v>
      </c>
      <c r="C401" s="46" t="str">
        <f aca="false">IFERROR(VLOOKUP(Orders!D401,Products!$A$2:$F$61,3,FALSE()),"Not Found")</f>
        <v>Grocery</v>
      </c>
      <c r="D401" s="46" t="str">
        <f aca="false">IFERROR(VLOOKUP(Orders!C401,Customers!$A$2:$F$301,5,FALSE()),"Not Found")</f>
        <v>Retail</v>
      </c>
      <c r="E401" s="46" t="n">
        <f aca="false">IFERROR(VLOOKUP(Orders!C401,Customers!$A$2:$F$301,3,FALSE()),"Not Found")</f>
        <v>64</v>
      </c>
      <c r="F401" s="46" t="str">
        <f aca="false">IFERROR(VLOOKUP(Orders!E401,Sales_Reps!$A$2:$E$31,3,FALSE()),"Not Found")</f>
        <v>South</v>
      </c>
      <c r="G401" s="46" t="n">
        <f aca="false">IFERROR(VLOOKUP(Orders!D401,Products!$A$2:$F$61,4,FALSE()),"")</f>
        <v>1435</v>
      </c>
      <c r="H401" s="47" t="n">
        <f aca="false">IF(G401="","",(Orders!G401-G401)/Orders!G401)</f>
        <v>0.480072463768116</v>
      </c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</row>
    <row r="402" customFormat="false" ht="15" hidden="false" customHeight="false" outlineLevel="0" collapsed="false">
      <c r="A402" s="46" t="str">
        <f aca="false">Orders!A402</f>
        <v>ORD-00401</v>
      </c>
      <c r="B402" s="46" t="str">
        <f aca="false">PROPER(TRIM(Orders!K402))</f>
        <v>Mumbai</v>
      </c>
      <c r="C402" s="46" t="str">
        <f aca="false">IFERROR(VLOOKUP(Orders!D402,Products!$A$2:$F$61,3,FALSE()),"Not Found")</f>
        <v>Electronics</v>
      </c>
      <c r="D402" s="46" t="str">
        <f aca="false">IFERROR(VLOOKUP(Orders!C402,Customers!$A$2:$F$301,5,FALSE()),"Not Found")</f>
        <v>Not Found</v>
      </c>
      <c r="E402" s="46" t="str">
        <f aca="false">IFERROR(VLOOKUP(Orders!C402,Customers!$A$2:$F$301,3,FALSE()),"Not Found")</f>
        <v>Not Found</v>
      </c>
      <c r="F402" s="46" t="str">
        <f aca="false">IFERROR(VLOOKUP(Orders!E402,Sales_Reps!$A$2:$E$31,3,FALSE()),"Not Found")</f>
        <v>South</v>
      </c>
      <c r="G402" s="46" t="n">
        <f aca="false">IFERROR(VLOOKUP(Orders!D402,Products!$A$2:$F$61,4,FALSE()),"")</f>
        <v>517</v>
      </c>
      <c r="H402" s="47" t="n">
        <f aca="false">IF(G402="","",(Orders!G402-G402)/Orders!G402)</f>
        <v>0.576229508196721</v>
      </c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</row>
    <row r="403" customFormat="false" ht="15" hidden="false" customHeight="false" outlineLevel="0" collapsed="false">
      <c r="A403" s="46" t="str">
        <f aca="false">Orders!A403</f>
        <v>ORD-00402</v>
      </c>
      <c r="B403" s="46" t="str">
        <f aca="false">PROPER(TRIM(Orders!K403))</f>
        <v>Chennai</v>
      </c>
      <c r="C403" s="46" t="str">
        <f aca="false">IFERROR(VLOOKUP(Orders!D403,Products!$A$2:$F$61,3,FALSE()),"Not Found")</f>
        <v>Beauty</v>
      </c>
      <c r="D403" s="46" t="str">
        <f aca="false">IFERROR(VLOOKUP(Orders!C403,Customers!$A$2:$F$301,5,FALSE()),"Not Found")</f>
        <v>Retail</v>
      </c>
      <c r="E403" s="46" t="n">
        <f aca="false">IFERROR(VLOOKUP(Orders!C403,Customers!$A$2:$F$301,3,FALSE()),"Not Found")</f>
        <v>41</v>
      </c>
      <c r="F403" s="46" t="str">
        <f aca="false">IFERROR(VLOOKUP(Orders!E403,Sales_Reps!$A$2:$E$31,3,FALSE()),"Not Found")</f>
        <v>West</v>
      </c>
      <c r="G403" s="46" t="n">
        <f aca="false">IFERROR(VLOOKUP(Orders!D403,Products!$A$2:$F$61,4,FALSE()),"")</f>
        <v>2768</v>
      </c>
      <c r="H403" s="47" t="n">
        <f aca="false">IF(G403="","",(Orders!G403-G403)/Orders!G403)</f>
        <v>0.432786885245902</v>
      </c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</row>
    <row r="404" customFormat="false" ht="15" hidden="false" customHeight="false" outlineLevel="0" collapsed="false">
      <c r="A404" s="46" t="str">
        <f aca="false">Orders!A404</f>
        <v>ORD-00403</v>
      </c>
      <c r="B404" s="46" t="str">
        <f aca="false">PROPER(TRIM(Orders!K404))</f>
        <v>Bengaluru</v>
      </c>
      <c r="C404" s="46" t="str">
        <f aca="false">IFERROR(VLOOKUP(Orders!D404,Products!$A$2:$F$61,3,FALSE()),"Not Found")</f>
        <v>Grocery</v>
      </c>
      <c r="D404" s="46" t="str">
        <f aca="false">IFERROR(VLOOKUP(Orders!C404,Customers!$A$2:$F$301,5,FALSE()),"Not Found")</f>
        <v>SMB</v>
      </c>
      <c r="E404" s="46" t="n">
        <f aca="false">IFERROR(VLOOKUP(Orders!C404,Customers!$A$2:$F$301,3,FALSE()),"Not Found")</f>
        <v>64</v>
      </c>
      <c r="F404" s="46" t="str">
        <f aca="false">IFERROR(VLOOKUP(Orders!E404,Sales_Reps!$A$2:$E$31,3,FALSE()),"Not Found")</f>
        <v>East</v>
      </c>
      <c r="G404" s="46" t="n">
        <f aca="false">IFERROR(VLOOKUP(Orders!D404,Products!$A$2:$F$61,4,FALSE()),"")</f>
        <v>2027</v>
      </c>
      <c r="H404" s="47" t="n">
        <f aca="false">IF(G404="","",(Orders!G404-G404)/Orders!G404)</f>
        <v>0.501965601965602</v>
      </c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</row>
    <row r="405" customFormat="false" ht="15" hidden="false" customHeight="false" outlineLevel="0" collapsed="false">
      <c r="A405" s="46" t="str">
        <f aca="false">Orders!A405</f>
        <v>ORD-00404</v>
      </c>
      <c r="B405" s="46" t="str">
        <f aca="false">PROPER(TRIM(Orders!K405))</f>
        <v>Hyderabad</v>
      </c>
      <c r="C405" s="46" t="str">
        <f aca="false">IFERROR(VLOOKUP(Orders!D405,Products!$A$2:$F$61,3,FALSE()),"Not Found")</f>
        <v>Electronics</v>
      </c>
      <c r="D405" s="46" t="str">
        <f aca="false">IFERROR(VLOOKUP(Orders!C405,Customers!$A$2:$F$301,5,FALSE()),"Not Found")</f>
        <v>SMB</v>
      </c>
      <c r="E405" s="46" t="n">
        <f aca="false">IFERROR(VLOOKUP(Orders!C405,Customers!$A$2:$F$301,3,FALSE()),"Not Found")</f>
        <v>65</v>
      </c>
      <c r="F405" s="46" t="str">
        <f aca="false">IFERROR(VLOOKUP(Orders!E405,Sales_Reps!$A$2:$E$31,3,FALSE()),"Not Found")</f>
        <v>West</v>
      </c>
      <c r="G405" s="46" t="n">
        <f aca="false">IFERROR(VLOOKUP(Orders!D405,Products!$A$2:$F$61,4,FALSE()),"")</f>
        <v>2865</v>
      </c>
      <c r="H405" s="47" t="n">
        <f aca="false">IF(G405="","",(Orders!G405-G405)/Orders!G405)</f>
        <v>0.278337531486146</v>
      </c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</row>
    <row r="406" customFormat="false" ht="15" hidden="false" customHeight="false" outlineLevel="0" collapsed="false">
      <c r="A406" s="46" t="str">
        <f aca="false">Orders!A406</f>
        <v>ORD-00405</v>
      </c>
      <c r="B406" s="46" t="str">
        <f aca="false">PROPER(TRIM(Orders!K406))</f>
        <v>Delhi</v>
      </c>
      <c r="C406" s="46" t="str">
        <f aca="false">IFERROR(VLOOKUP(Orders!D406,Products!$A$2:$F$61,3,FALSE()),"Not Found")</f>
        <v>Electronics</v>
      </c>
      <c r="D406" s="46" t="str">
        <f aca="false">IFERROR(VLOOKUP(Orders!C406,Customers!$A$2:$F$301,5,FALSE()),"Not Found")</f>
        <v>Corporate</v>
      </c>
      <c r="E406" s="46" t="n">
        <f aca="false">IFERROR(VLOOKUP(Orders!C406,Customers!$A$2:$F$301,3,FALSE()),"Not Found")</f>
        <v>55</v>
      </c>
      <c r="F406" s="46" t="str">
        <f aca="false">IFERROR(VLOOKUP(Orders!E406,Sales_Reps!$A$2:$E$31,3,FALSE()),"Not Found")</f>
        <v>East</v>
      </c>
      <c r="G406" s="46" t="n">
        <f aca="false">IFERROR(VLOOKUP(Orders!D406,Products!$A$2:$F$61,4,FALSE()),"")</f>
        <v>1259</v>
      </c>
      <c r="H406" s="47" t="n">
        <f aca="false">IF(G406="","",(Orders!G406-G406)/Orders!G406)</f>
        <v>0.526691729323308</v>
      </c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</row>
    <row r="407" customFormat="false" ht="15" hidden="false" customHeight="false" outlineLevel="0" collapsed="false">
      <c r="A407" s="46" t="str">
        <f aca="false">Orders!A407</f>
        <v>ORD-00406</v>
      </c>
      <c r="B407" s="46" t="str">
        <f aca="false">PROPER(TRIM(Orders!K407))</f>
        <v>Pune</v>
      </c>
      <c r="C407" s="46" t="str">
        <f aca="false">IFERROR(VLOOKUP(Orders!D407,Products!$A$2:$F$61,3,FALSE()),"Not Found")</f>
        <v>Sports</v>
      </c>
      <c r="D407" s="46" t="str">
        <f aca="false">IFERROR(VLOOKUP(Orders!C407,Customers!$A$2:$F$301,5,FALSE()),"Not Found")</f>
        <v>Retail</v>
      </c>
      <c r="E407" s="46" t="n">
        <f aca="false">IFERROR(VLOOKUP(Orders!C407,Customers!$A$2:$F$301,3,FALSE()),"Not Found")</f>
        <v>36</v>
      </c>
      <c r="F407" s="46" t="str">
        <f aca="false">IFERROR(VLOOKUP(Orders!E407,Sales_Reps!$A$2:$E$31,3,FALSE()),"Not Found")</f>
        <v>East</v>
      </c>
      <c r="G407" s="46" t="n">
        <f aca="false">IFERROR(VLOOKUP(Orders!D407,Products!$A$2:$F$61,4,FALSE()),"")</f>
        <v>2028</v>
      </c>
      <c r="H407" s="47" t="n">
        <f aca="false">IF(G407="","",(Orders!G407-G407)/Orders!G407)</f>
        <v>0.290909090909091</v>
      </c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</row>
    <row r="408" customFormat="false" ht="15" hidden="false" customHeight="false" outlineLevel="0" collapsed="false">
      <c r="A408" s="46" t="str">
        <f aca="false">Orders!A408</f>
        <v>ORD-00407</v>
      </c>
      <c r="B408" s="46" t="str">
        <f aca="false">PROPER(TRIM(Orders!K408))</f>
        <v>Delhi</v>
      </c>
      <c r="C408" s="46" t="str">
        <f aca="false">IFERROR(VLOOKUP(Orders!D408,Products!$A$2:$F$61,3,FALSE()),"Not Found")</f>
        <v>Electronics</v>
      </c>
      <c r="D408" s="46" t="str">
        <f aca="false">IFERROR(VLOOKUP(Orders!C408,Customers!$A$2:$F$301,5,FALSE()),"Not Found")</f>
        <v>Retail</v>
      </c>
      <c r="E408" s="46" t="n">
        <f aca="false">IFERROR(VLOOKUP(Orders!C408,Customers!$A$2:$F$301,3,FALSE()),"Not Found")</f>
        <v>35</v>
      </c>
      <c r="F408" s="46" t="str">
        <f aca="false">IFERROR(VLOOKUP(Orders!E408,Sales_Reps!$A$2:$E$31,3,FALSE()),"Not Found")</f>
        <v>North</v>
      </c>
      <c r="G408" s="46" t="n">
        <f aca="false">IFERROR(VLOOKUP(Orders!D408,Products!$A$2:$F$61,4,FALSE()),"")</f>
        <v>517</v>
      </c>
      <c r="H408" s="47" t="n">
        <f aca="false">IF(G408="","",(Orders!G408-G408)/Orders!G408)</f>
        <v>0.576229508196721</v>
      </c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</row>
    <row r="409" customFormat="false" ht="15" hidden="false" customHeight="false" outlineLevel="0" collapsed="false">
      <c r="A409" s="46" t="str">
        <f aca="false">Orders!A409</f>
        <v>ORD-00408</v>
      </c>
      <c r="B409" s="46" t="str">
        <f aca="false">PROPER(TRIM(Orders!K409))</f>
        <v>Delhi</v>
      </c>
      <c r="C409" s="46" t="str">
        <f aca="false">IFERROR(VLOOKUP(Orders!D409,Products!$A$2:$F$61,3,FALSE()),"Not Found")</f>
        <v>Grocery</v>
      </c>
      <c r="D409" s="46" t="str">
        <f aca="false">IFERROR(VLOOKUP(Orders!C409,Customers!$A$2:$F$301,5,FALSE()),"Not Found")</f>
        <v>Corporate</v>
      </c>
      <c r="E409" s="46" t="n">
        <f aca="false">IFERROR(VLOOKUP(Orders!C409,Customers!$A$2:$F$301,3,FALSE()),"Not Found")</f>
        <v>31</v>
      </c>
      <c r="F409" s="46" t="str">
        <f aca="false">IFERROR(VLOOKUP(Orders!E409,Sales_Reps!$A$2:$E$31,3,FALSE()),"Not Found")</f>
        <v>West</v>
      </c>
      <c r="G409" s="46" t="n">
        <f aca="false">IFERROR(VLOOKUP(Orders!D409,Products!$A$2:$F$61,4,FALSE()),"")</f>
        <v>1412</v>
      </c>
      <c r="H409" s="47" t="n">
        <f aca="false">IF(G409="","",(Orders!G409-G409)/Orders!G409)</f>
        <v>0.377973568281938</v>
      </c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</row>
    <row r="410" customFormat="false" ht="15" hidden="false" customHeight="false" outlineLevel="0" collapsed="false">
      <c r="A410" s="46" t="str">
        <f aca="false">Orders!A410</f>
        <v>ORD-00409</v>
      </c>
      <c r="B410" s="46" t="str">
        <f aca="false">PROPER(TRIM(Orders!K410))</f>
        <v>Mumbai</v>
      </c>
      <c r="C410" s="46" t="str">
        <f aca="false">IFERROR(VLOOKUP(Orders!D410,Products!$A$2:$F$61,3,FALSE()),"Not Found")</f>
        <v>Home</v>
      </c>
      <c r="D410" s="46" t="str">
        <f aca="false">IFERROR(VLOOKUP(Orders!C410,Customers!$A$2:$F$301,5,FALSE()),"Not Found")</f>
        <v>SMB</v>
      </c>
      <c r="E410" s="46" t="n">
        <f aca="false">IFERROR(VLOOKUP(Orders!C410,Customers!$A$2:$F$301,3,FALSE()),"Not Found")</f>
        <v>65</v>
      </c>
      <c r="F410" s="46" t="str">
        <f aca="false">IFERROR(VLOOKUP(Orders!E410,Sales_Reps!$A$2:$E$31,3,FALSE()),"Not Found")</f>
        <v>North</v>
      </c>
      <c r="G410" s="46" t="n">
        <f aca="false">IFERROR(VLOOKUP(Orders!D410,Products!$A$2:$F$61,4,FALSE()),"")</f>
        <v>329</v>
      </c>
      <c r="H410" s="47" t="n">
        <f aca="false">IF(G410="","",(Orders!G410-G410)/Orders!G410)</f>
        <v>0.501515151515152</v>
      </c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</row>
    <row r="411" customFormat="false" ht="15" hidden="false" customHeight="false" outlineLevel="0" collapsed="false">
      <c r="A411" s="46" t="str">
        <f aca="false">Orders!A411</f>
        <v>ORD-00410</v>
      </c>
      <c r="B411" s="46" t="str">
        <f aca="false">PROPER(TRIM(Orders!K411))</f>
        <v>Chennai</v>
      </c>
      <c r="C411" s="46" t="str">
        <f aca="false">IFERROR(VLOOKUP(Orders!D411,Products!$A$2:$F$61,3,FALSE()),"Not Found")</f>
        <v>Apparel</v>
      </c>
      <c r="D411" s="46" t="str">
        <f aca="false">IFERROR(VLOOKUP(Orders!C411,Customers!$A$2:$F$301,5,FALSE()),"Not Found")</f>
        <v>Corporate</v>
      </c>
      <c r="E411" s="46" t="n">
        <f aca="false">IFERROR(VLOOKUP(Orders!C411,Customers!$A$2:$F$301,3,FALSE()),"Not Found")</f>
        <v>38</v>
      </c>
      <c r="F411" s="46" t="str">
        <f aca="false">IFERROR(VLOOKUP(Orders!E411,Sales_Reps!$A$2:$E$31,3,FALSE()),"Not Found")</f>
        <v>South</v>
      </c>
      <c r="G411" s="46" t="n">
        <f aca="false">IFERROR(VLOOKUP(Orders!D411,Products!$A$2:$F$61,4,FALSE()),"")</f>
        <v>1886</v>
      </c>
      <c r="H411" s="47" t="n">
        <f aca="false">IF(G411="","",(Orders!G411-G411)/Orders!G411)</f>
        <v>0.403164556962025</v>
      </c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</row>
    <row r="412" customFormat="false" ht="15" hidden="false" customHeight="false" outlineLevel="0" collapsed="false">
      <c r="A412" s="46" t="str">
        <f aca="false">Orders!A412</f>
        <v>ORD-00411</v>
      </c>
      <c r="B412" s="46" t="str">
        <f aca="false">PROPER(TRIM(Orders!K412))</f>
        <v>Chennai</v>
      </c>
      <c r="C412" s="46" t="str">
        <f aca="false">IFERROR(VLOOKUP(Orders!D412,Products!$A$2:$F$61,3,FALSE()),"Not Found")</f>
        <v>Electronics</v>
      </c>
      <c r="D412" s="46" t="str">
        <f aca="false">IFERROR(VLOOKUP(Orders!C412,Customers!$A$2:$F$301,5,FALSE()),"Not Found")</f>
        <v>Retail</v>
      </c>
      <c r="E412" s="46" t="n">
        <f aca="false">IFERROR(VLOOKUP(Orders!C412,Customers!$A$2:$F$301,3,FALSE()),"Not Found")</f>
        <v>36</v>
      </c>
      <c r="F412" s="46" t="str">
        <f aca="false">IFERROR(VLOOKUP(Orders!E412,Sales_Reps!$A$2:$E$31,3,FALSE()),"Not Found")</f>
        <v>South</v>
      </c>
      <c r="G412" s="46" t="n">
        <f aca="false">IFERROR(VLOOKUP(Orders!D412,Products!$A$2:$F$61,4,FALSE()),"")</f>
        <v>1052</v>
      </c>
      <c r="H412" s="47" t="n">
        <f aca="false">IF(G412="","",(Orders!G412-G412)/Orders!G412)</f>
        <v>0.595384615384615</v>
      </c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</row>
    <row r="413" customFormat="false" ht="15" hidden="false" customHeight="false" outlineLevel="0" collapsed="false">
      <c r="A413" s="46" t="str">
        <f aca="false">Orders!A413</f>
        <v>ORD-00412</v>
      </c>
      <c r="B413" s="46" t="str">
        <f aca="false">PROPER(TRIM(Orders!K413))</f>
        <v>Chennai</v>
      </c>
      <c r="C413" s="46" t="str">
        <f aca="false">IFERROR(VLOOKUP(Orders!D413,Products!$A$2:$F$61,3,FALSE()),"Not Found")</f>
        <v>Home</v>
      </c>
      <c r="D413" s="46" t="str">
        <f aca="false">IFERROR(VLOOKUP(Orders!C413,Customers!$A$2:$F$301,5,FALSE()),"Not Found")</f>
        <v>Retail</v>
      </c>
      <c r="E413" s="46" t="n">
        <f aca="false">IFERROR(VLOOKUP(Orders!C413,Customers!$A$2:$F$301,3,FALSE()),"Not Found")</f>
        <v>32</v>
      </c>
      <c r="F413" s="46" t="str">
        <f aca="false">IFERROR(VLOOKUP(Orders!E413,Sales_Reps!$A$2:$E$31,3,FALSE()),"Not Found")</f>
        <v>South</v>
      </c>
      <c r="G413" s="46" t="n">
        <f aca="false">IFERROR(VLOOKUP(Orders!D413,Products!$A$2:$F$61,4,FALSE()),"")</f>
        <v>1850</v>
      </c>
      <c r="H413" s="47" t="n">
        <f aca="false">IF(G413="","",(Orders!G413-G413)/Orders!G413)</f>
        <v>0.598698481561822</v>
      </c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</row>
    <row r="414" customFormat="false" ht="15" hidden="false" customHeight="false" outlineLevel="0" collapsed="false">
      <c r="A414" s="46" t="str">
        <f aca="false">Orders!A414</f>
        <v>ORD-00413</v>
      </c>
      <c r="B414" s="46" t="str">
        <f aca="false">PROPER(TRIM(Orders!K414))</f>
        <v>Pune</v>
      </c>
      <c r="C414" s="46" t="str">
        <f aca="false">IFERROR(VLOOKUP(Orders!D414,Products!$A$2:$F$61,3,FALSE()),"Not Found")</f>
        <v>Apparel</v>
      </c>
      <c r="D414" s="46" t="str">
        <f aca="false">IFERROR(VLOOKUP(Orders!C414,Customers!$A$2:$F$301,5,FALSE()),"Not Found")</f>
        <v>Retail</v>
      </c>
      <c r="E414" s="46" t="n">
        <f aca="false">IFERROR(VLOOKUP(Orders!C414,Customers!$A$2:$F$301,3,FALSE()),"Not Found")</f>
        <v>62</v>
      </c>
      <c r="F414" s="46" t="str">
        <f aca="false">IFERROR(VLOOKUP(Orders!E414,Sales_Reps!$A$2:$E$31,3,FALSE()),"Not Found")</f>
        <v>East</v>
      </c>
      <c r="G414" s="46" t="n">
        <f aca="false">IFERROR(VLOOKUP(Orders!D414,Products!$A$2:$F$61,4,FALSE()),"")</f>
        <v>2611</v>
      </c>
      <c r="H414" s="47" t="n">
        <f aca="false">IF(G414="","",(Orders!G414-G414)/Orders!G414)</f>
        <v>0.282692307692308</v>
      </c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</row>
    <row r="415" customFormat="false" ht="15" hidden="false" customHeight="false" outlineLevel="0" collapsed="false">
      <c r="A415" s="46" t="str">
        <f aca="false">Orders!A415</f>
        <v>ORD-00414</v>
      </c>
      <c r="B415" s="46" t="str">
        <f aca="false">PROPER(TRIM(Orders!K415))</f>
        <v>Delhi</v>
      </c>
      <c r="C415" s="46" t="str">
        <f aca="false">IFERROR(VLOOKUP(Orders!D415,Products!$A$2:$F$61,3,FALSE()),"Not Found")</f>
        <v>Apparel</v>
      </c>
      <c r="D415" s="46" t="str">
        <f aca="false">IFERROR(VLOOKUP(Orders!C415,Customers!$A$2:$F$301,5,FALSE()),"Not Found")</f>
        <v>SMB</v>
      </c>
      <c r="E415" s="46" t="n">
        <f aca="false">IFERROR(VLOOKUP(Orders!C415,Customers!$A$2:$F$301,3,FALSE()),"Not Found")</f>
        <v>29</v>
      </c>
      <c r="F415" s="46" t="str">
        <f aca="false">IFERROR(VLOOKUP(Orders!E415,Sales_Reps!$A$2:$E$31,3,FALSE()),"Not Found")</f>
        <v>North</v>
      </c>
      <c r="G415" s="46" t="n">
        <f aca="false">IFERROR(VLOOKUP(Orders!D415,Products!$A$2:$F$61,4,FALSE()),"")</f>
        <v>1962</v>
      </c>
      <c r="H415" s="47" t="n">
        <f aca="false">IF(G415="","",(Orders!G415-G415)/Orders!G415)</f>
        <v>0.278676470588235</v>
      </c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</row>
    <row r="416" customFormat="false" ht="15" hidden="false" customHeight="false" outlineLevel="0" collapsed="false">
      <c r="A416" s="46" t="str">
        <f aca="false">Orders!A416</f>
        <v>ORD-00415</v>
      </c>
      <c r="B416" s="46" t="str">
        <f aca="false">PROPER(TRIM(Orders!K416))</f>
        <v>Delhi</v>
      </c>
      <c r="C416" s="46" t="str">
        <f aca="false">IFERROR(VLOOKUP(Orders!D416,Products!$A$2:$F$61,3,FALSE()),"Not Found")</f>
        <v>Sports</v>
      </c>
      <c r="D416" s="46" t="str">
        <f aca="false">IFERROR(VLOOKUP(Orders!C416,Customers!$A$2:$F$301,5,FALSE()),"Not Found")</f>
        <v>Retail</v>
      </c>
      <c r="E416" s="46" t="n">
        <f aca="false">IFERROR(VLOOKUP(Orders!C416,Customers!$A$2:$F$301,3,FALSE()),"Not Found")</f>
        <v>45</v>
      </c>
      <c r="F416" s="46" t="str">
        <f aca="false">IFERROR(VLOOKUP(Orders!E416,Sales_Reps!$A$2:$E$31,3,FALSE()),"Not Found")</f>
        <v>North</v>
      </c>
      <c r="G416" s="46" t="n">
        <f aca="false">IFERROR(VLOOKUP(Orders!D416,Products!$A$2:$F$61,4,FALSE()),"")</f>
        <v>1860</v>
      </c>
      <c r="H416" s="47" t="n">
        <f aca="false">IF(G416="","",(Orders!G416-G416)/Orders!G416)</f>
        <v>0.507936507936508</v>
      </c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</row>
    <row r="417" customFormat="false" ht="15" hidden="false" customHeight="false" outlineLevel="0" collapsed="false">
      <c r="A417" s="46" t="str">
        <f aca="false">Orders!A417</f>
        <v>ORD-00416</v>
      </c>
      <c r="B417" s="46" t="str">
        <f aca="false">PROPER(TRIM(Orders!K417))</f>
        <v>Hyderabad</v>
      </c>
      <c r="C417" s="46" t="str">
        <f aca="false">IFERROR(VLOOKUP(Orders!D417,Products!$A$2:$F$61,3,FALSE()),"Not Found")</f>
        <v>Home</v>
      </c>
      <c r="D417" s="46" t="str">
        <f aca="false">IFERROR(VLOOKUP(Orders!C417,Customers!$A$2:$F$301,5,FALSE()),"Not Found")</f>
        <v>Retail</v>
      </c>
      <c r="E417" s="46" t="n">
        <f aca="false">IFERROR(VLOOKUP(Orders!C417,Customers!$A$2:$F$301,3,FALSE()),"Not Found")</f>
        <v>52</v>
      </c>
      <c r="F417" s="46" t="str">
        <f aca="false">IFERROR(VLOOKUP(Orders!E417,Sales_Reps!$A$2:$E$31,3,FALSE()),"Not Found")</f>
        <v>West</v>
      </c>
      <c r="G417" s="46" t="n">
        <f aca="false">IFERROR(VLOOKUP(Orders!D417,Products!$A$2:$F$61,4,FALSE()),"")</f>
        <v>464</v>
      </c>
      <c r="H417" s="47" t="n">
        <f aca="false">IF(G417="","",(Orders!G417-G417)/Orders!G417)</f>
        <v>0.574311926605505</v>
      </c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</row>
    <row r="418" customFormat="false" ht="15" hidden="false" customHeight="false" outlineLevel="0" collapsed="false">
      <c r="A418" s="46" t="str">
        <f aca="false">Orders!A418</f>
        <v>ORD-00417</v>
      </c>
      <c r="B418" s="46" t="str">
        <f aca="false">PROPER(TRIM(Orders!K418))</f>
        <v>Chennai</v>
      </c>
      <c r="C418" s="46" t="str">
        <f aca="false">IFERROR(VLOOKUP(Orders!D418,Products!$A$2:$F$61,3,FALSE()),"Not Found")</f>
        <v>Home</v>
      </c>
      <c r="D418" s="46" t="str">
        <f aca="false">IFERROR(VLOOKUP(Orders!C418,Customers!$A$2:$F$301,5,FALSE()),"Not Found")</f>
        <v>Retail</v>
      </c>
      <c r="E418" s="46" t="n">
        <f aca="false">IFERROR(VLOOKUP(Orders!C418,Customers!$A$2:$F$301,3,FALSE()),"Not Found")</f>
        <v>26</v>
      </c>
      <c r="F418" s="46" t="str">
        <f aca="false">IFERROR(VLOOKUP(Orders!E418,Sales_Reps!$A$2:$E$31,3,FALSE()),"Not Found")</f>
        <v>West</v>
      </c>
      <c r="G418" s="46" t="n">
        <f aca="false">IFERROR(VLOOKUP(Orders!D418,Products!$A$2:$F$61,4,FALSE()),"")</f>
        <v>464</v>
      </c>
      <c r="H418" s="47" t="n">
        <f aca="false">IF(G418="","",(Orders!G418-G418)/Orders!G418)</f>
        <v>0.574311926605505</v>
      </c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</row>
    <row r="419" customFormat="false" ht="15" hidden="false" customHeight="false" outlineLevel="0" collapsed="false">
      <c r="A419" s="46" t="str">
        <f aca="false">Orders!A419</f>
        <v>ORD-00418</v>
      </c>
      <c r="B419" s="46" t="str">
        <f aca="false">PROPER(TRIM(Orders!K419))</f>
        <v>Mumbai</v>
      </c>
      <c r="C419" s="46" t="str">
        <f aca="false">IFERROR(VLOOKUP(Orders!D419,Products!$A$2:$F$61,3,FALSE()),"Not Found")</f>
        <v>Apparel</v>
      </c>
      <c r="D419" s="46" t="str">
        <f aca="false">IFERROR(VLOOKUP(Orders!C419,Customers!$A$2:$F$301,5,FALSE()),"Not Found")</f>
        <v>Retail</v>
      </c>
      <c r="E419" s="46" t="n">
        <f aca="false">IFERROR(VLOOKUP(Orders!C419,Customers!$A$2:$F$301,3,FALSE()),"Not Found")</f>
        <v>44</v>
      </c>
      <c r="F419" s="46" t="str">
        <f aca="false">IFERROR(VLOOKUP(Orders!E419,Sales_Reps!$A$2:$E$31,3,FALSE()),"Not Found")</f>
        <v>West</v>
      </c>
      <c r="G419" s="46" t="n">
        <f aca="false">IFERROR(VLOOKUP(Orders!D419,Products!$A$2:$F$61,4,FALSE()),"")</f>
        <v>1075</v>
      </c>
      <c r="H419" s="47" t="n">
        <f aca="false">IF(G419="","",(Orders!G419-G419)/Orders!G419)</f>
        <v>0.571713147410359</v>
      </c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</row>
    <row r="420" customFormat="false" ht="15" hidden="false" customHeight="false" outlineLevel="0" collapsed="false">
      <c r="A420" s="46" t="str">
        <f aca="false">Orders!A420</f>
        <v>ORD-00419</v>
      </c>
      <c r="B420" s="46" t="str">
        <f aca="false">PROPER(TRIM(Orders!K420))</f>
        <v>Pune</v>
      </c>
      <c r="C420" s="46" t="str">
        <f aca="false">IFERROR(VLOOKUP(Orders!D420,Products!$A$2:$F$61,3,FALSE()),"Not Found")</f>
        <v>Electronics</v>
      </c>
      <c r="D420" s="46" t="str">
        <f aca="false">IFERROR(VLOOKUP(Orders!C420,Customers!$A$2:$F$301,5,FALSE()),"Not Found")</f>
        <v>Retail</v>
      </c>
      <c r="E420" s="46" t="n">
        <f aca="false">IFERROR(VLOOKUP(Orders!C420,Customers!$A$2:$F$301,3,FALSE()),"Not Found")</f>
        <v>43</v>
      </c>
      <c r="F420" s="46" t="str">
        <f aca="false">IFERROR(VLOOKUP(Orders!E420,Sales_Reps!$A$2:$E$31,3,FALSE()),"Not Found")</f>
        <v>South</v>
      </c>
      <c r="G420" s="46" t="n">
        <f aca="false">IFERROR(VLOOKUP(Orders!D420,Products!$A$2:$F$61,4,FALSE()),"")</f>
        <v>2865</v>
      </c>
      <c r="H420" s="47" t="n">
        <f aca="false">IF(G420="","",(Orders!G420-G420)/Orders!G420)</f>
        <v>0.278337531486146</v>
      </c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</row>
    <row r="421" customFormat="false" ht="15" hidden="false" customHeight="false" outlineLevel="0" collapsed="false">
      <c r="A421" s="46" t="str">
        <f aca="false">Orders!A421</f>
        <v>ORD-00420</v>
      </c>
      <c r="B421" s="46" t="str">
        <f aca="false">PROPER(TRIM(Orders!K421))</f>
        <v>Mumbai</v>
      </c>
      <c r="C421" s="46" t="str">
        <f aca="false">IFERROR(VLOOKUP(Orders!D421,Products!$A$2:$F$61,3,FALSE()),"Not Found")</f>
        <v>Grocery</v>
      </c>
      <c r="D421" s="46" t="str">
        <f aca="false">IFERROR(VLOOKUP(Orders!C421,Customers!$A$2:$F$301,5,FALSE()),"Not Found")</f>
        <v>Retail</v>
      </c>
      <c r="E421" s="46" t="n">
        <f aca="false">IFERROR(VLOOKUP(Orders!C421,Customers!$A$2:$F$301,3,FALSE()),"Not Found")</f>
        <v>44</v>
      </c>
      <c r="F421" s="46" t="str">
        <f aca="false">IFERROR(VLOOKUP(Orders!E421,Sales_Reps!$A$2:$E$31,3,FALSE()),"Not Found")</f>
        <v>North</v>
      </c>
      <c r="G421" s="46" t="n">
        <f aca="false">IFERROR(VLOOKUP(Orders!D421,Products!$A$2:$F$61,4,FALSE()),"")</f>
        <v>2027</v>
      </c>
      <c r="H421" s="47" t="n">
        <f aca="false">IF(G421="","",(Orders!G421-G421)/Orders!G421)</f>
        <v>0.501965601965602</v>
      </c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</row>
    <row r="422" customFormat="false" ht="15" hidden="false" customHeight="false" outlineLevel="0" collapsed="false">
      <c r="A422" s="46" t="str">
        <f aca="false">Orders!A422</f>
        <v>ORD-00421</v>
      </c>
      <c r="B422" s="46" t="str">
        <f aca="false">PROPER(TRIM(Orders!K422))</f>
        <v>Chennai</v>
      </c>
      <c r="C422" s="46" t="str">
        <f aca="false">IFERROR(VLOOKUP(Orders!D422,Products!$A$2:$F$61,3,FALSE()),"Not Found")</f>
        <v>Home</v>
      </c>
      <c r="D422" s="46" t="str">
        <f aca="false">IFERROR(VLOOKUP(Orders!C422,Customers!$A$2:$F$301,5,FALSE()),"Not Found")</f>
        <v>Retail</v>
      </c>
      <c r="E422" s="46" t="n">
        <f aca="false">IFERROR(VLOOKUP(Orders!C422,Customers!$A$2:$F$301,3,FALSE()),"Not Found")</f>
        <v>24</v>
      </c>
      <c r="F422" s="46" t="str">
        <f aca="false">IFERROR(VLOOKUP(Orders!E422,Sales_Reps!$A$2:$E$31,3,FALSE()),"Not Found")</f>
        <v>North</v>
      </c>
      <c r="G422" s="46" t="n">
        <f aca="false">IFERROR(VLOOKUP(Orders!D422,Products!$A$2:$F$61,4,FALSE()),"")</f>
        <v>2549</v>
      </c>
      <c r="H422" s="47" t="n">
        <f aca="false">IF(G422="","",(Orders!G422-G422)/Orders!G422)</f>
        <v>0.535701275045537</v>
      </c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</row>
    <row r="423" customFormat="false" ht="15" hidden="false" customHeight="false" outlineLevel="0" collapsed="false">
      <c r="A423" s="46" t="str">
        <f aca="false">Orders!A423</f>
        <v>ORD-00422</v>
      </c>
      <c r="B423" s="46" t="str">
        <f aca="false">PROPER(TRIM(Orders!K423))</f>
        <v>Bengaluru</v>
      </c>
      <c r="C423" s="46" t="str">
        <f aca="false">IFERROR(VLOOKUP(Orders!D423,Products!$A$2:$F$61,3,FALSE()),"Not Found")</f>
        <v>Sports</v>
      </c>
      <c r="D423" s="46" t="str">
        <f aca="false">IFERROR(VLOOKUP(Orders!C423,Customers!$A$2:$F$301,5,FALSE()),"Not Found")</f>
        <v>Retail</v>
      </c>
      <c r="E423" s="46" t="n">
        <f aca="false">IFERROR(VLOOKUP(Orders!C423,Customers!$A$2:$F$301,3,FALSE()),"Not Found")</f>
        <v>52</v>
      </c>
      <c r="F423" s="46" t="str">
        <f aca="false">IFERROR(VLOOKUP(Orders!E423,Sales_Reps!$A$2:$E$31,3,FALSE()),"Not Found")</f>
        <v>East</v>
      </c>
      <c r="G423" s="46" t="n">
        <f aca="false">IFERROR(VLOOKUP(Orders!D423,Products!$A$2:$F$61,4,FALSE()),"")</f>
        <v>516</v>
      </c>
      <c r="H423" s="47" t="n">
        <f aca="false">IF(G423="","",(Orders!G423-G423)/Orders!G423)</f>
        <v>0.489108910891089</v>
      </c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</row>
    <row r="424" customFormat="false" ht="15" hidden="false" customHeight="false" outlineLevel="0" collapsed="false">
      <c r="A424" s="46" t="str">
        <f aca="false">Orders!A424</f>
        <v>ORD-00423</v>
      </c>
      <c r="B424" s="46" t="str">
        <f aca="false">PROPER(TRIM(Orders!K424))</f>
        <v>Bengaluru</v>
      </c>
      <c r="C424" s="46" t="str">
        <f aca="false">IFERROR(VLOOKUP(Orders!D424,Products!$A$2:$F$61,3,FALSE()),"Not Found")</f>
        <v>Grocery</v>
      </c>
      <c r="D424" s="46" t="str">
        <f aca="false">IFERROR(VLOOKUP(Orders!C424,Customers!$A$2:$F$301,5,FALSE()),"Not Found")</f>
        <v>Retail</v>
      </c>
      <c r="E424" s="46" t="n">
        <f aca="false">IFERROR(VLOOKUP(Orders!C424,Customers!$A$2:$F$301,3,FALSE()),"Not Found")</f>
        <v>37</v>
      </c>
      <c r="F424" s="46" t="str">
        <f aca="false">IFERROR(VLOOKUP(Orders!E424,Sales_Reps!$A$2:$E$31,3,FALSE()),"Not Found")</f>
        <v>North</v>
      </c>
      <c r="G424" s="46" t="n">
        <f aca="false">IFERROR(VLOOKUP(Orders!D424,Products!$A$2:$F$61,4,FALSE()),"")</f>
        <v>2214</v>
      </c>
      <c r="H424" s="47" t="n">
        <f aca="false">IF(G424="","",(Orders!G424-G424)/Orders!G424)</f>
        <v>0.395081967213115</v>
      </c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</row>
    <row r="425" customFormat="false" ht="15" hidden="false" customHeight="false" outlineLevel="0" collapsed="false">
      <c r="A425" s="46" t="str">
        <f aca="false">Orders!A425</f>
        <v>ORD-00424</v>
      </c>
      <c r="B425" s="46" t="str">
        <f aca="false">PROPER(TRIM(Orders!K425))</f>
        <v>Pune</v>
      </c>
      <c r="C425" s="46" t="str">
        <f aca="false">IFERROR(VLOOKUP(Orders!D425,Products!$A$2:$F$61,3,FALSE()),"Not Found")</f>
        <v>Beauty</v>
      </c>
      <c r="D425" s="46" t="str">
        <f aca="false">IFERROR(VLOOKUP(Orders!C425,Customers!$A$2:$F$301,5,FALSE()),"Not Found")</f>
        <v>Retail</v>
      </c>
      <c r="E425" s="46" t="n">
        <f aca="false">IFERROR(VLOOKUP(Orders!C425,Customers!$A$2:$F$301,3,FALSE()),"Not Found")</f>
        <v>22</v>
      </c>
      <c r="F425" s="46" t="str">
        <f aca="false">IFERROR(VLOOKUP(Orders!E425,Sales_Reps!$A$2:$E$31,3,FALSE()),"Not Found")</f>
        <v>South</v>
      </c>
      <c r="G425" s="46" t="n">
        <f aca="false">IFERROR(VLOOKUP(Orders!D425,Products!$A$2:$F$61,4,FALSE()),"")</f>
        <v>2420</v>
      </c>
      <c r="H425" s="47" t="n">
        <f aca="false">IF(G425="","",(Orders!G425-G425)/Orders!G425)</f>
        <v>0.298550724637681</v>
      </c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</row>
    <row r="426" customFormat="false" ht="15" hidden="false" customHeight="false" outlineLevel="0" collapsed="false">
      <c r="A426" s="46" t="str">
        <f aca="false">Orders!A426</f>
        <v>ORD-00425</v>
      </c>
      <c r="B426" s="46" t="str">
        <f aca="false">PROPER(TRIM(Orders!K426))</f>
        <v>Chennai</v>
      </c>
      <c r="C426" s="46" t="str">
        <f aca="false">IFERROR(VLOOKUP(Orders!D426,Products!$A$2:$F$61,3,FALSE()),"Not Found")</f>
        <v>Grocery</v>
      </c>
      <c r="D426" s="46" t="str">
        <f aca="false">IFERROR(VLOOKUP(Orders!C426,Customers!$A$2:$F$301,5,FALSE()),"Not Found")</f>
        <v>Retail</v>
      </c>
      <c r="E426" s="46" t="n">
        <f aca="false">IFERROR(VLOOKUP(Orders!C426,Customers!$A$2:$F$301,3,FALSE()),"Not Found")</f>
        <v>37</v>
      </c>
      <c r="F426" s="46" t="str">
        <f aca="false">IFERROR(VLOOKUP(Orders!E426,Sales_Reps!$A$2:$E$31,3,FALSE()),"Not Found")</f>
        <v>South</v>
      </c>
      <c r="G426" s="46" t="n">
        <f aca="false">IFERROR(VLOOKUP(Orders!D426,Products!$A$2:$F$61,4,FALSE()),"")</f>
        <v>2027</v>
      </c>
      <c r="H426" s="47" t="n">
        <f aca="false">IF(G426="","",(Orders!G426-G426)/Orders!G426)</f>
        <v>0.501965601965602</v>
      </c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</row>
    <row r="427" customFormat="false" ht="15" hidden="false" customHeight="false" outlineLevel="0" collapsed="false">
      <c r="A427" s="46" t="str">
        <f aca="false">Orders!A427</f>
        <v>ORD-00426</v>
      </c>
      <c r="B427" s="46" t="str">
        <f aca="false">PROPER(TRIM(Orders!K427))</f>
        <v>Bengaluru</v>
      </c>
      <c r="C427" s="46" t="str">
        <f aca="false">IFERROR(VLOOKUP(Orders!D427,Products!$A$2:$F$61,3,FALSE()),"Not Found")</f>
        <v>Electronics</v>
      </c>
      <c r="D427" s="46" t="str">
        <f aca="false">IFERROR(VLOOKUP(Orders!C427,Customers!$A$2:$F$301,5,FALSE()),"Not Found")</f>
        <v>Corporate</v>
      </c>
      <c r="E427" s="46" t="n">
        <f aca="false">IFERROR(VLOOKUP(Orders!C427,Customers!$A$2:$F$301,3,FALSE()),"Not Found")</f>
        <v>41</v>
      </c>
      <c r="F427" s="46" t="str">
        <f aca="false">IFERROR(VLOOKUP(Orders!E427,Sales_Reps!$A$2:$E$31,3,FALSE()),"Not Found")</f>
        <v>West</v>
      </c>
      <c r="G427" s="46" t="n">
        <f aca="false">IFERROR(VLOOKUP(Orders!D427,Products!$A$2:$F$61,4,FALSE()),"")</f>
        <v>1665</v>
      </c>
      <c r="H427" s="47" t="n">
        <f aca="false">IF(G427="","",(Orders!G427-G427)/Orders!G427)</f>
        <v>0.533613445378151</v>
      </c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</row>
    <row r="428" customFormat="false" ht="15" hidden="false" customHeight="false" outlineLevel="0" collapsed="false">
      <c r="A428" s="46" t="str">
        <f aca="false">Orders!A428</f>
        <v>ORD-00427</v>
      </c>
      <c r="B428" s="46" t="str">
        <f aca="false">PROPER(TRIM(Orders!K428))</f>
        <v>Bengaluru</v>
      </c>
      <c r="C428" s="46" t="str">
        <f aca="false">IFERROR(VLOOKUP(Orders!D428,Products!$A$2:$F$61,3,FALSE()),"Not Found")</f>
        <v>Sports</v>
      </c>
      <c r="D428" s="46" t="str">
        <f aca="false">IFERROR(VLOOKUP(Orders!C428,Customers!$A$2:$F$301,5,FALSE()),"Not Found")</f>
        <v>Corporate</v>
      </c>
      <c r="E428" s="46" t="n">
        <f aca="false">IFERROR(VLOOKUP(Orders!C428,Customers!$A$2:$F$301,3,FALSE()),"Not Found")</f>
        <v>57</v>
      </c>
      <c r="F428" s="46" t="str">
        <f aca="false">IFERROR(VLOOKUP(Orders!E428,Sales_Reps!$A$2:$E$31,3,FALSE()),"Not Found")</f>
        <v>North</v>
      </c>
      <c r="G428" s="46" t="n">
        <f aca="false">IFERROR(VLOOKUP(Orders!D428,Products!$A$2:$F$61,4,FALSE()),"")</f>
        <v>2827</v>
      </c>
      <c r="H428" s="47" t="n">
        <f aca="false">IF(G428="","",(Orders!G428-G428)/Orders!G428)</f>
        <v>0.592651296829971</v>
      </c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</row>
    <row r="429" customFormat="false" ht="15" hidden="false" customHeight="false" outlineLevel="0" collapsed="false">
      <c r="A429" s="46" t="str">
        <f aca="false">Orders!A429</f>
        <v>ORD-00428</v>
      </c>
      <c r="B429" s="46" t="str">
        <f aca="false">PROPER(TRIM(Orders!K429))</f>
        <v>Pune</v>
      </c>
      <c r="C429" s="46" t="str">
        <f aca="false">IFERROR(VLOOKUP(Orders!D429,Products!$A$2:$F$61,3,FALSE()),"Not Found")</f>
        <v>Beauty</v>
      </c>
      <c r="D429" s="46" t="str">
        <f aca="false">IFERROR(VLOOKUP(Orders!C429,Customers!$A$2:$F$301,5,FALSE()),"Not Found")</f>
        <v>SMB</v>
      </c>
      <c r="E429" s="46" t="n">
        <f aca="false">IFERROR(VLOOKUP(Orders!C429,Customers!$A$2:$F$301,3,FALSE()),"Not Found")</f>
        <v>60</v>
      </c>
      <c r="F429" s="46" t="str">
        <f aca="false">IFERROR(VLOOKUP(Orders!E429,Sales_Reps!$A$2:$E$31,3,FALSE()),"Not Found")</f>
        <v>South</v>
      </c>
      <c r="G429" s="46" t="n">
        <f aca="false">IFERROR(VLOOKUP(Orders!D429,Products!$A$2:$F$61,4,FALSE()),"")</f>
        <v>1222</v>
      </c>
      <c r="H429" s="47" t="n">
        <f aca="false">IF(G429="","",(Orders!G429-G429)/Orders!G429)</f>
        <v>0.259393939393939</v>
      </c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</row>
    <row r="430" customFormat="false" ht="15" hidden="false" customHeight="false" outlineLevel="0" collapsed="false">
      <c r="A430" s="46" t="str">
        <f aca="false">Orders!A430</f>
        <v>ORD-00429</v>
      </c>
      <c r="B430" s="46" t="str">
        <f aca="false">PROPER(TRIM(Orders!K430))</f>
        <v>Bengaluru</v>
      </c>
      <c r="C430" s="46" t="str">
        <f aca="false">IFERROR(VLOOKUP(Orders!D430,Products!$A$2:$F$61,3,FALSE()),"Not Found")</f>
        <v>Electronics</v>
      </c>
      <c r="D430" s="46" t="str">
        <f aca="false">IFERROR(VLOOKUP(Orders!C430,Customers!$A$2:$F$301,5,FALSE()),"Not Found")</f>
        <v>Corporate</v>
      </c>
      <c r="E430" s="46" t="n">
        <f aca="false">IFERROR(VLOOKUP(Orders!C430,Customers!$A$2:$F$301,3,FALSE()),"Not Found")</f>
        <v>41</v>
      </c>
      <c r="F430" s="46" t="str">
        <f aca="false">IFERROR(VLOOKUP(Orders!E430,Sales_Reps!$A$2:$E$31,3,FALSE()),"Not Found")</f>
        <v>South</v>
      </c>
      <c r="G430" s="46" t="n">
        <f aca="false">IFERROR(VLOOKUP(Orders!D430,Products!$A$2:$F$61,4,FALSE()),"")</f>
        <v>861</v>
      </c>
      <c r="H430" s="47" t="n">
        <f aca="false">IF(G430="","",(Orders!G430-G430)/Orders!G430)</f>
        <v>0.397902097902098</v>
      </c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</row>
    <row r="431" customFormat="false" ht="15" hidden="false" customHeight="false" outlineLevel="0" collapsed="false">
      <c r="A431" s="46" t="str">
        <f aca="false">Orders!A431</f>
        <v>ORD-00430</v>
      </c>
      <c r="B431" s="46" t="str">
        <f aca="false">PROPER(TRIM(Orders!K431))</f>
        <v>Pune</v>
      </c>
      <c r="C431" s="46" t="str">
        <f aca="false">IFERROR(VLOOKUP(Orders!D431,Products!$A$2:$F$61,3,FALSE()),"Not Found")</f>
        <v>Grocery</v>
      </c>
      <c r="D431" s="46" t="str">
        <f aca="false">IFERROR(VLOOKUP(Orders!C431,Customers!$A$2:$F$301,5,FALSE()),"Not Found")</f>
        <v>Corporate</v>
      </c>
      <c r="E431" s="46" t="n">
        <f aca="false">IFERROR(VLOOKUP(Orders!C431,Customers!$A$2:$F$301,3,FALSE()),"Not Found")</f>
        <v>31</v>
      </c>
      <c r="F431" s="46" t="str">
        <f aca="false">IFERROR(VLOOKUP(Orders!E431,Sales_Reps!$A$2:$E$31,3,FALSE()),"Not Found")</f>
        <v>South</v>
      </c>
      <c r="G431" s="46" t="n">
        <f aca="false">IFERROR(VLOOKUP(Orders!D431,Products!$A$2:$F$61,4,FALSE()),"")</f>
        <v>2911</v>
      </c>
      <c r="H431" s="47" t="n">
        <f aca="false">IF(G431="","",(Orders!G431-G431)/Orders!G431)</f>
        <v>0.283004926108374</v>
      </c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</row>
    <row r="432" customFormat="false" ht="15" hidden="false" customHeight="false" outlineLevel="0" collapsed="false">
      <c r="A432" s="46" t="str">
        <f aca="false">Orders!A432</f>
        <v>ORD-00431</v>
      </c>
      <c r="B432" s="46" t="str">
        <f aca="false">PROPER(TRIM(Orders!K432))</f>
        <v>Mumbai</v>
      </c>
      <c r="C432" s="46" t="str">
        <f aca="false">IFERROR(VLOOKUP(Orders!D432,Products!$A$2:$F$61,3,FALSE()),"Not Found")</f>
        <v>Home</v>
      </c>
      <c r="D432" s="46" t="str">
        <f aca="false">IFERROR(VLOOKUP(Orders!C432,Customers!$A$2:$F$301,5,FALSE()),"Not Found")</f>
        <v>Retail</v>
      </c>
      <c r="E432" s="46" t="n">
        <f aca="false">IFERROR(VLOOKUP(Orders!C432,Customers!$A$2:$F$301,3,FALSE()),"Not Found")</f>
        <v>52</v>
      </c>
      <c r="F432" s="46" t="str">
        <f aca="false">IFERROR(VLOOKUP(Orders!E432,Sales_Reps!$A$2:$E$31,3,FALSE()),"Not Found")</f>
        <v>North</v>
      </c>
      <c r="G432" s="46" t="n">
        <f aca="false">IFERROR(VLOOKUP(Orders!D432,Products!$A$2:$F$61,4,FALSE()),"")</f>
        <v>288</v>
      </c>
      <c r="H432" s="47" t="n">
        <f aca="false">IF(G432="","",(Orders!G432-G432)/Orders!G432)</f>
        <v>0.221621621621622</v>
      </c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</row>
    <row r="433" customFormat="false" ht="15" hidden="false" customHeight="false" outlineLevel="0" collapsed="false">
      <c r="A433" s="46" t="str">
        <f aca="false">Orders!A433</f>
        <v>ORD-00432</v>
      </c>
      <c r="B433" s="46" t="str">
        <f aca="false">PROPER(TRIM(Orders!K433))</f>
        <v>Pune</v>
      </c>
      <c r="C433" s="46" t="str">
        <f aca="false">IFERROR(VLOOKUP(Orders!D433,Products!$A$2:$F$61,3,FALSE()),"Not Found")</f>
        <v>Beauty</v>
      </c>
      <c r="D433" s="46" t="str">
        <f aca="false">IFERROR(VLOOKUP(Orders!C433,Customers!$A$2:$F$301,5,FALSE()),"Not Found")</f>
        <v>Corporate</v>
      </c>
      <c r="E433" s="46" t="n">
        <f aca="false">IFERROR(VLOOKUP(Orders!C433,Customers!$A$2:$F$301,3,FALSE()),"Not Found")</f>
        <v>52</v>
      </c>
      <c r="F433" s="46" t="str">
        <f aca="false">IFERROR(VLOOKUP(Orders!E433,Sales_Reps!$A$2:$E$31,3,FALSE()),"Not Found")</f>
        <v>South</v>
      </c>
      <c r="G433" s="46" t="n">
        <f aca="false">IFERROR(VLOOKUP(Orders!D433,Products!$A$2:$F$61,4,FALSE()),"")</f>
        <v>647</v>
      </c>
      <c r="H433" s="47" t="n">
        <f aca="false">IF(G433="","",(Orders!G433-G433)/Orders!G433)</f>
        <v>0.57987012987013</v>
      </c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</row>
    <row r="434" customFormat="false" ht="15" hidden="false" customHeight="false" outlineLevel="0" collapsed="false">
      <c r="A434" s="46" t="str">
        <f aca="false">Orders!A434</f>
        <v>ORD-00433</v>
      </c>
      <c r="B434" s="46" t="str">
        <f aca="false">PROPER(TRIM(Orders!K434))</f>
        <v>Pune</v>
      </c>
      <c r="C434" s="46" t="str">
        <f aca="false">IFERROR(VLOOKUP(Orders!D434,Products!$A$2:$F$61,3,FALSE()),"Not Found")</f>
        <v>Electronics</v>
      </c>
      <c r="D434" s="46" t="str">
        <f aca="false">IFERROR(VLOOKUP(Orders!C434,Customers!$A$2:$F$301,5,FALSE()),"Not Found")</f>
        <v>SMB</v>
      </c>
      <c r="E434" s="46" t="n">
        <f aca="false">IFERROR(VLOOKUP(Orders!C434,Customers!$A$2:$F$301,3,FALSE()),"Not Found")</f>
        <v>24</v>
      </c>
      <c r="F434" s="46" t="str">
        <f aca="false">IFERROR(VLOOKUP(Orders!E434,Sales_Reps!$A$2:$E$31,3,FALSE()),"Not Found")</f>
        <v>West</v>
      </c>
      <c r="G434" s="46" t="n">
        <f aca="false">IFERROR(VLOOKUP(Orders!D434,Products!$A$2:$F$61,4,FALSE()),"")</f>
        <v>1052</v>
      </c>
      <c r="H434" s="47" t="n">
        <f aca="false">IF(G434="","",(Orders!G434-G434)/Orders!G434)</f>
        <v>0.595384615384615</v>
      </c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</row>
    <row r="435" customFormat="false" ht="15" hidden="false" customHeight="false" outlineLevel="0" collapsed="false">
      <c r="A435" s="46" t="str">
        <f aca="false">Orders!A435</f>
        <v>ORD-00434</v>
      </c>
      <c r="B435" s="46" t="str">
        <f aca="false">PROPER(TRIM(Orders!K435))</f>
        <v>Chennai</v>
      </c>
      <c r="C435" s="46" t="str">
        <f aca="false">IFERROR(VLOOKUP(Orders!D435,Products!$A$2:$F$61,3,FALSE()),"Not Found")</f>
        <v>Apparel</v>
      </c>
      <c r="D435" s="46" t="str">
        <f aca="false">IFERROR(VLOOKUP(Orders!C435,Customers!$A$2:$F$301,5,FALSE()),"Not Found")</f>
        <v>SMB</v>
      </c>
      <c r="E435" s="46" t="n">
        <f aca="false">IFERROR(VLOOKUP(Orders!C435,Customers!$A$2:$F$301,3,FALSE()),"Not Found")</f>
        <v>26</v>
      </c>
      <c r="F435" s="46" t="str">
        <f aca="false">IFERROR(VLOOKUP(Orders!E435,Sales_Reps!$A$2:$E$31,3,FALSE()),"Not Found")</f>
        <v>South</v>
      </c>
      <c r="G435" s="46" t="n">
        <f aca="false">IFERROR(VLOOKUP(Orders!D435,Products!$A$2:$F$61,4,FALSE()),"")</f>
        <v>1075</v>
      </c>
      <c r="H435" s="47" t="n">
        <f aca="false">IF(G435="","",(Orders!G435-G435)/Orders!G435)</f>
        <v>0.571713147410359</v>
      </c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</row>
    <row r="436" customFormat="false" ht="15" hidden="false" customHeight="false" outlineLevel="0" collapsed="false">
      <c r="A436" s="46" t="str">
        <f aca="false">Orders!A436</f>
        <v>ORD-00435</v>
      </c>
      <c r="B436" s="46" t="str">
        <f aca="false">PROPER(TRIM(Orders!K436))</f>
        <v>Pune</v>
      </c>
      <c r="C436" s="46" t="str">
        <f aca="false">IFERROR(VLOOKUP(Orders!D436,Products!$A$2:$F$61,3,FALSE()),"Not Found")</f>
        <v>Electronics</v>
      </c>
      <c r="D436" s="46" t="str">
        <f aca="false">IFERROR(VLOOKUP(Orders!C436,Customers!$A$2:$F$301,5,FALSE()),"Not Found")</f>
        <v>Corporate</v>
      </c>
      <c r="E436" s="46" t="n">
        <f aca="false">IFERROR(VLOOKUP(Orders!C436,Customers!$A$2:$F$301,3,FALSE()),"Not Found")</f>
        <v>31</v>
      </c>
      <c r="F436" s="46" t="str">
        <f aca="false">IFERROR(VLOOKUP(Orders!E436,Sales_Reps!$A$2:$E$31,3,FALSE()),"Not Found")</f>
        <v>North</v>
      </c>
      <c r="G436" s="46" t="n">
        <f aca="false">IFERROR(VLOOKUP(Orders!D436,Products!$A$2:$F$61,4,FALSE()),"")</f>
        <v>2405</v>
      </c>
      <c r="H436" s="47" t="n">
        <f aca="false">IF(G436="","",(Orders!G436-G436)/Orders!G436)</f>
        <v>0.548780487804878</v>
      </c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</row>
    <row r="437" customFormat="false" ht="15" hidden="false" customHeight="false" outlineLevel="0" collapsed="false">
      <c r="A437" s="46" t="str">
        <f aca="false">Orders!A437</f>
        <v>ORD-00436</v>
      </c>
      <c r="B437" s="46" t="str">
        <f aca="false">PROPER(TRIM(Orders!K437))</f>
        <v>Bengaluru</v>
      </c>
      <c r="C437" s="46" t="str">
        <f aca="false">IFERROR(VLOOKUP(Orders!D437,Products!$A$2:$F$61,3,FALSE()),"Not Found")</f>
        <v>Home</v>
      </c>
      <c r="D437" s="46" t="str">
        <f aca="false">IFERROR(VLOOKUP(Orders!C437,Customers!$A$2:$F$301,5,FALSE()),"Not Found")</f>
        <v>Retail</v>
      </c>
      <c r="E437" s="46" t="n">
        <f aca="false">IFERROR(VLOOKUP(Orders!C437,Customers!$A$2:$F$301,3,FALSE()),"Not Found")</f>
        <v>55</v>
      </c>
      <c r="F437" s="46" t="str">
        <f aca="false">IFERROR(VLOOKUP(Orders!E437,Sales_Reps!$A$2:$E$31,3,FALSE()),"Not Found")</f>
        <v>South</v>
      </c>
      <c r="G437" s="46" t="n">
        <f aca="false">IFERROR(VLOOKUP(Orders!D437,Products!$A$2:$F$61,4,FALSE()),"")</f>
        <v>2459</v>
      </c>
      <c r="H437" s="47" t="n">
        <f aca="false">IF(G437="","",(Orders!G437-G437)/Orders!G437)</f>
        <v>0.515944881889764</v>
      </c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</row>
    <row r="438" customFormat="false" ht="15" hidden="false" customHeight="false" outlineLevel="0" collapsed="false">
      <c r="A438" s="46" t="str">
        <f aca="false">Orders!A438</f>
        <v>ORD-00437</v>
      </c>
      <c r="B438" s="46" t="str">
        <f aca="false">PROPER(TRIM(Orders!K438))</f>
        <v>Bengaluru</v>
      </c>
      <c r="C438" s="46" t="str">
        <f aca="false">IFERROR(VLOOKUP(Orders!D438,Products!$A$2:$F$61,3,FALSE()),"Not Found")</f>
        <v>Grocery</v>
      </c>
      <c r="D438" s="46" t="str">
        <f aca="false">IFERROR(VLOOKUP(Orders!C438,Customers!$A$2:$F$301,5,FALSE()),"Not Found")</f>
        <v>SMB</v>
      </c>
      <c r="E438" s="46" t="n">
        <f aca="false">IFERROR(VLOOKUP(Orders!C438,Customers!$A$2:$F$301,3,FALSE()),"Not Found")</f>
        <v>42</v>
      </c>
      <c r="F438" s="46" t="str">
        <f aca="false">IFERROR(VLOOKUP(Orders!E438,Sales_Reps!$A$2:$E$31,3,FALSE()),"Not Found")</f>
        <v>West</v>
      </c>
      <c r="G438" s="46" t="n">
        <f aca="false">IFERROR(VLOOKUP(Orders!D438,Products!$A$2:$F$61,4,FALSE()),"")</f>
        <v>2027</v>
      </c>
      <c r="H438" s="47" t="n">
        <f aca="false">IF(G438="","",(Orders!G438-G438)/Orders!G438)</f>
        <v>0.501965601965602</v>
      </c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</row>
    <row r="439" customFormat="false" ht="15" hidden="false" customHeight="false" outlineLevel="0" collapsed="false">
      <c r="A439" s="46" t="str">
        <f aca="false">Orders!A439</f>
        <v>ORD-00438</v>
      </c>
      <c r="B439" s="46" t="str">
        <f aca="false">PROPER(TRIM(Orders!K439))</f>
        <v>Hyderabad</v>
      </c>
      <c r="C439" s="46" t="str">
        <f aca="false">IFERROR(VLOOKUP(Orders!D439,Products!$A$2:$F$61,3,FALSE()),"Not Found")</f>
        <v>Apparel</v>
      </c>
      <c r="D439" s="46" t="str">
        <f aca="false">IFERROR(VLOOKUP(Orders!C439,Customers!$A$2:$F$301,5,FALSE()),"Not Found")</f>
        <v>Corporate</v>
      </c>
      <c r="E439" s="46" t="n">
        <f aca="false">IFERROR(VLOOKUP(Orders!C439,Customers!$A$2:$F$301,3,FALSE()),"Not Found")</f>
        <v>56</v>
      </c>
      <c r="F439" s="46" t="str">
        <f aca="false">IFERROR(VLOOKUP(Orders!E439,Sales_Reps!$A$2:$E$31,3,FALSE()),"Not Found")</f>
        <v>South</v>
      </c>
      <c r="G439" s="46" t="n">
        <f aca="false">IFERROR(VLOOKUP(Orders!D439,Products!$A$2:$F$61,4,FALSE()),"")</f>
        <v>396</v>
      </c>
      <c r="H439" s="47" t="n">
        <f aca="false">IF(G439="","",(Orders!G439-G439)/Orders!G439)</f>
        <v>0.361290322580645</v>
      </c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</row>
    <row r="440" customFormat="false" ht="15" hidden="false" customHeight="false" outlineLevel="0" collapsed="false">
      <c r="A440" s="46" t="str">
        <f aca="false">Orders!A440</f>
        <v>ORD-00439</v>
      </c>
      <c r="B440" s="46" t="str">
        <f aca="false">PROPER(TRIM(Orders!K440))</f>
        <v>Pune</v>
      </c>
      <c r="C440" s="46" t="str">
        <f aca="false">IFERROR(VLOOKUP(Orders!D440,Products!$A$2:$F$61,3,FALSE()),"Not Found")</f>
        <v>Electronics</v>
      </c>
      <c r="D440" s="46" t="str">
        <f aca="false">IFERROR(VLOOKUP(Orders!C440,Customers!$A$2:$F$301,5,FALSE()),"Not Found")</f>
        <v>SMB</v>
      </c>
      <c r="E440" s="46" t="n">
        <f aca="false">IFERROR(VLOOKUP(Orders!C440,Customers!$A$2:$F$301,3,FALSE()),"Not Found")</f>
        <v>59</v>
      </c>
      <c r="F440" s="46" t="str">
        <f aca="false">IFERROR(VLOOKUP(Orders!E440,Sales_Reps!$A$2:$E$31,3,FALSE()),"Not Found")</f>
        <v>East</v>
      </c>
      <c r="G440" s="46" t="n">
        <f aca="false">IFERROR(VLOOKUP(Orders!D440,Products!$A$2:$F$61,4,FALSE()),"")</f>
        <v>1149</v>
      </c>
      <c r="H440" s="47" t="n">
        <f aca="false">IF(G440="","",(Orders!G440-G440)/Orders!G440)</f>
        <v>0.564772727272727</v>
      </c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</row>
    <row r="441" customFormat="false" ht="15" hidden="false" customHeight="false" outlineLevel="0" collapsed="false">
      <c r="A441" s="46" t="str">
        <f aca="false">Orders!A441</f>
        <v>ORD-00440</v>
      </c>
      <c r="B441" s="46" t="str">
        <f aca="false">PROPER(TRIM(Orders!K441))</f>
        <v>Bengaluru</v>
      </c>
      <c r="C441" s="46" t="str">
        <f aca="false">IFERROR(VLOOKUP(Orders!D441,Products!$A$2:$F$61,3,FALSE()),"Not Found")</f>
        <v>Grocery</v>
      </c>
      <c r="D441" s="46" t="str">
        <f aca="false">IFERROR(VLOOKUP(Orders!C441,Customers!$A$2:$F$301,5,FALSE()),"Not Found")</f>
        <v>SMB</v>
      </c>
      <c r="E441" s="46" t="n">
        <f aca="false">IFERROR(VLOOKUP(Orders!C441,Customers!$A$2:$F$301,3,FALSE()),"Not Found")</f>
        <v>43</v>
      </c>
      <c r="F441" s="46" t="str">
        <f aca="false">IFERROR(VLOOKUP(Orders!E441,Sales_Reps!$A$2:$E$31,3,FALSE()),"Not Found")</f>
        <v>West</v>
      </c>
      <c r="G441" s="46" t="n">
        <f aca="false">IFERROR(VLOOKUP(Orders!D441,Products!$A$2:$F$61,4,FALSE()),"")</f>
        <v>2027</v>
      </c>
      <c r="H441" s="47" t="n">
        <f aca="false">IF(G441="","",(Orders!G441-G441)/Orders!G441)</f>
        <v>0.501965601965602</v>
      </c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</row>
    <row r="442" customFormat="false" ht="15" hidden="false" customHeight="false" outlineLevel="0" collapsed="false">
      <c r="A442" s="46" t="str">
        <f aca="false">Orders!A442</f>
        <v>ORD-00441</v>
      </c>
      <c r="B442" s="46" t="str">
        <f aca="false">PROPER(TRIM(Orders!K442))</f>
        <v>Chennai</v>
      </c>
      <c r="C442" s="46" t="str">
        <f aca="false">IFERROR(VLOOKUP(Orders!D442,Products!$A$2:$F$61,3,FALSE()),"Not Found")</f>
        <v>Sports</v>
      </c>
      <c r="D442" s="46" t="str">
        <f aca="false">IFERROR(VLOOKUP(Orders!C442,Customers!$A$2:$F$301,5,FALSE()),"Not Found")</f>
        <v>Corporate</v>
      </c>
      <c r="E442" s="46" t="n">
        <f aca="false">IFERROR(VLOOKUP(Orders!C442,Customers!$A$2:$F$301,3,FALSE()),"Not Found")</f>
        <v>41</v>
      </c>
      <c r="F442" s="46" t="str">
        <f aca="false">IFERROR(VLOOKUP(Orders!E442,Sales_Reps!$A$2:$E$31,3,FALSE()),"Not Found")</f>
        <v>North</v>
      </c>
      <c r="G442" s="46" t="n">
        <f aca="false">IFERROR(VLOOKUP(Orders!D442,Products!$A$2:$F$61,4,FALSE()),"")</f>
        <v>516</v>
      </c>
      <c r="H442" s="47" t="n">
        <f aca="false">IF(G442="","",(Orders!G442-G442)/Orders!G442)</f>
        <v>0.489108910891089</v>
      </c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</row>
    <row r="443" customFormat="false" ht="15" hidden="false" customHeight="false" outlineLevel="0" collapsed="false">
      <c r="A443" s="46" t="str">
        <f aca="false">Orders!A443</f>
        <v>ORD-00442</v>
      </c>
      <c r="B443" s="46" t="str">
        <f aca="false">PROPER(TRIM(Orders!K443))</f>
        <v>Pune</v>
      </c>
      <c r="C443" s="46" t="str">
        <f aca="false">IFERROR(VLOOKUP(Orders!D443,Products!$A$2:$F$61,3,FALSE()),"Not Found")</f>
        <v>Home</v>
      </c>
      <c r="D443" s="46" t="str">
        <f aca="false">IFERROR(VLOOKUP(Orders!C443,Customers!$A$2:$F$301,5,FALSE()),"Not Found")</f>
        <v>Corporate</v>
      </c>
      <c r="E443" s="46" t="n">
        <f aca="false">IFERROR(VLOOKUP(Orders!C443,Customers!$A$2:$F$301,3,FALSE()),"Not Found")</f>
        <v>29</v>
      </c>
      <c r="F443" s="46" t="str">
        <f aca="false">IFERROR(VLOOKUP(Orders!E443,Sales_Reps!$A$2:$E$31,3,FALSE()),"Not Found")</f>
        <v>North</v>
      </c>
      <c r="G443" s="46" t="n">
        <f aca="false">IFERROR(VLOOKUP(Orders!D443,Products!$A$2:$F$61,4,FALSE()),"")</f>
        <v>1556</v>
      </c>
      <c r="H443" s="47" t="n">
        <f aca="false">IF(G443="","",(Orders!G443-G443)/Orders!G443)</f>
        <v>0.521230769230769</v>
      </c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</row>
    <row r="444" customFormat="false" ht="15" hidden="false" customHeight="false" outlineLevel="0" collapsed="false">
      <c r="A444" s="46" t="str">
        <f aca="false">Orders!A444</f>
        <v>ORD-00443</v>
      </c>
      <c r="B444" s="46" t="str">
        <f aca="false">PROPER(TRIM(Orders!K444))</f>
        <v>Pune</v>
      </c>
      <c r="C444" s="46" t="str">
        <f aca="false">IFERROR(VLOOKUP(Orders!D444,Products!$A$2:$F$61,3,FALSE()),"Not Found")</f>
        <v>Electronics</v>
      </c>
      <c r="D444" s="46" t="str">
        <f aca="false">IFERROR(VLOOKUP(Orders!C444,Customers!$A$2:$F$301,5,FALSE()),"Not Found")</f>
        <v>Corporate</v>
      </c>
      <c r="E444" s="46" t="n">
        <f aca="false">IFERROR(VLOOKUP(Orders!C444,Customers!$A$2:$F$301,3,FALSE()),"Not Found")</f>
        <v>48</v>
      </c>
      <c r="F444" s="46" t="str">
        <f aca="false">IFERROR(VLOOKUP(Orders!E444,Sales_Reps!$A$2:$E$31,3,FALSE()),"Not Found")</f>
        <v>South</v>
      </c>
      <c r="G444" s="46" t="n">
        <f aca="false">IFERROR(VLOOKUP(Orders!D444,Products!$A$2:$F$61,4,FALSE()),"")</f>
        <v>861</v>
      </c>
      <c r="H444" s="47" t="n">
        <f aca="false">IF(G444="","",(Orders!G444-G444)/Orders!G444)</f>
        <v>0.397902097902098</v>
      </c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</row>
    <row r="445" customFormat="false" ht="15" hidden="false" customHeight="false" outlineLevel="0" collapsed="false">
      <c r="A445" s="46" t="str">
        <f aca="false">Orders!A445</f>
        <v>ORD-00444</v>
      </c>
      <c r="B445" s="46" t="str">
        <f aca="false">PROPER(TRIM(Orders!K445))</f>
        <v>Bengaluru</v>
      </c>
      <c r="C445" s="46" t="str">
        <f aca="false">IFERROR(VLOOKUP(Orders!D445,Products!$A$2:$F$61,3,FALSE()),"Not Found")</f>
        <v>Beauty</v>
      </c>
      <c r="D445" s="46" t="str">
        <f aca="false">IFERROR(VLOOKUP(Orders!C445,Customers!$A$2:$F$301,5,FALSE()),"Not Found")</f>
        <v>SMB</v>
      </c>
      <c r="E445" s="46" t="n">
        <f aca="false">IFERROR(VLOOKUP(Orders!C445,Customers!$A$2:$F$301,3,FALSE()),"Not Found")</f>
        <v>44</v>
      </c>
      <c r="F445" s="46" t="str">
        <f aca="false">IFERROR(VLOOKUP(Orders!E445,Sales_Reps!$A$2:$E$31,3,FALSE()),"Not Found")</f>
        <v>East</v>
      </c>
      <c r="G445" s="46" t="n">
        <f aca="false">IFERROR(VLOOKUP(Orders!D445,Products!$A$2:$F$61,4,FALSE()),"")</f>
        <v>1626</v>
      </c>
      <c r="H445" s="47" t="n">
        <f aca="false">IF(G445="","",(Orders!G445-G445)/Orders!G445)</f>
        <v>0.46158940397351</v>
      </c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</row>
    <row r="446" customFormat="false" ht="15" hidden="false" customHeight="false" outlineLevel="0" collapsed="false">
      <c r="A446" s="46" t="str">
        <f aca="false">Orders!A446</f>
        <v>ORD-00445</v>
      </c>
      <c r="B446" s="46" t="str">
        <f aca="false">PROPER(TRIM(Orders!K446))</f>
        <v>Chennai</v>
      </c>
      <c r="C446" s="46" t="str">
        <f aca="false">IFERROR(VLOOKUP(Orders!D446,Products!$A$2:$F$61,3,FALSE()),"Not Found")</f>
        <v>Electronics</v>
      </c>
      <c r="D446" s="46" t="str">
        <f aca="false">IFERROR(VLOOKUP(Orders!C446,Customers!$A$2:$F$301,5,FALSE()),"Not Found")</f>
        <v>Not Found</v>
      </c>
      <c r="E446" s="46" t="str">
        <f aca="false">IFERROR(VLOOKUP(Orders!C446,Customers!$A$2:$F$301,3,FALSE()),"Not Found")</f>
        <v>Not Found</v>
      </c>
      <c r="F446" s="46" t="str">
        <f aca="false">IFERROR(VLOOKUP(Orders!E446,Sales_Reps!$A$2:$E$31,3,FALSE()),"Not Found")</f>
        <v>North</v>
      </c>
      <c r="G446" s="46" t="n">
        <f aca="false">IFERROR(VLOOKUP(Orders!D446,Products!$A$2:$F$61,4,FALSE()),"")</f>
        <v>1259</v>
      </c>
      <c r="H446" s="47" t="n">
        <f aca="false">IF(G446="","",(Orders!G446-G446)/Orders!G446)</f>
        <v>0.526691729323308</v>
      </c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</row>
    <row r="447" customFormat="false" ht="15" hidden="false" customHeight="false" outlineLevel="0" collapsed="false">
      <c r="A447" s="46" t="str">
        <f aca="false">Orders!A447</f>
        <v>ORD-00446</v>
      </c>
      <c r="B447" s="46" t="str">
        <f aca="false">PROPER(TRIM(Orders!K447))</f>
        <v>Delhi</v>
      </c>
      <c r="C447" s="46" t="str">
        <f aca="false">IFERROR(VLOOKUP(Orders!D447,Products!$A$2:$F$61,3,FALSE()),"Not Found")</f>
        <v>Electronics</v>
      </c>
      <c r="D447" s="46" t="str">
        <f aca="false">IFERROR(VLOOKUP(Orders!C447,Customers!$A$2:$F$301,5,FALSE()),"Not Found")</f>
        <v>Retail</v>
      </c>
      <c r="E447" s="46" t="n">
        <f aca="false">IFERROR(VLOOKUP(Orders!C447,Customers!$A$2:$F$301,3,FALSE()),"Not Found")</f>
        <v>31</v>
      </c>
      <c r="F447" s="46" t="str">
        <f aca="false">IFERROR(VLOOKUP(Orders!E447,Sales_Reps!$A$2:$E$31,3,FALSE()),"Not Found")</f>
        <v>East</v>
      </c>
      <c r="G447" s="46" t="n">
        <f aca="false">IFERROR(VLOOKUP(Orders!D447,Products!$A$2:$F$61,4,FALSE()),"")</f>
        <v>1665</v>
      </c>
      <c r="H447" s="47" t="n">
        <f aca="false">IF(G447="","",(Orders!G447-G447)/Orders!G447)</f>
        <v>0.533613445378151</v>
      </c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</row>
    <row r="448" customFormat="false" ht="15" hidden="false" customHeight="false" outlineLevel="0" collapsed="false">
      <c r="A448" s="46" t="str">
        <f aca="false">Orders!A448</f>
        <v>ORD-00447</v>
      </c>
      <c r="B448" s="46" t="str">
        <f aca="false">PROPER(TRIM(Orders!K448))</f>
        <v>Pune</v>
      </c>
      <c r="C448" s="46" t="str">
        <f aca="false">IFERROR(VLOOKUP(Orders!D448,Products!$A$2:$F$61,3,FALSE()),"Not Found")</f>
        <v>Beauty</v>
      </c>
      <c r="D448" s="46" t="str">
        <f aca="false">IFERROR(VLOOKUP(Orders!C448,Customers!$A$2:$F$301,5,FALSE()),"Not Found")</f>
        <v>Corporate</v>
      </c>
      <c r="E448" s="46" t="n">
        <f aca="false">IFERROR(VLOOKUP(Orders!C448,Customers!$A$2:$F$301,3,FALSE()),"Not Found")</f>
        <v>47</v>
      </c>
      <c r="F448" s="46" t="str">
        <f aca="false">IFERROR(VLOOKUP(Orders!E448,Sales_Reps!$A$2:$E$31,3,FALSE()),"Not Found")</f>
        <v>South</v>
      </c>
      <c r="G448" s="46" t="n">
        <f aca="false">IFERROR(VLOOKUP(Orders!D448,Products!$A$2:$F$61,4,FALSE()),"")</f>
        <v>1728</v>
      </c>
      <c r="H448" s="47" t="n">
        <f aca="false">IF(G448="","",(Orders!G448-G448)/Orders!G448)</f>
        <v>0.484179104477612</v>
      </c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</row>
    <row r="449" customFormat="false" ht="15" hidden="false" customHeight="false" outlineLevel="0" collapsed="false">
      <c r="A449" s="46" t="str">
        <f aca="false">Orders!A449</f>
        <v>ORD-00448</v>
      </c>
      <c r="B449" s="46" t="str">
        <f aca="false">PROPER(TRIM(Orders!K449))</f>
        <v>Delhi</v>
      </c>
      <c r="C449" s="46" t="str">
        <f aca="false">IFERROR(VLOOKUP(Orders!D449,Products!$A$2:$F$61,3,FALSE()),"Not Found")</f>
        <v>Apparel</v>
      </c>
      <c r="D449" s="46" t="str">
        <f aca="false">IFERROR(VLOOKUP(Orders!C449,Customers!$A$2:$F$301,5,FALSE()),"Not Found")</f>
        <v>Corporate</v>
      </c>
      <c r="E449" s="46" t="n">
        <f aca="false">IFERROR(VLOOKUP(Orders!C449,Customers!$A$2:$F$301,3,FALSE()),"Not Found")</f>
        <v>46</v>
      </c>
      <c r="F449" s="46" t="str">
        <f aca="false">IFERROR(VLOOKUP(Orders!E449,Sales_Reps!$A$2:$E$31,3,FALSE()),"Not Found")</f>
        <v>East</v>
      </c>
      <c r="G449" s="46" t="n">
        <f aca="false">IFERROR(VLOOKUP(Orders!D449,Products!$A$2:$F$61,4,FALSE()),"")</f>
        <v>1173</v>
      </c>
      <c r="H449" s="47" t="n">
        <f aca="false">IF(G449="","",(Orders!G449-G449)/Orders!G449)</f>
        <v>0.527016129032258</v>
      </c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</row>
    <row r="450" customFormat="false" ht="15" hidden="false" customHeight="false" outlineLevel="0" collapsed="false">
      <c r="A450" s="46" t="str">
        <f aca="false">Orders!A450</f>
        <v>ORD-00449</v>
      </c>
      <c r="B450" s="46" t="str">
        <f aca="false">PROPER(TRIM(Orders!K450))</f>
        <v>Delhi</v>
      </c>
      <c r="C450" s="46" t="str">
        <f aca="false">IFERROR(VLOOKUP(Orders!D450,Products!$A$2:$F$61,3,FALSE()),"Not Found")</f>
        <v>Sports</v>
      </c>
      <c r="D450" s="46" t="str">
        <f aca="false">IFERROR(VLOOKUP(Orders!C450,Customers!$A$2:$F$301,5,FALSE()),"Not Found")</f>
        <v>SMB</v>
      </c>
      <c r="E450" s="46" t="n">
        <f aca="false">IFERROR(VLOOKUP(Orders!C450,Customers!$A$2:$F$301,3,FALSE()),"Not Found")</f>
        <v>38</v>
      </c>
      <c r="F450" s="46" t="str">
        <f aca="false">IFERROR(VLOOKUP(Orders!E450,Sales_Reps!$A$2:$E$31,3,FALSE()),"Not Found")</f>
        <v>South</v>
      </c>
      <c r="G450" s="46" t="n">
        <f aca="false">IFERROR(VLOOKUP(Orders!D450,Products!$A$2:$F$61,4,FALSE()),"")</f>
        <v>2265</v>
      </c>
      <c r="H450" s="47" t="n">
        <f aca="false">IF(G450="","",(Orders!G450-G450)/Orders!G450)</f>
        <v>0.581330868761553</v>
      </c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</row>
    <row r="451" customFormat="false" ht="15" hidden="false" customHeight="false" outlineLevel="0" collapsed="false">
      <c r="A451" s="46" t="str">
        <f aca="false">Orders!A451</f>
        <v>ORD-00450</v>
      </c>
      <c r="B451" s="46" t="str">
        <f aca="false">PROPER(TRIM(Orders!K451))</f>
        <v>Bengaluru</v>
      </c>
      <c r="C451" s="46" t="str">
        <f aca="false">IFERROR(VLOOKUP(Orders!D451,Products!$A$2:$F$61,3,FALSE()),"Not Found")</f>
        <v>Home</v>
      </c>
      <c r="D451" s="46" t="str">
        <f aca="false">IFERROR(VLOOKUP(Orders!C451,Customers!$A$2:$F$301,5,FALSE()),"Not Found")</f>
        <v>Retail</v>
      </c>
      <c r="E451" s="46" t="n">
        <f aca="false">IFERROR(VLOOKUP(Orders!C451,Customers!$A$2:$F$301,3,FALSE()),"Not Found")</f>
        <v>47</v>
      </c>
      <c r="F451" s="46" t="str">
        <f aca="false">IFERROR(VLOOKUP(Orders!E451,Sales_Reps!$A$2:$E$31,3,FALSE()),"Not Found")</f>
        <v>East</v>
      </c>
      <c r="G451" s="46" t="n">
        <f aca="false">IFERROR(VLOOKUP(Orders!D451,Products!$A$2:$F$61,4,FALSE()),"")</f>
        <v>329</v>
      </c>
      <c r="H451" s="47" t="n">
        <f aca="false">IF(G451="","",(Orders!G451-G451)/Orders!G451)</f>
        <v>0.501515151515152</v>
      </c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</row>
    <row r="452" customFormat="false" ht="15" hidden="false" customHeight="false" outlineLevel="0" collapsed="false">
      <c r="A452" s="46" t="str">
        <f aca="false">Orders!A452</f>
        <v>ORD-00451</v>
      </c>
      <c r="B452" s="46" t="str">
        <f aca="false">PROPER(TRIM(Orders!K452))</f>
        <v>Mumbai</v>
      </c>
      <c r="C452" s="46" t="str">
        <f aca="false">IFERROR(VLOOKUP(Orders!D452,Products!$A$2:$F$61,3,FALSE()),"Not Found")</f>
        <v>Sports</v>
      </c>
      <c r="D452" s="46" t="str">
        <f aca="false">IFERROR(VLOOKUP(Orders!C452,Customers!$A$2:$F$301,5,FALSE()),"Not Found")</f>
        <v>Corporate</v>
      </c>
      <c r="E452" s="46" t="n">
        <f aca="false">IFERROR(VLOOKUP(Orders!C452,Customers!$A$2:$F$301,3,FALSE()),"Not Found")</f>
        <v>62</v>
      </c>
      <c r="F452" s="46" t="str">
        <f aca="false">IFERROR(VLOOKUP(Orders!E452,Sales_Reps!$A$2:$E$31,3,FALSE()),"Not Found")</f>
        <v>North</v>
      </c>
      <c r="G452" s="46" t="n">
        <f aca="false">IFERROR(VLOOKUP(Orders!D452,Products!$A$2:$F$61,4,FALSE()),"")</f>
        <v>516</v>
      </c>
      <c r="H452" s="47" t="n">
        <f aca="false">IF(G452="","",(Orders!G452-G452)/Orders!G452)</f>
        <v>0.489108910891089</v>
      </c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</row>
    <row r="453" customFormat="false" ht="15" hidden="false" customHeight="false" outlineLevel="0" collapsed="false">
      <c r="A453" s="46" t="str">
        <f aca="false">Orders!A453</f>
        <v>ORD-00452</v>
      </c>
      <c r="B453" s="46" t="str">
        <f aca="false">PROPER(TRIM(Orders!K453))</f>
        <v>Mumbai</v>
      </c>
      <c r="C453" s="46" t="str">
        <f aca="false">IFERROR(VLOOKUP(Orders!D453,Products!$A$2:$F$61,3,FALSE()),"Not Found")</f>
        <v>Beauty</v>
      </c>
      <c r="D453" s="46" t="str">
        <f aca="false">IFERROR(VLOOKUP(Orders!C453,Customers!$A$2:$F$301,5,FALSE()),"Not Found")</f>
        <v>Retail</v>
      </c>
      <c r="E453" s="46" t="n">
        <f aca="false">IFERROR(VLOOKUP(Orders!C453,Customers!$A$2:$F$301,3,FALSE()),"Not Found")</f>
        <v>57</v>
      </c>
      <c r="F453" s="46" t="str">
        <f aca="false">IFERROR(VLOOKUP(Orders!E453,Sales_Reps!$A$2:$E$31,3,FALSE()),"Not Found")</f>
        <v>North</v>
      </c>
      <c r="G453" s="46" t="n">
        <f aca="false">IFERROR(VLOOKUP(Orders!D453,Products!$A$2:$F$61,4,FALSE()),"")</f>
        <v>1219</v>
      </c>
      <c r="H453" s="47" t="n">
        <f aca="false">IF(G453="","",(Orders!G453-G453)/Orders!G453)</f>
        <v>0.467685589519651</v>
      </c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</row>
    <row r="454" customFormat="false" ht="15" hidden="false" customHeight="false" outlineLevel="0" collapsed="false">
      <c r="A454" s="46" t="str">
        <f aca="false">Orders!A454</f>
        <v>ORD-00453</v>
      </c>
      <c r="B454" s="46" t="str">
        <f aca="false">PROPER(TRIM(Orders!K454))</f>
        <v>Delhi</v>
      </c>
      <c r="C454" s="46" t="str">
        <f aca="false">IFERROR(VLOOKUP(Orders!D454,Products!$A$2:$F$61,3,FALSE()),"Not Found")</f>
        <v>Beauty</v>
      </c>
      <c r="D454" s="46" t="str">
        <f aca="false">IFERROR(VLOOKUP(Orders!C454,Customers!$A$2:$F$301,5,FALSE()),"Not Found")</f>
        <v>Retail</v>
      </c>
      <c r="E454" s="46" t="n">
        <f aca="false">IFERROR(VLOOKUP(Orders!C454,Customers!$A$2:$F$301,3,FALSE()),"Not Found")</f>
        <v>24</v>
      </c>
      <c r="F454" s="46" t="str">
        <f aca="false">IFERROR(VLOOKUP(Orders!E454,Sales_Reps!$A$2:$E$31,3,FALSE()),"Not Found")</f>
        <v>North</v>
      </c>
      <c r="G454" s="46" t="n">
        <f aca="false">IFERROR(VLOOKUP(Orders!D454,Products!$A$2:$F$61,4,FALSE()),"")</f>
        <v>2420</v>
      </c>
      <c r="H454" s="47" t="n">
        <f aca="false">IF(G454="","",(Orders!G454-G454)/Orders!G454)</f>
        <v>0.298550724637681</v>
      </c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</row>
    <row r="455" customFormat="false" ht="15" hidden="false" customHeight="false" outlineLevel="0" collapsed="false">
      <c r="A455" s="46" t="str">
        <f aca="false">Orders!A455</f>
        <v>ORD-00454</v>
      </c>
      <c r="B455" s="46" t="str">
        <f aca="false">PROPER(TRIM(Orders!K455))</f>
        <v>Chennai</v>
      </c>
      <c r="C455" s="46" t="str">
        <f aca="false">IFERROR(VLOOKUP(Orders!D455,Products!$A$2:$F$61,3,FALSE()),"Not Found")</f>
        <v>Apparel</v>
      </c>
      <c r="D455" s="46" t="str">
        <f aca="false">IFERROR(VLOOKUP(Orders!C455,Customers!$A$2:$F$301,5,FALSE()),"Not Found")</f>
        <v>Retail</v>
      </c>
      <c r="E455" s="46" t="n">
        <f aca="false">IFERROR(VLOOKUP(Orders!C455,Customers!$A$2:$F$301,3,FALSE()),"Not Found")</f>
        <v>38</v>
      </c>
      <c r="F455" s="46" t="str">
        <f aca="false">IFERROR(VLOOKUP(Orders!E455,Sales_Reps!$A$2:$E$31,3,FALSE()),"Not Found")</f>
        <v>North</v>
      </c>
      <c r="G455" s="46" t="n">
        <f aca="false">IFERROR(VLOOKUP(Orders!D455,Products!$A$2:$F$61,4,FALSE()),"")</f>
        <v>2611</v>
      </c>
      <c r="H455" s="47" t="n">
        <f aca="false">IF(G455="","",(Orders!G455-G455)/Orders!G455)</f>
        <v>0.282692307692308</v>
      </c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</row>
    <row r="456" customFormat="false" ht="15" hidden="false" customHeight="false" outlineLevel="0" collapsed="false">
      <c r="A456" s="46" t="str">
        <f aca="false">Orders!A456</f>
        <v>ORD-00455</v>
      </c>
      <c r="B456" s="46" t="str">
        <f aca="false">PROPER(TRIM(Orders!K456))</f>
        <v>Mumbai</v>
      </c>
      <c r="C456" s="46" t="str">
        <f aca="false">IFERROR(VLOOKUP(Orders!D456,Products!$A$2:$F$61,3,FALSE()),"Not Found")</f>
        <v>Grocery</v>
      </c>
      <c r="D456" s="46" t="str">
        <f aca="false">IFERROR(VLOOKUP(Orders!C456,Customers!$A$2:$F$301,5,FALSE()),"Not Found")</f>
        <v>Corporate</v>
      </c>
      <c r="E456" s="46" t="n">
        <f aca="false">IFERROR(VLOOKUP(Orders!C456,Customers!$A$2:$F$301,3,FALSE()),"Not Found")</f>
        <v>62</v>
      </c>
      <c r="F456" s="46" t="str">
        <f aca="false">IFERROR(VLOOKUP(Orders!E456,Sales_Reps!$A$2:$E$31,3,FALSE()),"Not Found")</f>
        <v>South</v>
      </c>
      <c r="G456" s="46" t="n">
        <f aca="false">IFERROR(VLOOKUP(Orders!D456,Products!$A$2:$F$61,4,FALSE()),"")</f>
        <v>1182</v>
      </c>
      <c r="H456" s="47" t="n">
        <f aca="false">IF(G456="","",(Orders!G456-G456)/Orders!G456)</f>
        <v>0.503361344537815</v>
      </c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</row>
    <row r="457" customFormat="false" ht="15" hidden="false" customHeight="false" outlineLevel="0" collapsed="false">
      <c r="A457" s="46" t="str">
        <f aca="false">Orders!A457</f>
        <v>ORD-00456</v>
      </c>
      <c r="B457" s="46" t="str">
        <f aca="false">PROPER(TRIM(Orders!K457))</f>
        <v>Hyderabad</v>
      </c>
      <c r="C457" s="46" t="str">
        <f aca="false">IFERROR(VLOOKUP(Orders!D457,Products!$A$2:$F$61,3,FALSE()),"Not Found")</f>
        <v>Sports</v>
      </c>
      <c r="D457" s="46" t="str">
        <f aca="false">IFERROR(VLOOKUP(Orders!C457,Customers!$A$2:$F$301,5,FALSE()),"Not Found")</f>
        <v>Retail</v>
      </c>
      <c r="E457" s="46" t="n">
        <f aca="false">IFERROR(VLOOKUP(Orders!C457,Customers!$A$2:$F$301,3,FALSE()),"Not Found")</f>
        <v>38</v>
      </c>
      <c r="F457" s="46" t="str">
        <f aca="false">IFERROR(VLOOKUP(Orders!E457,Sales_Reps!$A$2:$E$31,3,FALSE()),"Not Found")</f>
        <v>East</v>
      </c>
      <c r="G457" s="46" t="n">
        <f aca="false">IFERROR(VLOOKUP(Orders!D457,Products!$A$2:$F$61,4,FALSE()),"")</f>
        <v>2265</v>
      </c>
      <c r="H457" s="47" t="n">
        <f aca="false">IF(G457="","",(Orders!G457-G457)/Orders!G457)</f>
        <v>0.581330868761553</v>
      </c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</row>
    <row r="458" customFormat="false" ht="15" hidden="false" customHeight="false" outlineLevel="0" collapsed="false">
      <c r="A458" s="46" t="str">
        <f aca="false">Orders!A458</f>
        <v>ORD-00457</v>
      </c>
      <c r="B458" s="46" t="str">
        <f aca="false">PROPER(TRIM(Orders!K458))</f>
        <v>Mumbai</v>
      </c>
      <c r="C458" s="46" t="str">
        <f aca="false">IFERROR(VLOOKUP(Orders!D458,Products!$A$2:$F$61,3,FALSE()),"Not Found")</f>
        <v>Beauty</v>
      </c>
      <c r="D458" s="46" t="str">
        <f aca="false">IFERROR(VLOOKUP(Orders!C458,Customers!$A$2:$F$301,5,FALSE()),"Not Found")</f>
        <v>Corporate</v>
      </c>
      <c r="E458" s="46" t="n">
        <f aca="false">IFERROR(VLOOKUP(Orders!C458,Customers!$A$2:$F$301,3,FALSE()),"Not Found")</f>
        <v>62</v>
      </c>
      <c r="F458" s="46" t="str">
        <f aca="false">IFERROR(VLOOKUP(Orders!E458,Sales_Reps!$A$2:$E$31,3,FALSE()),"Not Found")</f>
        <v>East</v>
      </c>
      <c r="G458" s="46" t="n">
        <f aca="false">IFERROR(VLOOKUP(Orders!D458,Products!$A$2:$F$61,4,FALSE()),"")</f>
        <v>1222</v>
      </c>
      <c r="H458" s="47" t="n">
        <f aca="false">IF(G458="","",(Orders!G458-G458)/Orders!G458)</f>
        <v>0.259393939393939</v>
      </c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</row>
    <row r="459" customFormat="false" ht="15" hidden="false" customHeight="false" outlineLevel="0" collapsed="false">
      <c r="A459" s="46" t="str">
        <f aca="false">Orders!A459</f>
        <v>ORD-00458</v>
      </c>
      <c r="B459" s="46" t="str">
        <f aca="false">PROPER(TRIM(Orders!K459))</f>
        <v>Mumbai</v>
      </c>
      <c r="C459" s="46" t="str">
        <f aca="false">IFERROR(VLOOKUP(Orders!D459,Products!$A$2:$F$61,3,FALSE()),"Not Found")</f>
        <v>Electronics</v>
      </c>
      <c r="D459" s="46" t="str">
        <f aca="false">IFERROR(VLOOKUP(Orders!C459,Customers!$A$2:$F$301,5,FALSE()),"Not Found")</f>
        <v>Retail</v>
      </c>
      <c r="E459" s="46" t="n">
        <f aca="false">IFERROR(VLOOKUP(Orders!C459,Customers!$A$2:$F$301,3,FALSE()),"Not Found")</f>
        <v>22</v>
      </c>
      <c r="F459" s="46" t="str">
        <f aca="false">IFERROR(VLOOKUP(Orders!E459,Sales_Reps!$A$2:$E$31,3,FALSE()),"Not Found")</f>
        <v>East</v>
      </c>
      <c r="G459" s="46" t="n">
        <f aca="false">IFERROR(VLOOKUP(Orders!D459,Products!$A$2:$F$61,4,FALSE()),"")</f>
        <v>1052</v>
      </c>
      <c r="H459" s="47" t="n">
        <f aca="false">IF(G459="","",(Orders!G459-G459)/Orders!G459)</f>
        <v>0.595384615384615</v>
      </c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</row>
    <row r="460" customFormat="false" ht="15" hidden="false" customHeight="false" outlineLevel="0" collapsed="false">
      <c r="A460" s="46" t="str">
        <f aca="false">Orders!A460</f>
        <v>ORD-00135</v>
      </c>
      <c r="B460" s="46" t="str">
        <f aca="false">PROPER(TRIM(Orders!K460))</f>
        <v>Hyderabad</v>
      </c>
      <c r="C460" s="46" t="str">
        <f aca="false">IFERROR(VLOOKUP(Orders!D460,Products!$A$2:$F$61,3,FALSE()),"Not Found")</f>
        <v>Home</v>
      </c>
      <c r="D460" s="46" t="str">
        <f aca="false">IFERROR(VLOOKUP(Orders!C460,Customers!$A$2:$F$301,5,FALSE()),"Not Found")</f>
        <v>SMB</v>
      </c>
      <c r="E460" s="46" t="n">
        <f aca="false">IFERROR(VLOOKUP(Orders!C460,Customers!$A$2:$F$301,3,FALSE()),"Not Found")</f>
        <v>28</v>
      </c>
      <c r="F460" s="46" t="str">
        <f aca="false">IFERROR(VLOOKUP(Orders!E460,Sales_Reps!$A$2:$E$31,3,FALSE()),"Not Found")</f>
        <v>North</v>
      </c>
      <c r="G460" s="46" t="n">
        <f aca="false">IFERROR(VLOOKUP(Orders!D460,Products!$A$2:$F$61,4,FALSE()),"")</f>
        <v>1850</v>
      </c>
      <c r="H460" s="47" t="n">
        <f aca="false">IF(G460="","",(Orders!G460-G460)/Orders!G460)</f>
        <v>0.598698481561822</v>
      </c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</row>
    <row r="461" customFormat="false" ht="15" hidden="false" customHeight="false" outlineLevel="0" collapsed="false">
      <c r="A461" s="46" t="str">
        <f aca="false">Orders!A461</f>
        <v>ORD-00460</v>
      </c>
      <c r="B461" s="46" t="str">
        <f aca="false">PROPER(TRIM(Orders!K461))</f>
        <v>Hyderabad</v>
      </c>
      <c r="C461" s="46" t="str">
        <f aca="false">IFERROR(VLOOKUP(Orders!D461,Products!$A$2:$F$61,3,FALSE()),"Not Found")</f>
        <v>Home</v>
      </c>
      <c r="D461" s="46" t="str">
        <f aca="false">IFERROR(VLOOKUP(Orders!C461,Customers!$A$2:$F$301,5,FALSE()),"Not Found")</f>
        <v>Retail</v>
      </c>
      <c r="E461" s="46" t="n">
        <f aca="false">IFERROR(VLOOKUP(Orders!C461,Customers!$A$2:$F$301,3,FALSE()),"Not Found")</f>
        <v>53</v>
      </c>
      <c r="F461" s="46" t="str">
        <f aca="false">IFERROR(VLOOKUP(Orders!E461,Sales_Reps!$A$2:$E$31,3,FALSE()),"Not Found")</f>
        <v>East</v>
      </c>
      <c r="G461" s="46" t="n">
        <f aca="false">IFERROR(VLOOKUP(Orders!D461,Products!$A$2:$F$61,4,FALSE()),"")</f>
        <v>1850</v>
      </c>
      <c r="H461" s="47" t="n">
        <f aca="false">IF(G461="","",(Orders!G461-G461)/Orders!G461)</f>
        <v>0.598698481561822</v>
      </c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</row>
    <row r="462" customFormat="false" ht="15" hidden="false" customHeight="false" outlineLevel="0" collapsed="false">
      <c r="A462" s="46" t="str">
        <f aca="false">Orders!A462</f>
        <v>ORD-00461</v>
      </c>
      <c r="B462" s="46" t="str">
        <f aca="false">PROPER(TRIM(Orders!K462))</f>
        <v>Chennai</v>
      </c>
      <c r="C462" s="46" t="str">
        <f aca="false">IFERROR(VLOOKUP(Orders!D462,Products!$A$2:$F$61,3,FALSE()),"Not Found")</f>
        <v>Electronics</v>
      </c>
      <c r="D462" s="46" t="str">
        <f aca="false">IFERROR(VLOOKUP(Orders!C462,Customers!$A$2:$F$301,5,FALSE()),"Not Found")</f>
        <v>Corporate</v>
      </c>
      <c r="E462" s="46" t="n">
        <f aca="false">IFERROR(VLOOKUP(Orders!C462,Customers!$A$2:$F$301,3,FALSE()),"Not Found")</f>
        <v>44</v>
      </c>
      <c r="F462" s="46" t="str">
        <f aca="false">IFERROR(VLOOKUP(Orders!E462,Sales_Reps!$A$2:$E$31,3,FALSE()),"Not Found")</f>
        <v>South</v>
      </c>
      <c r="G462" s="46" t="n">
        <f aca="false">IFERROR(VLOOKUP(Orders!D462,Products!$A$2:$F$61,4,FALSE()),"")</f>
        <v>128</v>
      </c>
      <c r="H462" s="47" t="n">
        <f aca="false">IF(G462="","",(Orders!G462-G462)/Orders!G462)</f>
        <v>0.573333333333333</v>
      </c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</row>
    <row r="463" customFormat="false" ht="15" hidden="false" customHeight="false" outlineLevel="0" collapsed="false">
      <c r="A463" s="46" t="str">
        <f aca="false">Orders!A463</f>
        <v>ORD-00462</v>
      </c>
      <c r="B463" s="46" t="str">
        <f aca="false">PROPER(TRIM(Orders!K463))</f>
        <v>Chennai</v>
      </c>
      <c r="C463" s="46" t="str">
        <f aca="false">IFERROR(VLOOKUP(Orders!D463,Products!$A$2:$F$61,3,FALSE()),"Not Found")</f>
        <v>Apparel</v>
      </c>
      <c r="D463" s="46" t="str">
        <f aca="false">IFERROR(VLOOKUP(Orders!C463,Customers!$A$2:$F$301,5,FALSE()),"Not Found")</f>
        <v>Retail</v>
      </c>
      <c r="E463" s="46" t="n">
        <f aca="false">IFERROR(VLOOKUP(Orders!C463,Customers!$A$2:$F$301,3,FALSE()),"Not Found")</f>
        <v>22</v>
      </c>
      <c r="F463" s="46" t="str">
        <f aca="false">IFERROR(VLOOKUP(Orders!E463,Sales_Reps!$A$2:$E$31,3,FALSE()),"Not Found")</f>
        <v>East</v>
      </c>
      <c r="G463" s="46" t="n">
        <f aca="false">IFERROR(VLOOKUP(Orders!D463,Products!$A$2:$F$61,4,FALSE()),"")</f>
        <v>1748</v>
      </c>
      <c r="H463" s="47" t="n">
        <f aca="false">IF(G463="","",(Orders!G463-G463)/Orders!G463)</f>
        <v>0.493333333333333</v>
      </c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</row>
    <row r="464" customFormat="false" ht="15" hidden="false" customHeight="false" outlineLevel="0" collapsed="false">
      <c r="A464" s="46" t="str">
        <f aca="false">Orders!A464</f>
        <v>ORD-00463</v>
      </c>
      <c r="B464" s="46" t="str">
        <f aca="false">PROPER(TRIM(Orders!K464))</f>
        <v>Chennai</v>
      </c>
      <c r="C464" s="46" t="str">
        <f aca="false">IFERROR(VLOOKUP(Orders!D464,Products!$A$2:$F$61,3,FALSE()),"Not Found")</f>
        <v>Apparel</v>
      </c>
      <c r="D464" s="46" t="str">
        <f aca="false">IFERROR(VLOOKUP(Orders!C464,Customers!$A$2:$F$301,5,FALSE()),"Not Found")</f>
        <v>Corporate</v>
      </c>
      <c r="E464" s="46" t="n">
        <f aca="false">IFERROR(VLOOKUP(Orders!C464,Customers!$A$2:$F$301,3,FALSE()),"Not Found")</f>
        <v>30</v>
      </c>
      <c r="F464" s="46" t="str">
        <f aca="false">IFERROR(VLOOKUP(Orders!E464,Sales_Reps!$A$2:$E$31,3,FALSE()),"Not Found")</f>
        <v>West</v>
      </c>
      <c r="G464" s="46" t="n">
        <f aca="false">IFERROR(VLOOKUP(Orders!D464,Products!$A$2:$F$61,4,FALSE()),"")</f>
        <v>1962</v>
      </c>
      <c r="H464" s="47" t="n">
        <f aca="false">IF(G464="","",(Orders!G464-G464)/Orders!G464)</f>
        <v>0.278676470588235</v>
      </c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</row>
    <row r="465" customFormat="false" ht="15" hidden="false" customHeight="false" outlineLevel="0" collapsed="false">
      <c r="A465" s="46" t="str">
        <f aca="false">Orders!A465</f>
        <v>ORD-00464</v>
      </c>
      <c r="B465" s="46" t="str">
        <f aca="false">PROPER(TRIM(Orders!K465))</f>
        <v>Hyderabad</v>
      </c>
      <c r="C465" s="46" t="str">
        <f aca="false">IFERROR(VLOOKUP(Orders!D465,Products!$A$2:$F$61,3,FALSE()),"Not Found")</f>
        <v>Electronics</v>
      </c>
      <c r="D465" s="46" t="str">
        <f aca="false">IFERROR(VLOOKUP(Orders!C465,Customers!$A$2:$F$301,5,FALSE()),"Not Found")</f>
        <v>Retail</v>
      </c>
      <c r="E465" s="46" t="n">
        <f aca="false">IFERROR(VLOOKUP(Orders!C465,Customers!$A$2:$F$301,3,FALSE()),"Not Found")</f>
        <v>31</v>
      </c>
      <c r="F465" s="46" t="str">
        <f aca="false">IFERROR(VLOOKUP(Orders!E465,Sales_Reps!$A$2:$E$31,3,FALSE()),"Not Found")</f>
        <v>East</v>
      </c>
      <c r="G465" s="46" t="n">
        <f aca="false">IFERROR(VLOOKUP(Orders!D465,Products!$A$2:$F$61,4,FALSE()),"")</f>
        <v>1259</v>
      </c>
      <c r="H465" s="47" t="n">
        <f aca="false">IF(G465="","",(Orders!G465-G465)/Orders!G465)</f>
        <v>0.526691729323308</v>
      </c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</row>
    <row r="466" customFormat="false" ht="15" hidden="false" customHeight="false" outlineLevel="0" collapsed="false">
      <c r="A466" s="46" t="str">
        <f aca="false">Orders!A466</f>
        <v>ORD-00465</v>
      </c>
      <c r="B466" s="46" t="str">
        <f aca="false">PROPER(TRIM(Orders!K466))</f>
        <v>Mumbai</v>
      </c>
      <c r="C466" s="46" t="str">
        <f aca="false">IFERROR(VLOOKUP(Orders!D466,Products!$A$2:$F$61,3,FALSE()),"Not Found")</f>
        <v>Sports</v>
      </c>
      <c r="D466" s="46" t="str">
        <f aca="false">IFERROR(VLOOKUP(Orders!C466,Customers!$A$2:$F$301,5,FALSE()),"Not Found")</f>
        <v>Retail</v>
      </c>
      <c r="E466" s="46" t="n">
        <f aca="false">IFERROR(VLOOKUP(Orders!C466,Customers!$A$2:$F$301,3,FALSE()),"Not Found")</f>
        <v>53</v>
      </c>
      <c r="F466" s="46" t="str">
        <f aca="false">IFERROR(VLOOKUP(Orders!E466,Sales_Reps!$A$2:$E$31,3,FALSE()),"Not Found")</f>
        <v>North</v>
      </c>
      <c r="G466" s="46" t="n">
        <f aca="false">IFERROR(VLOOKUP(Orders!D466,Products!$A$2:$F$61,4,FALSE()),"")</f>
        <v>2467</v>
      </c>
      <c r="H466" s="47" t="n">
        <f aca="false">IF(G466="","",(Orders!G466-G466)/Orders!G466)</f>
        <v>0.284927536231884</v>
      </c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</row>
    <row r="467" customFormat="false" ht="15" hidden="false" customHeight="false" outlineLevel="0" collapsed="false">
      <c r="A467" s="46" t="str">
        <f aca="false">Orders!A467</f>
        <v>ORD-00466</v>
      </c>
      <c r="B467" s="46" t="str">
        <f aca="false">PROPER(TRIM(Orders!K467))</f>
        <v>Hyderabad</v>
      </c>
      <c r="C467" s="46" t="str">
        <f aca="false">IFERROR(VLOOKUP(Orders!D467,Products!$A$2:$F$61,3,FALSE()),"Not Found")</f>
        <v>Sports</v>
      </c>
      <c r="D467" s="46" t="str">
        <f aca="false">IFERROR(VLOOKUP(Orders!C467,Customers!$A$2:$F$301,5,FALSE()),"Not Found")</f>
        <v>Corporate</v>
      </c>
      <c r="E467" s="46" t="n">
        <f aca="false">IFERROR(VLOOKUP(Orders!C467,Customers!$A$2:$F$301,3,FALSE()),"Not Found")</f>
        <v>52</v>
      </c>
      <c r="F467" s="46" t="str">
        <f aca="false">IFERROR(VLOOKUP(Orders!E467,Sales_Reps!$A$2:$E$31,3,FALSE()),"Not Found")</f>
        <v>South</v>
      </c>
      <c r="G467" s="46" t="n">
        <f aca="false">IFERROR(VLOOKUP(Orders!D467,Products!$A$2:$F$61,4,FALSE()),"")</f>
        <v>2265</v>
      </c>
      <c r="H467" s="47" t="n">
        <f aca="false">IF(G467="","",(Orders!G467-G467)/Orders!G467)</f>
        <v>0.581330868761553</v>
      </c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</row>
    <row r="468" customFormat="false" ht="15" hidden="false" customHeight="false" outlineLevel="0" collapsed="false">
      <c r="A468" s="46" t="str">
        <f aca="false">Orders!A468</f>
        <v>ORD-00467</v>
      </c>
      <c r="B468" s="46" t="str">
        <f aca="false">PROPER(TRIM(Orders!K468))</f>
        <v>Chennai</v>
      </c>
      <c r="C468" s="46" t="str">
        <f aca="false">IFERROR(VLOOKUP(Orders!D468,Products!$A$2:$F$61,3,FALSE()),"Not Found")</f>
        <v>Electronics</v>
      </c>
      <c r="D468" s="46" t="str">
        <f aca="false">IFERROR(VLOOKUP(Orders!C468,Customers!$A$2:$F$301,5,FALSE()),"Not Found")</f>
        <v>Corporate</v>
      </c>
      <c r="E468" s="46" t="n">
        <f aca="false">IFERROR(VLOOKUP(Orders!C468,Customers!$A$2:$F$301,3,FALSE()),"Not Found")</f>
        <v>30</v>
      </c>
      <c r="F468" s="46" t="str">
        <f aca="false">IFERROR(VLOOKUP(Orders!E468,Sales_Reps!$A$2:$E$31,3,FALSE()),"Not Found")</f>
        <v>South</v>
      </c>
      <c r="G468" s="46" t="n">
        <f aca="false">IFERROR(VLOOKUP(Orders!D468,Products!$A$2:$F$61,4,FALSE()),"")</f>
        <v>1559</v>
      </c>
      <c r="H468" s="47" t="n">
        <f aca="false">IF(G468="","",(Orders!G468-G468)/Orders!G468)</f>
        <v>0.597157622739018</v>
      </c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</row>
    <row r="469" customFormat="false" ht="15" hidden="false" customHeight="false" outlineLevel="0" collapsed="false">
      <c r="A469" s="46" t="str">
        <f aca="false">Orders!A469</f>
        <v>ORD-00468</v>
      </c>
      <c r="B469" s="46" t="str">
        <f aca="false">PROPER(TRIM(Orders!K469))</f>
        <v>Pune</v>
      </c>
      <c r="C469" s="46" t="str">
        <f aca="false">IFERROR(VLOOKUP(Orders!D469,Products!$A$2:$F$61,3,FALSE()),"Not Found")</f>
        <v>Grocery</v>
      </c>
      <c r="D469" s="46" t="str">
        <f aca="false">IFERROR(VLOOKUP(Orders!C469,Customers!$A$2:$F$301,5,FALSE()),"Not Found")</f>
        <v>SMB</v>
      </c>
      <c r="E469" s="46" t="n">
        <f aca="false">IFERROR(VLOOKUP(Orders!C469,Customers!$A$2:$F$301,3,FALSE()),"Not Found")</f>
        <v>60</v>
      </c>
      <c r="F469" s="46" t="str">
        <f aca="false">IFERROR(VLOOKUP(Orders!E469,Sales_Reps!$A$2:$E$31,3,FALSE()),"Not Found")</f>
        <v>North</v>
      </c>
      <c r="G469" s="46" t="n">
        <f aca="false">IFERROR(VLOOKUP(Orders!D469,Products!$A$2:$F$61,4,FALSE()),"")</f>
        <v>1203</v>
      </c>
      <c r="H469" s="47" t="n">
        <f aca="false">IF(G469="","",(Orders!G469-G469)/Orders!G469)</f>
        <v>0.470044052863436</v>
      </c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</row>
    <row r="470" customFormat="false" ht="15" hidden="false" customHeight="false" outlineLevel="0" collapsed="false">
      <c r="A470" s="46" t="str">
        <f aca="false">Orders!A470</f>
        <v>ORD-00469</v>
      </c>
      <c r="B470" s="46" t="str">
        <f aca="false">PROPER(TRIM(Orders!K470))</f>
        <v>Bengaluru</v>
      </c>
      <c r="C470" s="46" t="str">
        <f aca="false">IFERROR(VLOOKUP(Orders!D470,Products!$A$2:$F$61,3,FALSE()),"Not Found")</f>
        <v>Electronics</v>
      </c>
      <c r="D470" s="46" t="str">
        <f aca="false">IFERROR(VLOOKUP(Orders!C470,Customers!$A$2:$F$301,5,FALSE()),"Not Found")</f>
        <v>Retail</v>
      </c>
      <c r="E470" s="46" t="n">
        <f aca="false">IFERROR(VLOOKUP(Orders!C470,Customers!$A$2:$F$301,3,FALSE()),"Not Found")</f>
        <v>46</v>
      </c>
      <c r="F470" s="46" t="str">
        <f aca="false">IFERROR(VLOOKUP(Orders!E470,Sales_Reps!$A$2:$E$31,3,FALSE()),"Not Found")</f>
        <v>West</v>
      </c>
      <c r="G470" s="46" t="n">
        <f aca="false">IFERROR(VLOOKUP(Orders!D470,Products!$A$2:$F$61,4,FALSE()),"")</f>
        <v>2405</v>
      </c>
      <c r="H470" s="47" t="n">
        <f aca="false">IF(G470="","",(Orders!G470-G470)/Orders!G470)</f>
        <v>0.548780487804878</v>
      </c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</row>
    <row r="471" customFormat="false" ht="15" hidden="false" customHeight="false" outlineLevel="0" collapsed="false">
      <c r="A471" s="46" t="str">
        <f aca="false">Orders!A471</f>
        <v>ORD-00470</v>
      </c>
      <c r="B471" s="46" t="str">
        <f aca="false">PROPER(TRIM(Orders!K471))</f>
        <v>Bengaluru</v>
      </c>
      <c r="C471" s="46" t="str">
        <f aca="false">IFERROR(VLOOKUP(Orders!D471,Products!$A$2:$F$61,3,FALSE()),"Not Found")</f>
        <v>Beauty</v>
      </c>
      <c r="D471" s="46" t="str">
        <f aca="false">IFERROR(VLOOKUP(Orders!C471,Customers!$A$2:$F$301,5,FALSE()),"Not Found")</f>
        <v>Corporate</v>
      </c>
      <c r="E471" s="46" t="n">
        <f aca="false">IFERROR(VLOOKUP(Orders!C471,Customers!$A$2:$F$301,3,FALSE()),"Not Found")</f>
        <v>57</v>
      </c>
      <c r="F471" s="46" t="str">
        <f aca="false">IFERROR(VLOOKUP(Orders!E471,Sales_Reps!$A$2:$E$31,3,FALSE()),"Not Found")</f>
        <v>South</v>
      </c>
      <c r="G471" s="46" t="n">
        <f aca="false">IFERROR(VLOOKUP(Orders!D471,Products!$A$2:$F$61,4,FALSE()),"")</f>
        <v>1728</v>
      </c>
      <c r="H471" s="47" t="n">
        <f aca="false">IF(G471="","",(Orders!G471-G471)/Orders!G471)</f>
        <v>0.484179104477612</v>
      </c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</row>
    <row r="472" customFormat="false" ht="15" hidden="false" customHeight="false" outlineLevel="0" collapsed="false">
      <c r="A472" s="46" t="str">
        <f aca="false">Orders!A472</f>
        <v>ORD-00471</v>
      </c>
      <c r="B472" s="46" t="str">
        <f aca="false">PROPER(TRIM(Orders!K472))</f>
        <v>Chennai</v>
      </c>
      <c r="C472" s="46" t="str">
        <f aca="false">IFERROR(VLOOKUP(Orders!D472,Products!$A$2:$F$61,3,FALSE()),"Not Found")</f>
        <v>Beauty</v>
      </c>
      <c r="D472" s="46" t="str">
        <f aca="false">IFERROR(VLOOKUP(Orders!C472,Customers!$A$2:$F$301,5,FALSE()),"Not Found")</f>
        <v>Retail</v>
      </c>
      <c r="E472" s="46" t="n">
        <f aca="false">IFERROR(VLOOKUP(Orders!C472,Customers!$A$2:$F$301,3,FALSE()),"Not Found")</f>
        <v>32</v>
      </c>
      <c r="F472" s="46" t="str">
        <f aca="false">IFERROR(VLOOKUP(Orders!E472,Sales_Reps!$A$2:$E$31,3,FALSE()),"Not Found")</f>
        <v>North</v>
      </c>
      <c r="G472" s="46" t="n">
        <f aca="false">IFERROR(VLOOKUP(Orders!D472,Products!$A$2:$F$61,4,FALSE()),"")</f>
        <v>1626</v>
      </c>
      <c r="H472" s="47" t="n">
        <f aca="false">IF(G472="","",(Orders!G472-G472)/Orders!G472)</f>
        <v>0.46158940397351</v>
      </c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</row>
    <row r="473" customFormat="false" ht="15" hidden="false" customHeight="false" outlineLevel="0" collapsed="false">
      <c r="A473" s="46" t="str">
        <f aca="false">Orders!A473</f>
        <v>ORD-00472</v>
      </c>
      <c r="B473" s="46" t="str">
        <f aca="false">PROPER(TRIM(Orders!K473))</f>
        <v>Mumbai</v>
      </c>
      <c r="C473" s="46" t="str">
        <f aca="false">IFERROR(VLOOKUP(Orders!D473,Products!$A$2:$F$61,3,FALSE()),"Not Found")</f>
        <v>Apparel</v>
      </c>
      <c r="D473" s="46" t="str">
        <f aca="false">IFERROR(VLOOKUP(Orders!C473,Customers!$A$2:$F$301,5,FALSE()),"Not Found")</f>
        <v>SMB</v>
      </c>
      <c r="E473" s="46" t="n">
        <f aca="false">IFERROR(VLOOKUP(Orders!C473,Customers!$A$2:$F$301,3,FALSE()),"Not Found")</f>
        <v>61</v>
      </c>
      <c r="F473" s="46" t="str">
        <f aca="false">IFERROR(VLOOKUP(Orders!E473,Sales_Reps!$A$2:$E$31,3,FALSE()),"Not Found")</f>
        <v>East</v>
      </c>
      <c r="G473" s="46" t="n">
        <f aca="false">IFERROR(VLOOKUP(Orders!D473,Products!$A$2:$F$61,4,FALSE()),"")</f>
        <v>1886</v>
      </c>
      <c r="H473" s="47" t="n">
        <f aca="false">IF(G473="","",(Orders!G473-G473)/Orders!G473)</f>
        <v>0.403164556962025</v>
      </c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</row>
    <row r="474" customFormat="false" ht="15" hidden="false" customHeight="false" outlineLevel="0" collapsed="false">
      <c r="A474" s="46" t="str">
        <f aca="false">Orders!A474</f>
        <v>ORD-00473</v>
      </c>
      <c r="B474" s="46" t="str">
        <f aca="false">PROPER(TRIM(Orders!K474))</f>
        <v>Bengaluru</v>
      </c>
      <c r="C474" s="46" t="str">
        <f aca="false">IFERROR(VLOOKUP(Orders!D474,Products!$A$2:$F$61,3,FALSE()),"Not Found")</f>
        <v>Sports</v>
      </c>
      <c r="D474" s="46" t="str">
        <f aca="false">IFERROR(VLOOKUP(Orders!C474,Customers!$A$2:$F$301,5,FALSE()),"Not Found")</f>
        <v>Retail</v>
      </c>
      <c r="E474" s="46" t="n">
        <f aca="false">IFERROR(VLOOKUP(Orders!C474,Customers!$A$2:$F$301,3,FALSE()),"Not Found")</f>
        <v>35</v>
      </c>
      <c r="F474" s="46" t="str">
        <f aca="false">IFERROR(VLOOKUP(Orders!E474,Sales_Reps!$A$2:$E$31,3,FALSE()),"Not Found")</f>
        <v>East</v>
      </c>
      <c r="G474" s="46" t="n">
        <f aca="false">IFERROR(VLOOKUP(Orders!D474,Products!$A$2:$F$61,4,FALSE()),"")</f>
        <v>302</v>
      </c>
      <c r="H474" s="47" t="n">
        <f aca="false">IF(G474="","",(Orders!G474-G474)/Orders!G474)</f>
        <v>0.357446808510638</v>
      </c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</row>
    <row r="475" customFormat="false" ht="15" hidden="false" customHeight="false" outlineLevel="0" collapsed="false">
      <c r="A475" s="46" t="str">
        <f aca="false">Orders!A475</f>
        <v>ORD-00474</v>
      </c>
      <c r="B475" s="46" t="str">
        <f aca="false">PROPER(TRIM(Orders!K475))</f>
        <v>Mumbai</v>
      </c>
      <c r="C475" s="46" t="str">
        <f aca="false">IFERROR(VLOOKUP(Orders!D475,Products!$A$2:$F$61,3,FALSE()),"Not Found")</f>
        <v>Home</v>
      </c>
      <c r="D475" s="46" t="str">
        <f aca="false">IFERROR(VLOOKUP(Orders!C475,Customers!$A$2:$F$301,5,FALSE()),"Not Found")</f>
        <v>Retail</v>
      </c>
      <c r="E475" s="46" t="n">
        <f aca="false">IFERROR(VLOOKUP(Orders!C475,Customers!$A$2:$F$301,3,FALSE()),"Not Found")</f>
        <v>37</v>
      </c>
      <c r="F475" s="46" t="str">
        <f aca="false">IFERROR(VLOOKUP(Orders!E475,Sales_Reps!$A$2:$E$31,3,FALSE()),"Not Found")</f>
        <v>East</v>
      </c>
      <c r="G475" s="46" t="n">
        <f aca="false">IFERROR(VLOOKUP(Orders!D475,Products!$A$2:$F$61,4,FALSE()),"")</f>
        <v>1556</v>
      </c>
      <c r="H475" s="47" t="n">
        <f aca="false">IF(G475="","",(Orders!G475-G475)/Orders!G475)</f>
        <v>0.521230769230769</v>
      </c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</row>
    <row r="476" customFormat="false" ht="15" hidden="false" customHeight="false" outlineLevel="0" collapsed="false">
      <c r="A476" s="46" t="str">
        <f aca="false">Orders!A476</f>
        <v>ORD-00475</v>
      </c>
      <c r="B476" s="46" t="str">
        <f aca="false">PROPER(TRIM(Orders!K476))</f>
        <v>Pune</v>
      </c>
      <c r="C476" s="46" t="str">
        <f aca="false">IFERROR(VLOOKUP(Orders!D476,Products!$A$2:$F$61,3,FALSE()),"Not Found")</f>
        <v>Sports</v>
      </c>
      <c r="D476" s="46" t="str">
        <f aca="false">IFERROR(VLOOKUP(Orders!C476,Customers!$A$2:$F$301,5,FALSE()),"Not Found")</f>
        <v>SMB</v>
      </c>
      <c r="E476" s="46" t="n">
        <f aca="false">IFERROR(VLOOKUP(Orders!C476,Customers!$A$2:$F$301,3,FALSE()),"Not Found")</f>
        <v>54</v>
      </c>
      <c r="F476" s="46" t="str">
        <f aca="false">IFERROR(VLOOKUP(Orders!E476,Sales_Reps!$A$2:$E$31,3,FALSE()),"Not Found")</f>
        <v>East</v>
      </c>
      <c r="G476" s="46" t="n">
        <f aca="false">IFERROR(VLOOKUP(Orders!D476,Products!$A$2:$F$61,4,FALSE()),"")</f>
        <v>516</v>
      </c>
      <c r="H476" s="47" t="n">
        <f aca="false">IF(G476="","",(Orders!G476-G476)/Orders!G476)</f>
        <v>0.489108910891089</v>
      </c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</row>
    <row r="477" customFormat="false" ht="15" hidden="false" customHeight="false" outlineLevel="0" collapsed="false">
      <c r="A477" s="46" t="str">
        <f aca="false">Orders!A477</f>
        <v>ORD-00476</v>
      </c>
      <c r="B477" s="46" t="str">
        <f aca="false">PROPER(TRIM(Orders!K477))</f>
        <v>Mumbai</v>
      </c>
      <c r="C477" s="46" t="str">
        <f aca="false">IFERROR(VLOOKUP(Orders!D477,Products!$A$2:$F$61,3,FALSE()),"Not Found")</f>
        <v>Electronics</v>
      </c>
      <c r="D477" s="46" t="str">
        <f aca="false">IFERROR(VLOOKUP(Orders!C477,Customers!$A$2:$F$301,5,FALSE()),"Not Found")</f>
        <v>SMB</v>
      </c>
      <c r="E477" s="46" t="n">
        <f aca="false">IFERROR(VLOOKUP(Orders!C477,Customers!$A$2:$F$301,3,FALSE()),"Not Found")</f>
        <v>43</v>
      </c>
      <c r="F477" s="46" t="str">
        <f aca="false">IFERROR(VLOOKUP(Orders!E477,Sales_Reps!$A$2:$E$31,3,FALSE()),"Not Found")</f>
        <v>North</v>
      </c>
      <c r="G477" s="46" t="n">
        <f aca="false">IFERROR(VLOOKUP(Orders!D477,Products!$A$2:$F$61,4,FALSE()),"")</f>
        <v>128</v>
      </c>
      <c r="H477" s="47" t="n">
        <f aca="false">IF(G477="","",(Orders!G477-G477)/Orders!G477)</f>
        <v>0.573333333333333</v>
      </c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</row>
    <row r="478" customFormat="false" ht="15" hidden="false" customHeight="false" outlineLevel="0" collapsed="false">
      <c r="A478" s="46" t="str">
        <f aca="false">Orders!A478</f>
        <v>ORD-00477</v>
      </c>
      <c r="B478" s="46" t="str">
        <f aca="false">PROPER(TRIM(Orders!K478))</f>
        <v>Pune</v>
      </c>
      <c r="C478" s="46" t="str">
        <f aca="false">IFERROR(VLOOKUP(Orders!D478,Products!$A$2:$F$61,3,FALSE()),"Not Found")</f>
        <v>Beauty</v>
      </c>
      <c r="D478" s="46" t="str">
        <f aca="false">IFERROR(VLOOKUP(Orders!C478,Customers!$A$2:$F$301,5,FALSE()),"Not Found")</f>
        <v>Corporate</v>
      </c>
      <c r="E478" s="46" t="n">
        <f aca="false">IFERROR(VLOOKUP(Orders!C478,Customers!$A$2:$F$301,3,FALSE()),"Not Found")</f>
        <v>52</v>
      </c>
      <c r="F478" s="46" t="str">
        <f aca="false">IFERROR(VLOOKUP(Orders!E478,Sales_Reps!$A$2:$E$31,3,FALSE()),"Not Found")</f>
        <v>North</v>
      </c>
      <c r="G478" s="46" t="n">
        <f aca="false">IFERROR(VLOOKUP(Orders!D478,Products!$A$2:$F$61,4,FALSE()),"")</f>
        <v>2237</v>
      </c>
      <c r="H478" s="47" t="n">
        <f aca="false">IF(G478="","",(Orders!G478-G478)/Orders!G478)</f>
        <v>0.561372549019608</v>
      </c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</row>
    <row r="479" customFormat="false" ht="15" hidden="false" customHeight="false" outlineLevel="0" collapsed="false">
      <c r="A479" s="46" t="str">
        <f aca="false">Orders!A479</f>
        <v>ORD-00478</v>
      </c>
      <c r="B479" s="46" t="str">
        <f aca="false">PROPER(TRIM(Orders!K479))</f>
        <v>Hyderabad</v>
      </c>
      <c r="C479" s="46" t="str">
        <f aca="false">IFERROR(VLOOKUP(Orders!D479,Products!$A$2:$F$61,3,FALSE()),"Not Found")</f>
        <v>Beauty</v>
      </c>
      <c r="D479" s="46" t="str">
        <f aca="false">IFERROR(VLOOKUP(Orders!C479,Customers!$A$2:$F$301,5,FALSE()),"Not Found")</f>
        <v>Retail</v>
      </c>
      <c r="E479" s="46" t="n">
        <f aca="false">IFERROR(VLOOKUP(Orders!C479,Customers!$A$2:$F$301,3,FALSE()),"Not Found")</f>
        <v>31</v>
      </c>
      <c r="F479" s="46" t="str">
        <f aca="false">IFERROR(VLOOKUP(Orders!E479,Sales_Reps!$A$2:$E$31,3,FALSE()),"Not Found")</f>
        <v>West</v>
      </c>
      <c r="G479" s="46" t="n">
        <f aca="false">IFERROR(VLOOKUP(Orders!D479,Products!$A$2:$F$61,4,FALSE()),"")</f>
        <v>1728</v>
      </c>
      <c r="H479" s="47" t="n">
        <f aca="false">IF(G479="","",(Orders!G479-G479)/Orders!G479)</f>
        <v>0.484179104477612</v>
      </c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</row>
    <row r="480" customFormat="false" ht="15" hidden="false" customHeight="false" outlineLevel="0" collapsed="false">
      <c r="A480" s="46" t="str">
        <f aca="false">Orders!A480</f>
        <v>ORD-01195</v>
      </c>
      <c r="B480" s="46" t="str">
        <f aca="false">PROPER(TRIM(Orders!K480))</f>
        <v>Delhi</v>
      </c>
      <c r="C480" s="46" t="str">
        <f aca="false">IFERROR(VLOOKUP(Orders!D480,Products!$A$2:$F$61,3,FALSE()),"Not Found")</f>
        <v>Home</v>
      </c>
      <c r="D480" s="46" t="str">
        <f aca="false">IFERROR(VLOOKUP(Orders!C480,Customers!$A$2:$F$301,5,FALSE()),"Not Found")</f>
        <v>Retail</v>
      </c>
      <c r="E480" s="46" t="n">
        <f aca="false">IFERROR(VLOOKUP(Orders!C480,Customers!$A$2:$F$301,3,FALSE()),"Not Found")</f>
        <v>55</v>
      </c>
      <c r="F480" s="46" t="str">
        <f aca="false">IFERROR(VLOOKUP(Orders!E480,Sales_Reps!$A$2:$E$31,3,FALSE()),"Not Found")</f>
        <v>East</v>
      </c>
      <c r="G480" s="46" t="n">
        <f aca="false">IFERROR(VLOOKUP(Orders!D480,Products!$A$2:$F$61,4,FALSE()),"")</f>
        <v>1556</v>
      </c>
      <c r="H480" s="47" t="n">
        <f aca="false">IF(G480="","",(Orders!G480-G480)/Orders!G480)</f>
        <v>0.521230769230769</v>
      </c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</row>
    <row r="481" customFormat="false" ht="15" hidden="false" customHeight="false" outlineLevel="0" collapsed="false">
      <c r="A481" s="46" t="str">
        <f aca="false">Orders!A481</f>
        <v>ORD-00480</v>
      </c>
      <c r="B481" s="46" t="str">
        <f aca="false">PROPER(TRIM(Orders!K481))</f>
        <v>Pune</v>
      </c>
      <c r="C481" s="46" t="str">
        <f aca="false">IFERROR(VLOOKUP(Orders!D481,Products!$A$2:$F$61,3,FALSE()),"Not Found")</f>
        <v>Grocery</v>
      </c>
      <c r="D481" s="46" t="str">
        <f aca="false">IFERROR(VLOOKUP(Orders!C481,Customers!$A$2:$F$301,5,FALSE()),"Not Found")</f>
        <v>Retail</v>
      </c>
      <c r="E481" s="46" t="n">
        <f aca="false">IFERROR(VLOOKUP(Orders!C481,Customers!$A$2:$F$301,3,FALSE()),"Not Found")</f>
        <v>38</v>
      </c>
      <c r="F481" s="46" t="str">
        <f aca="false">IFERROR(VLOOKUP(Orders!E481,Sales_Reps!$A$2:$E$31,3,FALSE()),"Not Found")</f>
        <v>North</v>
      </c>
      <c r="G481" s="46" t="n">
        <f aca="false">IFERROR(VLOOKUP(Orders!D481,Products!$A$2:$F$61,4,FALSE()),"")</f>
        <v>2214</v>
      </c>
      <c r="H481" s="47" t="n">
        <f aca="false">IF(G481="","",(Orders!G481-G481)/Orders!G481)</f>
        <v>0.395081967213115</v>
      </c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</row>
    <row r="482" customFormat="false" ht="15" hidden="false" customHeight="false" outlineLevel="0" collapsed="false">
      <c r="A482" s="46" t="str">
        <f aca="false">Orders!A482</f>
        <v>ORD-00481</v>
      </c>
      <c r="B482" s="46" t="str">
        <f aca="false">PROPER(TRIM(Orders!K482))</f>
        <v>Chennai</v>
      </c>
      <c r="C482" s="46" t="str">
        <f aca="false">IFERROR(VLOOKUP(Orders!D482,Products!$A$2:$F$61,3,FALSE()),"Not Found")</f>
        <v>Sports</v>
      </c>
      <c r="D482" s="46" t="str">
        <f aca="false">IFERROR(VLOOKUP(Orders!C482,Customers!$A$2:$F$301,5,FALSE()),"Not Found")</f>
        <v>Retail</v>
      </c>
      <c r="E482" s="46" t="n">
        <f aca="false">IFERROR(VLOOKUP(Orders!C482,Customers!$A$2:$F$301,3,FALSE()),"Not Found")</f>
        <v>51</v>
      </c>
      <c r="F482" s="46" t="str">
        <f aca="false">IFERROR(VLOOKUP(Orders!E482,Sales_Reps!$A$2:$E$31,3,FALSE()),"Not Found")</f>
        <v>South</v>
      </c>
      <c r="G482" s="46" t="n">
        <f aca="false">IFERROR(VLOOKUP(Orders!D482,Products!$A$2:$F$61,4,FALSE()),"")</f>
        <v>974</v>
      </c>
      <c r="H482" s="47" t="n">
        <f aca="false">IF(G482="","",(Orders!G482-G482)/Orders!G482)</f>
        <v>0.594166666666667</v>
      </c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</row>
    <row r="483" customFormat="false" ht="15" hidden="false" customHeight="false" outlineLevel="0" collapsed="false">
      <c r="A483" s="46" t="str">
        <f aca="false">Orders!A483</f>
        <v>ORD-00482</v>
      </c>
      <c r="B483" s="46" t="str">
        <f aca="false">PROPER(TRIM(Orders!K483))</f>
        <v>Delhi</v>
      </c>
      <c r="C483" s="46" t="str">
        <f aca="false">IFERROR(VLOOKUP(Orders!D483,Products!$A$2:$F$61,3,FALSE()),"Not Found")</f>
        <v>Home</v>
      </c>
      <c r="D483" s="46" t="str">
        <f aca="false">IFERROR(VLOOKUP(Orders!C483,Customers!$A$2:$F$301,5,FALSE()),"Not Found")</f>
        <v>Corporate</v>
      </c>
      <c r="E483" s="46" t="n">
        <f aca="false">IFERROR(VLOOKUP(Orders!C483,Customers!$A$2:$F$301,3,FALSE()),"Not Found")</f>
        <v>31</v>
      </c>
      <c r="F483" s="46" t="str">
        <f aca="false">IFERROR(VLOOKUP(Orders!E483,Sales_Reps!$A$2:$E$31,3,FALSE()),"Not Found")</f>
        <v>South</v>
      </c>
      <c r="G483" s="46" t="n">
        <f aca="false">IFERROR(VLOOKUP(Orders!D483,Products!$A$2:$F$61,4,FALSE()),"")</f>
        <v>464</v>
      </c>
      <c r="H483" s="47" t="n">
        <f aca="false">IF(G483="","",(Orders!G483-G483)/Orders!G483)</f>
        <v>0.574311926605505</v>
      </c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</row>
    <row r="484" customFormat="false" ht="15" hidden="false" customHeight="false" outlineLevel="0" collapsed="false">
      <c r="A484" s="46" t="str">
        <f aca="false">Orders!A484</f>
        <v>ORD-00483</v>
      </c>
      <c r="B484" s="46" t="str">
        <f aca="false">PROPER(TRIM(Orders!K484))</f>
        <v>Chennai</v>
      </c>
      <c r="C484" s="46" t="str">
        <f aca="false">IFERROR(VLOOKUP(Orders!D484,Products!$A$2:$F$61,3,FALSE()),"Not Found")</f>
        <v>Sports</v>
      </c>
      <c r="D484" s="46" t="str">
        <f aca="false">IFERROR(VLOOKUP(Orders!C484,Customers!$A$2:$F$301,5,FALSE()),"Not Found")</f>
        <v>Retail</v>
      </c>
      <c r="E484" s="46" t="n">
        <f aca="false">IFERROR(VLOOKUP(Orders!C484,Customers!$A$2:$F$301,3,FALSE()),"Not Found")</f>
        <v>22</v>
      </c>
      <c r="F484" s="46" t="str">
        <f aca="false">IFERROR(VLOOKUP(Orders!E484,Sales_Reps!$A$2:$E$31,3,FALSE()),"Not Found")</f>
        <v>South</v>
      </c>
      <c r="G484" s="46" t="n">
        <f aca="false">IFERROR(VLOOKUP(Orders!D484,Products!$A$2:$F$61,4,FALSE()),"")</f>
        <v>1860</v>
      </c>
      <c r="H484" s="47" t="n">
        <f aca="false">IF(G484="","",(Orders!G484-G484)/Orders!G484)</f>
        <v>0.507936507936508</v>
      </c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</row>
    <row r="485" customFormat="false" ht="15" hidden="false" customHeight="false" outlineLevel="0" collapsed="false">
      <c r="A485" s="46" t="str">
        <f aca="false">Orders!A485</f>
        <v>ORD-00484</v>
      </c>
      <c r="B485" s="46" t="str">
        <f aca="false">PROPER(TRIM(Orders!K485))</f>
        <v>Pune</v>
      </c>
      <c r="C485" s="46" t="str">
        <f aca="false">IFERROR(VLOOKUP(Orders!D485,Products!$A$2:$F$61,3,FALSE()),"Not Found")</f>
        <v>Beauty</v>
      </c>
      <c r="D485" s="46" t="str">
        <f aca="false">IFERROR(VLOOKUP(Orders!C485,Customers!$A$2:$F$301,5,FALSE()),"Not Found")</f>
        <v>SMB</v>
      </c>
      <c r="E485" s="46" t="n">
        <f aca="false">IFERROR(VLOOKUP(Orders!C485,Customers!$A$2:$F$301,3,FALSE()),"Not Found")</f>
        <v>49</v>
      </c>
      <c r="F485" s="46" t="str">
        <f aca="false">IFERROR(VLOOKUP(Orders!E485,Sales_Reps!$A$2:$E$31,3,FALSE()),"Not Found")</f>
        <v>East</v>
      </c>
      <c r="G485" s="46" t="n">
        <f aca="false">IFERROR(VLOOKUP(Orders!D485,Products!$A$2:$F$61,4,FALSE()),"")</f>
        <v>1728</v>
      </c>
      <c r="H485" s="47" t="n">
        <f aca="false">IF(G485="","",(Orders!G485-G485)/Orders!G485)</f>
        <v>0.484179104477612</v>
      </c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</row>
    <row r="486" customFormat="false" ht="15" hidden="false" customHeight="false" outlineLevel="0" collapsed="false">
      <c r="A486" s="46" t="str">
        <f aca="false">Orders!A486</f>
        <v>ORD-00485</v>
      </c>
      <c r="B486" s="46" t="str">
        <f aca="false">PROPER(TRIM(Orders!K486))</f>
        <v>Bengaluru</v>
      </c>
      <c r="C486" s="46" t="str">
        <f aca="false">IFERROR(VLOOKUP(Orders!D486,Products!$A$2:$F$61,3,FALSE()),"Not Found")</f>
        <v>Home</v>
      </c>
      <c r="D486" s="46" t="str">
        <f aca="false">IFERROR(VLOOKUP(Orders!C486,Customers!$A$2:$F$301,5,FALSE()),"Not Found")</f>
        <v>Corporate</v>
      </c>
      <c r="E486" s="46" t="n">
        <f aca="false">IFERROR(VLOOKUP(Orders!C486,Customers!$A$2:$F$301,3,FALSE()),"Not Found")</f>
        <v>57</v>
      </c>
      <c r="F486" s="46" t="str">
        <f aca="false">IFERROR(VLOOKUP(Orders!E486,Sales_Reps!$A$2:$E$31,3,FALSE()),"Not Found")</f>
        <v>West</v>
      </c>
      <c r="G486" s="46" t="n">
        <f aca="false">IFERROR(VLOOKUP(Orders!D486,Products!$A$2:$F$61,4,FALSE()),"")</f>
        <v>519</v>
      </c>
      <c r="H486" s="47" t="n">
        <f aca="false">IF(G486="","",(Orders!G486-G486)/Orders!G486)</f>
        <v>0.519444444444445</v>
      </c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</row>
    <row r="487" customFormat="false" ht="15" hidden="false" customHeight="false" outlineLevel="0" collapsed="false">
      <c r="A487" s="46" t="str">
        <f aca="false">Orders!A487</f>
        <v>ORD-00486</v>
      </c>
      <c r="B487" s="46" t="str">
        <f aca="false">PROPER(TRIM(Orders!K487))</f>
        <v>Chennai</v>
      </c>
      <c r="C487" s="46" t="str">
        <f aca="false">IFERROR(VLOOKUP(Orders!D487,Products!$A$2:$F$61,3,FALSE()),"Not Found")</f>
        <v>Grocery</v>
      </c>
      <c r="D487" s="46" t="str">
        <f aca="false">IFERROR(VLOOKUP(Orders!C487,Customers!$A$2:$F$301,5,FALSE()),"Not Found")</f>
        <v>SMB</v>
      </c>
      <c r="E487" s="46" t="n">
        <f aca="false">IFERROR(VLOOKUP(Orders!C487,Customers!$A$2:$F$301,3,FALSE()),"Not Found")</f>
        <v>57</v>
      </c>
      <c r="F487" s="46" t="str">
        <f aca="false">IFERROR(VLOOKUP(Orders!E487,Sales_Reps!$A$2:$E$31,3,FALSE()),"Not Found")</f>
        <v>East</v>
      </c>
      <c r="G487" s="46" t="n">
        <f aca="false">IFERROR(VLOOKUP(Orders!D487,Products!$A$2:$F$61,4,FALSE()),"")</f>
        <v>2027</v>
      </c>
      <c r="H487" s="47" t="n">
        <f aca="false">IF(G487="","",(Orders!G487-G487)/Orders!G487)</f>
        <v>0.501965601965602</v>
      </c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</row>
    <row r="488" customFormat="false" ht="15" hidden="false" customHeight="false" outlineLevel="0" collapsed="false">
      <c r="A488" s="46" t="str">
        <f aca="false">Orders!A488</f>
        <v>ORD-00487</v>
      </c>
      <c r="B488" s="46" t="str">
        <f aca="false">PROPER(TRIM(Orders!K488))</f>
        <v>Chennai</v>
      </c>
      <c r="C488" s="46" t="str">
        <f aca="false">IFERROR(VLOOKUP(Orders!D488,Products!$A$2:$F$61,3,FALSE()),"Not Found")</f>
        <v>Beauty</v>
      </c>
      <c r="D488" s="46" t="str">
        <f aca="false">IFERROR(VLOOKUP(Orders!C488,Customers!$A$2:$F$301,5,FALSE()),"Not Found")</f>
        <v>Retail</v>
      </c>
      <c r="E488" s="46" t="n">
        <f aca="false">IFERROR(VLOOKUP(Orders!C488,Customers!$A$2:$F$301,3,FALSE()),"Not Found")</f>
        <v>22</v>
      </c>
      <c r="F488" s="46" t="str">
        <f aca="false">IFERROR(VLOOKUP(Orders!E488,Sales_Reps!$A$2:$E$31,3,FALSE()),"Not Found")</f>
        <v>West</v>
      </c>
      <c r="G488" s="46" t="n">
        <f aca="false">IFERROR(VLOOKUP(Orders!D488,Products!$A$2:$F$61,4,FALSE()),"")</f>
        <v>647</v>
      </c>
      <c r="H488" s="47" t="n">
        <f aca="false">IF(G488="","",(Orders!G488-G488)/Orders!G488)</f>
        <v>0.57987012987013</v>
      </c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</row>
    <row r="489" customFormat="false" ht="15" hidden="false" customHeight="false" outlineLevel="0" collapsed="false">
      <c r="A489" s="46" t="str">
        <f aca="false">Orders!A489</f>
        <v>ORD-00488</v>
      </c>
      <c r="B489" s="46" t="str">
        <f aca="false">PROPER(TRIM(Orders!K489))</f>
        <v>Bengaluru</v>
      </c>
      <c r="C489" s="46" t="str">
        <f aca="false">IFERROR(VLOOKUP(Orders!D489,Products!$A$2:$F$61,3,FALSE()),"Not Found")</f>
        <v>Grocery</v>
      </c>
      <c r="D489" s="46" t="str">
        <f aca="false">IFERROR(VLOOKUP(Orders!C489,Customers!$A$2:$F$301,5,FALSE()),"Not Found")</f>
        <v>SMB</v>
      </c>
      <c r="E489" s="46" t="n">
        <f aca="false">IFERROR(VLOOKUP(Orders!C489,Customers!$A$2:$F$301,3,FALSE()),"Not Found")</f>
        <v>28</v>
      </c>
      <c r="F489" s="46" t="str">
        <f aca="false">IFERROR(VLOOKUP(Orders!E489,Sales_Reps!$A$2:$E$31,3,FALSE()),"Not Found")</f>
        <v>West</v>
      </c>
      <c r="G489" s="46" t="n">
        <f aca="false">IFERROR(VLOOKUP(Orders!D489,Products!$A$2:$F$61,4,FALSE()),"")</f>
        <v>1435</v>
      </c>
      <c r="H489" s="47" t="n">
        <f aca="false">IF(G489="","",(Orders!G489-G489)/Orders!G489)</f>
        <v>0.480072463768116</v>
      </c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</row>
    <row r="490" customFormat="false" ht="15" hidden="false" customHeight="false" outlineLevel="0" collapsed="false">
      <c r="A490" s="46" t="str">
        <f aca="false">Orders!A490</f>
        <v>ORD-00489</v>
      </c>
      <c r="B490" s="46" t="str">
        <f aca="false">PROPER(TRIM(Orders!K490))</f>
        <v>Bengaluru</v>
      </c>
      <c r="C490" s="46" t="str">
        <f aca="false">IFERROR(VLOOKUP(Orders!D490,Products!$A$2:$F$61,3,FALSE()),"Not Found")</f>
        <v>Electronics</v>
      </c>
      <c r="D490" s="46" t="str">
        <f aca="false">IFERROR(VLOOKUP(Orders!C490,Customers!$A$2:$F$301,5,FALSE()),"Not Found")</f>
        <v>Retail</v>
      </c>
      <c r="E490" s="46" t="n">
        <f aca="false">IFERROR(VLOOKUP(Orders!C490,Customers!$A$2:$F$301,3,FALSE()),"Not Found")</f>
        <v>28</v>
      </c>
      <c r="F490" s="46" t="str">
        <f aca="false">IFERROR(VLOOKUP(Orders!E490,Sales_Reps!$A$2:$E$31,3,FALSE()),"Not Found")</f>
        <v>East</v>
      </c>
      <c r="G490" s="46" t="n">
        <f aca="false">IFERROR(VLOOKUP(Orders!D490,Products!$A$2:$F$61,4,FALSE()),"")</f>
        <v>2865</v>
      </c>
      <c r="H490" s="47" t="n">
        <f aca="false">IF(G490="","",(Orders!G490-G490)/Orders!G490)</f>
        <v>0.278337531486146</v>
      </c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</row>
    <row r="491" customFormat="false" ht="15" hidden="false" customHeight="false" outlineLevel="0" collapsed="false">
      <c r="A491" s="46" t="str">
        <f aca="false">Orders!A491</f>
        <v>ORD-00490</v>
      </c>
      <c r="B491" s="46" t="str">
        <f aca="false">PROPER(TRIM(Orders!K491))</f>
        <v>Mumbai</v>
      </c>
      <c r="C491" s="46" t="str">
        <f aca="false">IFERROR(VLOOKUP(Orders!D491,Products!$A$2:$F$61,3,FALSE()),"Not Found")</f>
        <v>Apparel</v>
      </c>
      <c r="D491" s="46" t="str">
        <f aca="false">IFERROR(VLOOKUP(Orders!C491,Customers!$A$2:$F$301,5,FALSE()),"Not Found")</f>
        <v>Retail</v>
      </c>
      <c r="E491" s="46" t="n">
        <f aca="false">IFERROR(VLOOKUP(Orders!C491,Customers!$A$2:$F$301,3,FALSE()),"Not Found")</f>
        <v>37</v>
      </c>
      <c r="F491" s="46" t="str">
        <f aca="false">IFERROR(VLOOKUP(Orders!E491,Sales_Reps!$A$2:$E$31,3,FALSE()),"Not Found")</f>
        <v>East</v>
      </c>
      <c r="G491" s="46" t="n">
        <f aca="false">IFERROR(VLOOKUP(Orders!D491,Products!$A$2:$F$61,4,FALSE()),"")</f>
        <v>1748</v>
      </c>
      <c r="H491" s="47" t="n">
        <f aca="false">IF(G491="","",(Orders!G491-G491)/Orders!G491)</f>
        <v>0.493333333333333</v>
      </c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</row>
    <row r="492" customFormat="false" ht="15" hidden="false" customHeight="false" outlineLevel="0" collapsed="false">
      <c r="A492" s="46" t="str">
        <f aca="false">Orders!A492</f>
        <v>ORD-00491</v>
      </c>
      <c r="B492" s="46" t="str">
        <f aca="false">PROPER(TRIM(Orders!K492))</f>
        <v>Bengaluru</v>
      </c>
      <c r="C492" s="46" t="str">
        <f aca="false">IFERROR(VLOOKUP(Orders!D492,Products!$A$2:$F$61,3,FALSE()),"Not Found")</f>
        <v>Apparel</v>
      </c>
      <c r="D492" s="46" t="str">
        <f aca="false">IFERROR(VLOOKUP(Orders!C492,Customers!$A$2:$F$301,5,FALSE()),"Not Found")</f>
        <v>Corporate</v>
      </c>
      <c r="E492" s="46" t="n">
        <f aca="false">IFERROR(VLOOKUP(Orders!C492,Customers!$A$2:$F$301,3,FALSE()),"Not Found")</f>
        <v>36</v>
      </c>
      <c r="F492" s="46" t="str">
        <f aca="false">IFERROR(VLOOKUP(Orders!E492,Sales_Reps!$A$2:$E$31,3,FALSE()),"Not Found")</f>
        <v>North</v>
      </c>
      <c r="G492" s="46" t="n">
        <f aca="false">IFERROR(VLOOKUP(Orders!D492,Products!$A$2:$F$61,4,FALSE()),"")</f>
        <v>2629</v>
      </c>
      <c r="H492" s="47" t="n">
        <f aca="false">IF(G492="","",(Orders!G492-G492)/Orders!G492)</f>
        <v>0.261516853932584</v>
      </c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</row>
    <row r="493" customFormat="false" ht="15" hidden="false" customHeight="false" outlineLevel="0" collapsed="false">
      <c r="A493" s="46" t="str">
        <f aca="false">Orders!A493</f>
        <v>ORD-00492</v>
      </c>
      <c r="B493" s="46" t="str">
        <f aca="false">PROPER(TRIM(Orders!K493))</f>
        <v>Pune</v>
      </c>
      <c r="C493" s="46" t="str">
        <f aca="false">IFERROR(VLOOKUP(Orders!D493,Products!$A$2:$F$61,3,FALSE()),"Not Found")</f>
        <v>Electronics</v>
      </c>
      <c r="D493" s="46" t="str">
        <f aca="false">IFERROR(VLOOKUP(Orders!C493,Customers!$A$2:$F$301,5,FALSE()),"Not Found")</f>
        <v>Corporate</v>
      </c>
      <c r="E493" s="46" t="n">
        <f aca="false">IFERROR(VLOOKUP(Orders!C493,Customers!$A$2:$F$301,3,FALSE()),"Not Found")</f>
        <v>29</v>
      </c>
      <c r="F493" s="46" t="str">
        <f aca="false">IFERROR(VLOOKUP(Orders!E493,Sales_Reps!$A$2:$E$31,3,FALSE()),"Not Found")</f>
        <v>West</v>
      </c>
      <c r="G493" s="46" t="n">
        <f aca="false">IFERROR(VLOOKUP(Orders!D493,Products!$A$2:$F$61,4,FALSE()),"")</f>
        <v>1665</v>
      </c>
      <c r="H493" s="47" t="n">
        <f aca="false">IF(G493="","",(Orders!G493-G493)/Orders!G493)</f>
        <v>0.533613445378151</v>
      </c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</row>
    <row r="494" customFormat="false" ht="15" hidden="false" customHeight="false" outlineLevel="0" collapsed="false">
      <c r="A494" s="46" t="str">
        <f aca="false">Orders!A494</f>
        <v>ORD-00493</v>
      </c>
      <c r="B494" s="46" t="str">
        <f aca="false">PROPER(TRIM(Orders!K494))</f>
        <v>Pune</v>
      </c>
      <c r="C494" s="46" t="str">
        <f aca="false">IFERROR(VLOOKUP(Orders!D494,Products!$A$2:$F$61,3,FALSE()),"Not Found")</f>
        <v>Sports</v>
      </c>
      <c r="D494" s="46" t="str">
        <f aca="false">IFERROR(VLOOKUP(Orders!C494,Customers!$A$2:$F$301,5,FALSE()),"Not Found")</f>
        <v>Retail</v>
      </c>
      <c r="E494" s="46" t="n">
        <f aca="false">IFERROR(VLOOKUP(Orders!C494,Customers!$A$2:$F$301,3,FALSE()),"Not Found")</f>
        <v>59</v>
      </c>
      <c r="F494" s="46" t="str">
        <f aca="false">IFERROR(VLOOKUP(Orders!E494,Sales_Reps!$A$2:$E$31,3,FALSE()),"Not Found")</f>
        <v>West</v>
      </c>
      <c r="G494" s="46" t="n">
        <f aca="false">IFERROR(VLOOKUP(Orders!D494,Products!$A$2:$F$61,4,FALSE()),"")</f>
        <v>705</v>
      </c>
      <c r="H494" s="47" t="n">
        <f aca="false">IF(G494="","",(Orders!G494-G494)/Orders!G494)</f>
        <v>0.265625</v>
      </c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</row>
    <row r="495" customFormat="false" ht="15" hidden="false" customHeight="false" outlineLevel="0" collapsed="false">
      <c r="A495" s="46" t="str">
        <f aca="false">Orders!A495</f>
        <v>ORD-00494</v>
      </c>
      <c r="B495" s="46" t="str">
        <f aca="false">PROPER(TRIM(Orders!K495))</f>
        <v>Pune</v>
      </c>
      <c r="C495" s="46" t="str">
        <f aca="false">IFERROR(VLOOKUP(Orders!D495,Products!$A$2:$F$61,3,FALSE()),"Not Found")</f>
        <v>Beauty</v>
      </c>
      <c r="D495" s="46" t="str">
        <f aca="false">IFERROR(VLOOKUP(Orders!C495,Customers!$A$2:$F$301,5,FALSE()),"Not Found")</f>
        <v>Corporate</v>
      </c>
      <c r="E495" s="46" t="n">
        <f aca="false">IFERROR(VLOOKUP(Orders!C495,Customers!$A$2:$F$301,3,FALSE()),"Not Found")</f>
        <v>52</v>
      </c>
      <c r="F495" s="46" t="str">
        <f aca="false">IFERROR(VLOOKUP(Orders!E495,Sales_Reps!$A$2:$E$31,3,FALSE()),"Not Found")</f>
        <v>South</v>
      </c>
      <c r="G495" s="46" t="n">
        <f aca="false">IFERROR(VLOOKUP(Orders!D495,Products!$A$2:$F$61,4,FALSE()),"")</f>
        <v>2420</v>
      </c>
      <c r="H495" s="47" t="n">
        <f aca="false">IF(G495="","",(Orders!G495-G495)/Orders!G495)</f>
        <v>0.298550724637681</v>
      </c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</row>
    <row r="496" customFormat="false" ht="15" hidden="false" customHeight="false" outlineLevel="0" collapsed="false">
      <c r="A496" s="46" t="str">
        <f aca="false">Orders!A496</f>
        <v>ORD-00495</v>
      </c>
      <c r="B496" s="46" t="str">
        <f aca="false">PROPER(TRIM(Orders!K496))</f>
        <v>Bengaluru</v>
      </c>
      <c r="C496" s="46" t="str">
        <f aca="false">IFERROR(VLOOKUP(Orders!D496,Products!$A$2:$F$61,3,FALSE()),"Not Found")</f>
        <v>Beauty</v>
      </c>
      <c r="D496" s="46" t="str">
        <f aca="false">IFERROR(VLOOKUP(Orders!C496,Customers!$A$2:$F$301,5,FALSE()),"Not Found")</f>
        <v>Retail</v>
      </c>
      <c r="E496" s="46" t="n">
        <f aca="false">IFERROR(VLOOKUP(Orders!C496,Customers!$A$2:$F$301,3,FALSE()),"Not Found")</f>
        <v>59</v>
      </c>
      <c r="F496" s="46" t="str">
        <f aca="false">IFERROR(VLOOKUP(Orders!E496,Sales_Reps!$A$2:$E$31,3,FALSE()),"Not Found")</f>
        <v>South</v>
      </c>
      <c r="G496" s="46" t="n">
        <f aca="false">IFERROR(VLOOKUP(Orders!D496,Products!$A$2:$F$61,4,FALSE()),"")</f>
        <v>1728</v>
      </c>
      <c r="H496" s="47" t="n">
        <f aca="false">IF(G496="","",(Orders!G496-G496)/Orders!G496)</f>
        <v>0.484179104477612</v>
      </c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</row>
    <row r="497" customFormat="false" ht="15" hidden="false" customHeight="false" outlineLevel="0" collapsed="false">
      <c r="A497" s="46" t="str">
        <f aca="false">Orders!A497</f>
        <v>ORD-00496</v>
      </c>
      <c r="B497" s="46" t="str">
        <f aca="false">PROPER(TRIM(Orders!K497))</f>
        <v>Delhi</v>
      </c>
      <c r="C497" s="46" t="str">
        <f aca="false">IFERROR(VLOOKUP(Orders!D497,Products!$A$2:$F$61,3,FALSE()),"Not Found")</f>
        <v>Beauty</v>
      </c>
      <c r="D497" s="46" t="str">
        <f aca="false">IFERROR(VLOOKUP(Orders!C497,Customers!$A$2:$F$301,5,FALSE()),"Not Found")</f>
        <v>Retail</v>
      </c>
      <c r="E497" s="46" t="n">
        <f aca="false">IFERROR(VLOOKUP(Orders!C497,Customers!$A$2:$F$301,3,FALSE()),"Not Found")</f>
        <v>35</v>
      </c>
      <c r="F497" s="46" t="str">
        <f aca="false">IFERROR(VLOOKUP(Orders!E497,Sales_Reps!$A$2:$E$31,3,FALSE()),"Not Found")</f>
        <v>North</v>
      </c>
      <c r="G497" s="46" t="n">
        <f aca="false">IFERROR(VLOOKUP(Orders!D497,Products!$A$2:$F$61,4,FALSE()),"")</f>
        <v>675</v>
      </c>
      <c r="H497" s="47" t="n">
        <f aca="false">IF(G497="","",(Orders!G497-G497)/Orders!G497)</f>
        <v>0.296875</v>
      </c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</row>
    <row r="498" customFormat="false" ht="15" hidden="false" customHeight="false" outlineLevel="0" collapsed="false">
      <c r="A498" s="46" t="str">
        <f aca="false">Orders!A498</f>
        <v>ORD-00497</v>
      </c>
      <c r="B498" s="46" t="str">
        <f aca="false">PROPER(TRIM(Orders!K498))</f>
        <v>Delhi</v>
      </c>
      <c r="C498" s="46" t="str">
        <f aca="false">IFERROR(VLOOKUP(Orders!D498,Products!$A$2:$F$61,3,FALSE()),"Not Found")</f>
        <v>Electronics</v>
      </c>
      <c r="D498" s="46" t="str">
        <f aca="false">IFERROR(VLOOKUP(Orders!C498,Customers!$A$2:$F$301,5,FALSE()),"Not Found")</f>
        <v>SMB</v>
      </c>
      <c r="E498" s="46" t="n">
        <f aca="false">IFERROR(VLOOKUP(Orders!C498,Customers!$A$2:$F$301,3,FALSE()),"Not Found")</f>
        <v>27</v>
      </c>
      <c r="F498" s="46" t="str">
        <f aca="false">IFERROR(VLOOKUP(Orders!E498,Sales_Reps!$A$2:$E$31,3,FALSE()),"Not Found")</f>
        <v>South</v>
      </c>
      <c r="G498" s="46" t="n">
        <f aca="false">IFERROR(VLOOKUP(Orders!D498,Products!$A$2:$F$61,4,FALSE()),"")</f>
        <v>128</v>
      </c>
      <c r="H498" s="47" t="n">
        <f aca="false">IF(G498="","",(Orders!G498-G498)/Orders!G498)</f>
        <v>0.573333333333333</v>
      </c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</row>
    <row r="499" customFormat="false" ht="15" hidden="false" customHeight="false" outlineLevel="0" collapsed="false">
      <c r="A499" s="46" t="str">
        <f aca="false">Orders!A499</f>
        <v>ORD-00498</v>
      </c>
      <c r="B499" s="46" t="str">
        <f aca="false">PROPER(TRIM(Orders!K499))</f>
        <v>Hyderabad</v>
      </c>
      <c r="C499" s="46" t="str">
        <f aca="false">IFERROR(VLOOKUP(Orders!D499,Products!$A$2:$F$61,3,FALSE()),"Not Found")</f>
        <v>Grocery</v>
      </c>
      <c r="D499" s="46" t="str">
        <f aca="false">IFERROR(VLOOKUP(Orders!C499,Customers!$A$2:$F$301,5,FALSE()),"Not Found")</f>
        <v>Retail</v>
      </c>
      <c r="E499" s="46" t="n">
        <f aca="false">IFERROR(VLOOKUP(Orders!C499,Customers!$A$2:$F$301,3,FALSE()),"Not Found")</f>
        <v>38</v>
      </c>
      <c r="F499" s="46" t="str">
        <f aca="false">IFERROR(VLOOKUP(Orders!E499,Sales_Reps!$A$2:$E$31,3,FALSE()),"Not Found")</f>
        <v>East</v>
      </c>
      <c r="G499" s="46" t="n">
        <f aca="false">IFERROR(VLOOKUP(Orders!D499,Products!$A$2:$F$61,4,FALSE()),"")</f>
        <v>1182</v>
      </c>
      <c r="H499" s="47" t="n">
        <f aca="false">IF(G499="","",(Orders!G499-G499)/Orders!G499)</f>
        <v>0.503361344537815</v>
      </c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</row>
    <row r="500" customFormat="false" ht="15" hidden="false" customHeight="false" outlineLevel="0" collapsed="false">
      <c r="A500" s="46" t="str">
        <f aca="false">Orders!A500</f>
        <v>ORD-00499</v>
      </c>
      <c r="B500" s="46" t="str">
        <f aca="false">PROPER(TRIM(Orders!K500))</f>
        <v>Bengaluru</v>
      </c>
      <c r="C500" s="46" t="str">
        <f aca="false">IFERROR(VLOOKUP(Orders!D500,Products!$A$2:$F$61,3,FALSE()),"Not Found")</f>
        <v>Sports</v>
      </c>
      <c r="D500" s="46" t="str">
        <f aca="false">IFERROR(VLOOKUP(Orders!C500,Customers!$A$2:$F$301,5,FALSE()),"Not Found")</f>
        <v>Retail</v>
      </c>
      <c r="E500" s="46" t="n">
        <f aca="false">IFERROR(VLOOKUP(Orders!C500,Customers!$A$2:$F$301,3,FALSE()),"Not Found")</f>
        <v>29</v>
      </c>
      <c r="F500" s="46" t="str">
        <f aca="false">IFERROR(VLOOKUP(Orders!E500,Sales_Reps!$A$2:$E$31,3,FALSE()),"Not Found")</f>
        <v>West</v>
      </c>
      <c r="G500" s="46" t="n">
        <f aca="false">IFERROR(VLOOKUP(Orders!D500,Products!$A$2:$F$61,4,FALSE()),"")</f>
        <v>705</v>
      </c>
      <c r="H500" s="47" t="n">
        <f aca="false">IF(G500="","",(Orders!G500-G500)/Orders!G500)</f>
        <v>0.265625</v>
      </c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</row>
    <row r="501" customFormat="false" ht="15" hidden="false" customHeight="false" outlineLevel="0" collapsed="false">
      <c r="A501" s="46" t="str">
        <f aca="false">Orders!A501</f>
        <v>ORD-00500</v>
      </c>
      <c r="B501" s="46" t="str">
        <f aca="false">PROPER(TRIM(Orders!K501))</f>
        <v>Chennai</v>
      </c>
      <c r="C501" s="46" t="str">
        <f aca="false">IFERROR(VLOOKUP(Orders!D501,Products!$A$2:$F$61,3,FALSE()),"Not Found")</f>
        <v>Sports</v>
      </c>
      <c r="D501" s="46" t="str">
        <f aca="false">IFERROR(VLOOKUP(Orders!C501,Customers!$A$2:$F$301,5,FALSE()),"Not Found")</f>
        <v>SMB</v>
      </c>
      <c r="E501" s="46" t="n">
        <f aca="false">IFERROR(VLOOKUP(Orders!C501,Customers!$A$2:$F$301,3,FALSE()),"Not Found")</f>
        <v>55</v>
      </c>
      <c r="F501" s="46" t="str">
        <f aca="false">IFERROR(VLOOKUP(Orders!E501,Sales_Reps!$A$2:$E$31,3,FALSE()),"Not Found")</f>
        <v>South</v>
      </c>
      <c r="G501" s="46" t="n">
        <f aca="false">IFERROR(VLOOKUP(Orders!D501,Products!$A$2:$F$61,4,FALSE()),"")</f>
        <v>1860</v>
      </c>
      <c r="H501" s="47" t="n">
        <f aca="false">IF(G501="","",(Orders!G501-G501)/Orders!G501)</f>
        <v>0.507936507936508</v>
      </c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</row>
    <row r="502" customFormat="false" ht="15" hidden="false" customHeight="false" outlineLevel="0" collapsed="false">
      <c r="A502" s="46" t="str">
        <f aca="false">Orders!A502</f>
        <v>ORD-00501</v>
      </c>
      <c r="B502" s="46" t="str">
        <f aca="false">PROPER(TRIM(Orders!K502))</f>
        <v>Chennai</v>
      </c>
      <c r="C502" s="46" t="str">
        <f aca="false">IFERROR(VLOOKUP(Orders!D502,Products!$A$2:$F$61,3,FALSE()),"Not Found")</f>
        <v>Beauty</v>
      </c>
      <c r="D502" s="46" t="str">
        <f aca="false">IFERROR(VLOOKUP(Orders!C502,Customers!$A$2:$F$301,5,FALSE()),"Not Found")</f>
        <v>Retail</v>
      </c>
      <c r="E502" s="46" t="n">
        <f aca="false">IFERROR(VLOOKUP(Orders!C502,Customers!$A$2:$F$301,3,FALSE()),"Not Found")</f>
        <v>51</v>
      </c>
      <c r="F502" s="46" t="str">
        <f aca="false">IFERROR(VLOOKUP(Orders!E502,Sales_Reps!$A$2:$E$31,3,FALSE()),"Not Found")</f>
        <v>East</v>
      </c>
      <c r="G502" s="46" t="n">
        <f aca="false">IFERROR(VLOOKUP(Orders!D502,Products!$A$2:$F$61,4,FALSE()),"")</f>
        <v>647</v>
      </c>
      <c r="H502" s="47" t="n">
        <f aca="false">IF(G502="","",(Orders!G502-G502)/Orders!G502)</f>
        <v>0.57987012987013</v>
      </c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</row>
    <row r="503" customFormat="false" ht="15" hidden="false" customHeight="false" outlineLevel="0" collapsed="false">
      <c r="A503" s="46" t="str">
        <f aca="false">Orders!A503</f>
        <v>ORD-00502</v>
      </c>
      <c r="B503" s="46" t="str">
        <f aca="false">PROPER(TRIM(Orders!K503))</f>
        <v>Bengaluru</v>
      </c>
      <c r="C503" s="46" t="str">
        <f aca="false">IFERROR(VLOOKUP(Orders!D503,Products!$A$2:$F$61,3,FALSE()),"Not Found")</f>
        <v>Apparel</v>
      </c>
      <c r="D503" s="46" t="str">
        <f aca="false">IFERROR(VLOOKUP(Orders!C503,Customers!$A$2:$F$301,5,FALSE()),"Not Found")</f>
        <v>Retail</v>
      </c>
      <c r="E503" s="46" t="n">
        <f aca="false">IFERROR(VLOOKUP(Orders!C503,Customers!$A$2:$F$301,3,FALSE()),"Not Found")</f>
        <v>52</v>
      </c>
      <c r="F503" s="46" t="str">
        <f aca="false">IFERROR(VLOOKUP(Orders!E503,Sales_Reps!$A$2:$E$31,3,FALSE()),"Not Found")</f>
        <v>North</v>
      </c>
      <c r="G503" s="46" t="n">
        <f aca="false">IFERROR(VLOOKUP(Orders!D503,Products!$A$2:$F$61,4,FALSE()),"")</f>
        <v>1075</v>
      </c>
      <c r="H503" s="47" t="n">
        <f aca="false">IF(G503="","",(Orders!G503-G503)/Orders!G503)</f>
        <v>0.571713147410359</v>
      </c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</row>
    <row r="504" customFormat="false" ht="15" hidden="false" customHeight="false" outlineLevel="0" collapsed="false">
      <c r="A504" s="46" t="str">
        <f aca="false">Orders!A504</f>
        <v>ORD-00503</v>
      </c>
      <c r="B504" s="46" t="str">
        <f aca="false">PROPER(TRIM(Orders!K504))</f>
        <v>Hyderabad</v>
      </c>
      <c r="C504" s="46" t="str">
        <f aca="false">IFERROR(VLOOKUP(Orders!D504,Products!$A$2:$F$61,3,FALSE()),"Not Found")</f>
        <v>Grocery</v>
      </c>
      <c r="D504" s="46" t="str">
        <f aca="false">IFERROR(VLOOKUP(Orders!C504,Customers!$A$2:$F$301,5,FALSE()),"Not Found")</f>
        <v>Retail</v>
      </c>
      <c r="E504" s="46" t="n">
        <f aca="false">IFERROR(VLOOKUP(Orders!C504,Customers!$A$2:$F$301,3,FALSE()),"Not Found")</f>
        <v>44</v>
      </c>
      <c r="F504" s="46" t="str">
        <f aca="false">IFERROR(VLOOKUP(Orders!E504,Sales_Reps!$A$2:$E$31,3,FALSE()),"Not Found")</f>
        <v>South</v>
      </c>
      <c r="G504" s="46" t="n">
        <f aca="false">IFERROR(VLOOKUP(Orders!D504,Products!$A$2:$F$61,4,FALSE()),"")</f>
        <v>2911</v>
      </c>
      <c r="H504" s="47" t="n">
        <f aca="false">IF(G504="","",(Orders!G504-G504)/Orders!G504)</f>
        <v>0.283004926108374</v>
      </c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</row>
    <row r="505" customFormat="false" ht="15" hidden="false" customHeight="false" outlineLevel="0" collapsed="false">
      <c r="A505" s="46" t="str">
        <f aca="false">Orders!A505</f>
        <v>ORD-00504</v>
      </c>
      <c r="B505" s="46" t="str">
        <f aca="false">PROPER(TRIM(Orders!K505))</f>
        <v>Delhi</v>
      </c>
      <c r="C505" s="46" t="str">
        <f aca="false">IFERROR(VLOOKUP(Orders!D505,Products!$A$2:$F$61,3,FALSE()),"Not Found")</f>
        <v>Sports</v>
      </c>
      <c r="D505" s="46" t="str">
        <f aca="false">IFERROR(VLOOKUP(Orders!C505,Customers!$A$2:$F$301,5,FALSE()),"Not Found")</f>
        <v>SMB</v>
      </c>
      <c r="E505" s="46" t="n">
        <f aca="false">IFERROR(VLOOKUP(Orders!C505,Customers!$A$2:$F$301,3,FALSE()),"Not Found")</f>
        <v>28</v>
      </c>
      <c r="F505" s="46" t="str">
        <f aca="false">IFERROR(VLOOKUP(Orders!E505,Sales_Reps!$A$2:$E$31,3,FALSE()),"Not Found")</f>
        <v>West</v>
      </c>
      <c r="G505" s="46" t="n">
        <f aca="false">IFERROR(VLOOKUP(Orders!D505,Products!$A$2:$F$61,4,FALSE()),"")</f>
        <v>974</v>
      </c>
      <c r="H505" s="47" t="n">
        <f aca="false">IF(G505="","",(Orders!G505-G505)/Orders!G505)</f>
        <v>0.594166666666667</v>
      </c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</row>
    <row r="506" customFormat="false" ht="15" hidden="false" customHeight="false" outlineLevel="0" collapsed="false">
      <c r="A506" s="46" t="str">
        <f aca="false">Orders!A506</f>
        <v>ORD-00505</v>
      </c>
      <c r="B506" s="46" t="str">
        <f aca="false">PROPER(TRIM(Orders!K506))</f>
        <v>Delhi</v>
      </c>
      <c r="C506" s="46" t="str">
        <f aca="false">IFERROR(VLOOKUP(Orders!D506,Products!$A$2:$F$61,3,FALSE()),"Not Found")</f>
        <v>Beauty</v>
      </c>
      <c r="D506" s="46" t="str">
        <f aca="false">IFERROR(VLOOKUP(Orders!C506,Customers!$A$2:$F$301,5,FALSE()),"Not Found")</f>
        <v>Corporate</v>
      </c>
      <c r="E506" s="46" t="n">
        <f aca="false">IFERROR(VLOOKUP(Orders!C506,Customers!$A$2:$F$301,3,FALSE()),"Not Found")</f>
        <v>46</v>
      </c>
      <c r="F506" s="46" t="str">
        <f aca="false">IFERROR(VLOOKUP(Orders!E506,Sales_Reps!$A$2:$E$31,3,FALSE()),"Not Found")</f>
        <v>East</v>
      </c>
      <c r="G506" s="46" t="n">
        <f aca="false">IFERROR(VLOOKUP(Orders!D506,Products!$A$2:$F$61,4,FALSE()),"")</f>
        <v>2768</v>
      </c>
      <c r="H506" s="47" t="n">
        <f aca="false">IF(G506="","",(Orders!G506-G506)/Orders!G506)</f>
        <v>0.432786885245902</v>
      </c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</row>
    <row r="507" customFormat="false" ht="15" hidden="false" customHeight="false" outlineLevel="0" collapsed="false">
      <c r="A507" s="46" t="str">
        <f aca="false">Orders!A507</f>
        <v>ORD-00506</v>
      </c>
      <c r="B507" s="46" t="str">
        <f aca="false">PROPER(TRIM(Orders!K507))</f>
        <v>Mumbai</v>
      </c>
      <c r="C507" s="46" t="str">
        <f aca="false">IFERROR(VLOOKUP(Orders!D507,Products!$A$2:$F$61,3,FALSE()),"Not Found")</f>
        <v>Beauty</v>
      </c>
      <c r="D507" s="46" t="str">
        <f aca="false">IFERROR(VLOOKUP(Orders!C507,Customers!$A$2:$F$301,5,FALSE()),"Not Found")</f>
        <v>Retail</v>
      </c>
      <c r="E507" s="46" t="n">
        <f aca="false">IFERROR(VLOOKUP(Orders!C507,Customers!$A$2:$F$301,3,FALSE()),"Not Found")</f>
        <v>44</v>
      </c>
      <c r="F507" s="46" t="str">
        <f aca="false">IFERROR(VLOOKUP(Orders!E507,Sales_Reps!$A$2:$E$31,3,FALSE()),"Not Found")</f>
        <v>East</v>
      </c>
      <c r="G507" s="46" t="n">
        <f aca="false">IFERROR(VLOOKUP(Orders!D507,Products!$A$2:$F$61,4,FALSE()),"")</f>
        <v>2237</v>
      </c>
      <c r="H507" s="47" t="n">
        <f aca="false">IF(G507="","",(Orders!G507-G507)/Orders!G507)</f>
        <v>0.561372549019608</v>
      </c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</row>
    <row r="508" customFormat="false" ht="15" hidden="false" customHeight="false" outlineLevel="0" collapsed="false">
      <c r="A508" s="46" t="str">
        <f aca="false">Orders!A508</f>
        <v>ORD-00507</v>
      </c>
      <c r="B508" s="46" t="str">
        <f aca="false">PROPER(TRIM(Orders!K508))</f>
        <v>Delhi</v>
      </c>
      <c r="C508" s="46" t="str">
        <f aca="false">IFERROR(VLOOKUP(Orders!D508,Products!$A$2:$F$61,3,FALSE()),"Not Found")</f>
        <v>Electronics</v>
      </c>
      <c r="D508" s="46" t="str">
        <f aca="false">IFERROR(VLOOKUP(Orders!C508,Customers!$A$2:$F$301,5,FALSE()),"Not Found")</f>
        <v>SMB</v>
      </c>
      <c r="E508" s="46" t="n">
        <f aca="false">IFERROR(VLOOKUP(Orders!C508,Customers!$A$2:$F$301,3,FALSE()),"Not Found")</f>
        <v>38</v>
      </c>
      <c r="F508" s="46" t="str">
        <f aca="false">IFERROR(VLOOKUP(Orders!E508,Sales_Reps!$A$2:$E$31,3,FALSE()),"Not Found")</f>
        <v>West</v>
      </c>
      <c r="G508" s="46" t="n">
        <f aca="false">IFERROR(VLOOKUP(Orders!D508,Products!$A$2:$F$61,4,FALSE()),"")</f>
        <v>128</v>
      </c>
      <c r="H508" s="47" t="n">
        <f aca="false">IF(G508="","",(Orders!G508-G508)/Orders!G508)</f>
        <v>0.573333333333333</v>
      </c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</row>
    <row r="509" customFormat="false" ht="15" hidden="false" customHeight="false" outlineLevel="0" collapsed="false">
      <c r="A509" s="46" t="str">
        <f aca="false">Orders!A509</f>
        <v>ORD-00508</v>
      </c>
      <c r="B509" s="46" t="str">
        <f aca="false">PROPER(TRIM(Orders!K509))</f>
        <v>Chennai</v>
      </c>
      <c r="C509" s="46" t="str">
        <f aca="false">IFERROR(VLOOKUP(Orders!D509,Products!$A$2:$F$61,3,FALSE()),"Not Found")</f>
        <v>Apparel</v>
      </c>
      <c r="D509" s="46" t="str">
        <f aca="false">IFERROR(VLOOKUP(Orders!C509,Customers!$A$2:$F$301,5,FALSE()),"Not Found")</f>
        <v>Retail</v>
      </c>
      <c r="E509" s="46" t="n">
        <f aca="false">IFERROR(VLOOKUP(Orders!C509,Customers!$A$2:$F$301,3,FALSE()),"Not Found")</f>
        <v>26</v>
      </c>
      <c r="F509" s="46" t="str">
        <f aca="false">IFERROR(VLOOKUP(Orders!E509,Sales_Reps!$A$2:$E$31,3,FALSE()),"Not Found")</f>
        <v>South</v>
      </c>
      <c r="G509" s="46" t="n">
        <f aca="false">IFERROR(VLOOKUP(Orders!D509,Products!$A$2:$F$61,4,FALSE()),"")</f>
        <v>1173</v>
      </c>
      <c r="H509" s="47" t="n">
        <f aca="false">IF(G509="","",(Orders!G509-G509)/Orders!G509)</f>
        <v>0.527016129032258</v>
      </c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</row>
    <row r="510" customFormat="false" ht="15" hidden="false" customHeight="false" outlineLevel="0" collapsed="false">
      <c r="A510" s="46" t="str">
        <f aca="false">Orders!A510</f>
        <v>ORD-00509</v>
      </c>
      <c r="B510" s="46" t="str">
        <f aca="false">PROPER(TRIM(Orders!K510))</f>
        <v>Chennai</v>
      </c>
      <c r="C510" s="46" t="str">
        <f aca="false">IFERROR(VLOOKUP(Orders!D510,Products!$A$2:$F$61,3,FALSE()),"Not Found")</f>
        <v>Beauty</v>
      </c>
      <c r="D510" s="46" t="str">
        <f aca="false">IFERROR(VLOOKUP(Orders!C510,Customers!$A$2:$F$301,5,FALSE()),"Not Found")</f>
        <v>Retail</v>
      </c>
      <c r="E510" s="46" t="n">
        <f aca="false">IFERROR(VLOOKUP(Orders!C510,Customers!$A$2:$F$301,3,FALSE()),"Not Found")</f>
        <v>36</v>
      </c>
      <c r="F510" s="46" t="str">
        <f aca="false">IFERROR(VLOOKUP(Orders!E510,Sales_Reps!$A$2:$E$31,3,FALSE()),"Not Found")</f>
        <v>East</v>
      </c>
      <c r="G510" s="46" t="n">
        <f aca="false">IFERROR(VLOOKUP(Orders!D510,Products!$A$2:$F$61,4,FALSE()),"")</f>
        <v>1222</v>
      </c>
      <c r="H510" s="47" t="n">
        <f aca="false">IF(G510="","",(Orders!G510-G510)/Orders!G510)</f>
        <v>0.259393939393939</v>
      </c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</row>
    <row r="511" customFormat="false" ht="15" hidden="false" customHeight="false" outlineLevel="0" collapsed="false">
      <c r="A511" s="46" t="str">
        <f aca="false">Orders!A511</f>
        <v>ORD-00510</v>
      </c>
      <c r="B511" s="46" t="str">
        <f aca="false">PROPER(TRIM(Orders!K511))</f>
        <v>Hyderabad</v>
      </c>
      <c r="C511" s="46" t="str">
        <f aca="false">IFERROR(VLOOKUP(Orders!D511,Products!$A$2:$F$61,3,FALSE()),"Not Found")</f>
        <v>Grocery</v>
      </c>
      <c r="D511" s="46" t="str">
        <f aca="false">IFERROR(VLOOKUP(Orders!C511,Customers!$A$2:$F$301,5,FALSE()),"Not Found")</f>
        <v>Corporate</v>
      </c>
      <c r="E511" s="46" t="n">
        <f aca="false">IFERROR(VLOOKUP(Orders!C511,Customers!$A$2:$F$301,3,FALSE()),"Not Found")</f>
        <v>54</v>
      </c>
      <c r="F511" s="46" t="str">
        <f aca="false">IFERROR(VLOOKUP(Orders!E511,Sales_Reps!$A$2:$E$31,3,FALSE()),"Not Found")</f>
        <v>South</v>
      </c>
      <c r="G511" s="46" t="n">
        <f aca="false">IFERROR(VLOOKUP(Orders!D511,Products!$A$2:$F$61,4,FALSE()),"")</f>
        <v>1010</v>
      </c>
      <c r="H511" s="47" t="n">
        <f aca="false">IF(G511="","",(Orders!G511-G511)/Orders!G511)</f>
        <v>0.542986425339367</v>
      </c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</row>
    <row r="512" customFormat="false" ht="15" hidden="false" customHeight="false" outlineLevel="0" collapsed="false">
      <c r="A512" s="46" t="str">
        <f aca="false">Orders!A512</f>
        <v>ORD-00511</v>
      </c>
      <c r="B512" s="46" t="str">
        <f aca="false">PROPER(TRIM(Orders!K512))</f>
        <v>Pune</v>
      </c>
      <c r="C512" s="46" t="str">
        <f aca="false">IFERROR(VLOOKUP(Orders!D512,Products!$A$2:$F$61,3,FALSE()),"Not Found")</f>
        <v>Apparel</v>
      </c>
      <c r="D512" s="46" t="str">
        <f aca="false">IFERROR(VLOOKUP(Orders!C512,Customers!$A$2:$F$301,5,FALSE()),"Not Found")</f>
        <v>Retail</v>
      </c>
      <c r="E512" s="46" t="n">
        <f aca="false">IFERROR(VLOOKUP(Orders!C512,Customers!$A$2:$F$301,3,FALSE()),"Not Found")</f>
        <v>54</v>
      </c>
      <c r="F512" s="46" t="str">
        <f aca="false">IFERROR(VLOOKUP(Orders!E512,Sales_Reps!$A$2:$E$31,3,FALSE()),"Not Found")</f>
        <v>North</v>
      </c>
      <c r="G512" s="46" t="n">
        <f aca="false">IFERROR(VLOOKUP(Orders!D512,Products!$A$2:$F$61,4,FALSE()),"")</f>
        <v>1173</v>
      </c>
      <c r="H512" s="47" t="n">
        <f aca="false">IF(G512="","",(Orders!G512-G512)/Orders!G512)</f>
        <v>0.527016129032258</v>
      </c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</row>
    <row r="513" customFormat="false" ht="15" hidden="false" customHeight="false" outlineLevel="0" collapsed="false">
      <c r="A513" s="46" t="str">
        <f aca="false">Orders!A513</f>
        <v>ORD-00512</v>
      </c>
      <c r="B513" s="46" t="str">
        <f aca="false">PROPER(TRIM(Orders!K513))</f>
        <v>Delhi</v>
      </c>
      <c r="C513" s="46" t="str">
        <f aca="false">IFERROR(VLOOKUP(Orders!D513,Products!$A$2:$F$61,3,FALSE()),"Not Found")</f>
        <v>Electronics</v>
      </c>
      <c r="D513" s="46" t="str">
        <f aca="false">IFERROR(VLOOKUP(Orders!C513,Customers!$A$2:$F$301,5,FALSE()),"Not Found")</f>
        <v>Corporate</v>
      </c>
      <c r="E513" s="46" t="n">
        <f aca="false">IFERROR(VLOOKUP(Orders!C513,Customers!$A$2:$F$301,3,FALSE()),"Not Found")</f>
        <v>46</v>
      </c>
      <c r="F513" s="46" t="str">
        <f aca="false">IFERROR(VLOOKUP(Orders!E513,Sales_Reps!$A$2:$E$31,3,FALSE()),"Not Found")</f>
        <v>East</v>
      </c>
      <c r="G513" s="46" t="n">
        <f aca="false">IFERROR(VLOOKUP(Orders!D513,Products!$A$2:$F$61,4,FALSE()),"")</f>
        <v>2405</v>
      </c>
      <c r="H513" s="47" t="n">
        <f aca="false">IF(G513="","",(Orders!G513-G513)/Orders!G513)</f>
        <v>0.548780487804878</v>
      </c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</row>
    <row r="514" customFormat="false" ht="15" hidden="false" customHeight="false" outlineLevel="0" collapsed="false">
      <c r="A514" s="46" t="str">
        <f aca="false">Orders!A514</f>
        <v>ORD-00513</v>
      </c>
      <c r="B514" s="46" t="str">
        <f aca="false">PROPER(TRIM(Orders!K514))</f>
        <v>Pune</v>
      </c>
      <c r="C514" s="46" t="str">
        <f aca="false">IFERROR(VLOOKUP(Orders!D514,Products!$A$2:$F$61,3,FALSE()),"Not Found")</f>
        <v>Grocery</v>
      </c>
      <c r="D514" s="46" t="str">
        <f aca="false">IFERROR(VLOOKUP(Orders!C514,Customers!$A$2:$F$301,5,FALSE()),"Not Found")</f>
        <v>Retail</v>
      </c>
      <c r="E514" s="46" t="n">
        <f aca="false">IFERROR(VLOOKUP(Orders!C514,Customers!$A$2:$F$301,3,FALSE()),"Not Found")</f>
        <v>65</v>
      </c>
      <c r="F514" s="46" t="str">
        <f aca="false">IFERROR(VLOOKUP(Orders!E514,Sales_Reps!$A$2:$E$31,3,FALSE()),"Not Found")</f>
        <v>South</v>
      </c>
      <c r="G514" s="46" t="n">
        <f aca="false">IFERROR(VLOOKUP(Orders!D514,Products!$A$2:$F$61,4,FALSE()),"")</f>
        <v>2027</v>
      </c>
      <c r="H514" s="47" t="n">
        <f aca="false">IF(G514="","",(Orders!G514-G514)/Orders!G514)</f>
        <v>0.501965601965602</v>
      </c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</row>
    <row r="515" customFormat="false" ht="15" hidden="false" customHeight="false" outlineLevel="0" collapsed="false">
      <c r="A515" s="46" t="str">
        <f aca="false">Orders!A515</f>
        <v>ORD-00514</v>
      </c>
      <c r="B515" s="46" t="str">
        <f aca="false">PROPER(TRIM(Orders!K515))</f>
        <v>Chennai</v>
      </c>
      <c r="C515" s="46" t="str">
        <f aca="false">IFERROR(VLOOKUP(Orders!D515,Products!$A$2:$F$61,3,FALSE()),"Not Found")</f>
        <v>Apparel</v>
      </c>
      <c r="D515" s="46" t="str">
        <f aca="false">IFERROR(VLOOKUP(Orders!C515,Customers!$A$2:$F$301,5,FALSE()),"Not Found")</f>
        <v>Retail</v>
      </c>
      <c r="E515" s="46" t="n">
        <f aca="false">IFERROR(VLOOKUP(Orders!C515,Customers!$A$2:$F$301,3,FALSE()),"Not Found")</f>
        <v>32</v>
      </c>
      <c r="F515" s="46" t="str">
        <f aca="false">IFERROR(VLOOKUP(Orders!E515,Sales_Reps!$A$2:$E$31,3,FALSE()),"Not Found")</f>
        <v>North</v>
      </c>
      <c r="G515" s="46" t="n">
        <f aca="false">IFERROR(VLOOKUP(Orders!D515,Products!$A$2:$F$61,4,FALSE()),"")</f>
        <v>1962</v>
      </c>
      <c r="H515" s="47" t="n">
        <f aca="false">IF(G515="","",(Orders!G515-G515)/Orders!G515)</f>
        <v>0.278676470588235</v>
      </c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</row>
    <row r="516" customFormat="false" ht="15" hidden="false" customHeight="false" outlineLevel="0" collapsed="false">
      <c r="A516" s="46" t="str">
        <f aca="false">Orders!A516</f>
        <v>ORD-00515</v>
      </c>
      <c r="B516" s="46" t="str">
        <f aca="false">PROPER(TRIM(Orders!K516))</f>
        <v>Bengaluru</v>
      </c>
      <c r="C516" s="46" t="str">
        <f aca="false">IFERROR(VLOOKUP(Orders!D516,Products!$A$2:$F$61,3,FALSE()),"Not Found")</f>
        <v>Sports</v>
      </c>
      <c r="D516" s="46" t="str">
        <f aca="false">IFERROR(VLOOKUP(Orders!C516,Customers!$A$2:$F$301,5,FALSE()),"Not Found")</f>
        <v>Corporate</v>
      </c>
      <c r="E516" s="46" t="n">
        <f aca="false">IFERROR(VLOOKUP(Orders!C516,Customers!$A$2:$F$301,3,FALSE()),"Not Found")</f>
        <v>43</v>
      </c>
      <c r="F516" s="46" t="str">
        <f aca="false">IFERROR(VLOOKUP(Orders!E516,Sales_Reps!$A$2:$E$31,3,FALSE()),"Not Found")</f>
        <v>West</v>
      </c>
      <c r="G516" s="46" t="n">
        <f aca="false">IFERROR(VLOOKUP(Orders!D516,Products!$A$2:$F$61,4,FALSE()),"")</f>
        <v>2028</v>
      </c>
      <c r="H516" s="47" t="n">
        <f aca="false">IF(G516="","",(Orders!G516-G516)/Orders!G516)</f>
        <v>0.290909090909091</v>
      </c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</row>
    <row r="517" customFormat="false" ht="15" hidden="false" customHeight="false" outlineLevel="0" collapsed="false">
      <c r="A517" s="46" t="str">
        <f aca="false">Orders!A517</f>
        <v>ORD-00516</v>
      </c>
      <c r="B517" s="46" t="str">
        <f aca="false">PROPER(TRIM(Orders!K517))</f>
        <v>Hyderabad</v>
      </c>
      <c r="C517" s="46" t="str">
        <f aca="false">IFERROR(VLOOKUP(Orders!D517,Products!$A$2:$F$61,3,FALSE()),"Not Found")</f>
        <v>Apparel</v>
      </c>
      <c r="D517" s="46" t="str">
        <f aca="false">IFERROR(VLOOKUP(Orders!C517,Customers!$A$2:$F$301,5,FALSE()),"Not Found")</f>
        <v>Retail</v>
      </c>
      <c r="E517" s="46" t="n">
        <f aca="false">IFERROR(VLOOKUP(Orders!C517,Customers!$A$2:$F$301,3,FALSE()),"Not Found")</f>
        <v>35</v>
      </c>
      <c r="F517" s="46" t="str">
        <f aca="false">IFERROR(VLOOKUP(Orders!E517,Sales_Reps!$A$2:$E$31,3,FALSE()),"Not Found")</f>
        <v>South</v>
      </c>
      <c r="G517" s="46" t="n">
        <f aca="false">IFERROR(VLOOKUP(Orders!D517,Products!$A$2:$F$61,4,FALSE()),"")</f>
        <v>2509</v>
      </c>
      <c r="H517" s="47" t="n">
        <f aca="false">IF(G517="","",(Orders!G517-G517)/Orders!G517)</f>
        <v>0.306906077348066</v>
      </c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</row>
    <row r="518" customFormat="false" ht="15" hidden="false" customHeight="false" outlineLevel="0" collapsed="false">
      <c r="A518" s="46" t="str">
        <f aca="false">Orders!A518</f>
        <v>ORD-00517</v>
      </c>
      <c r="B518" s="46" t="str">
        <f aca="false">PROPER(TRIM(Orders!K518))</f>
        <v>Bengaluru</v>
      </c>
      <c r="C518" s="46" t="str">
        <f aca="false">IFERROR(VLOOKUP(Orders!D518,Products!$A$2:$F$61,3,FALSE()),"Not Found")</f>
        <v>Beauty</v>
      </c>
      <c r="D518" s="46" t="str">
        <f aca="false">IFERROR(VLOOKUP(Orders!C518,Customers!$A$2:$F$301,5,FALSE()),"Not Found")</f>
        <v>SMB</v>
      </c>
      <c r="E518" s="46" t="n">
        <f aca="false">IFERROR(VLOOKUP(Orders!C518,Customers!$A$2:$F$301,3,FALSE()),"Not Found")</f>
        <v>46</v>
      </c>
      <c r="F518" s="46" t="str">
        <f aca="false">IFERROR(VLOOKUP(Orders!E518,Sales_Reps!$A$2:$E$31,3,FALSE()),"Not Found")</f>
        <v>East</v>
      </c>
      <c r="G518" s="46" t="n">
        <f aca="false">IFERROR(VLOOKUP(Orders!D518,Products!$A$2:$F$61,4,FALSE()),"")</f>
        <v>1222</v>
      </c>
      <c r="H518" s="47" t="n">
        <f aca="false">IF(G518="","",(Orders!G518-G518)/Orders!G518)</f>
        <v>0.259393939393939</v>
      </c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</row>
    <row r="519" customFormat="false" ht="15" hidden="false" customHeight="false" outlineLevel="0" collapsed="false">
      <c r="A519" s="46" t="str">
        <f aca="false">Orders!A519</f>
        <v>ORD-00518</v>
      </c>
      <c r="B519" s="46" t="str">
        <f aca="false">PROPER(TRIM(Orders!K519))</f>
        <v>Hyderabad</v>
      </c>
      <c r="C519" s="46" t="str">
        <f aca="false">IFERROR(VLOOKUP(Orders!D519,Products!$A$2:$F$61,3,FALSE()),"Not Found")</f>
        <v>Sports</v>
      </c>
      <c r="D519" s="46" t="str">
        <f aca="false">IFERROR(VLOOKUP(Orders!C519,Customers!$A$2:$F$301,5,FALSE()),"Not Found")</f>
        <v>Retail</v>
      </c>
      <c r="E519" s="46" t="n">
        <f aca="false">IFERROR(VLOOKUP(Orders!C519,Customers!$A$2:$F$301,3,FALSE()),"Not Found")</f>
        <v>25</v>
      </c>
      <c r="F519" s="46" t="str">
        <f aca="false">IFERROR(VLOOKUP(Orders!E519,Sales_Reps!$A$2:$E$31,3,FALSE()),"Not Found")</f>
        <v>West</v>
      </c>
      <c r="G519" s="46" t="n">
        <f aca="false">IFERROR(VLOOKUP(Orders!D519,Products!$A$2:$F$61,4,FALSE()),"")</f>
        <v>147</v>
      </c>
      <c r="H519" s="47" t="n">
        <f aca="false">IF(G519="","",(Orders!G519-G519)/Orders!G519)</f>
        <v>0.226315789473684</v>
      </c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</row>
    <row r="520" customFormat="false" ht="15" hidden="false" customHeight="false" outlineLevel="0" collapsed="false">
      <c r="A520" s="46" t="str">
        <f aca="false">Orders!A520</f>
        <v>ORD-00519</v>
      </c>
      <c r="B520" s="46" t="str">
        <f aca="false">PROPER(TRIM(Orders!K520))</f>
        <v>Mumbai</v>
      </c>
      <c r="C520" s="46" t="str">
        <f aca="false">IFERROR(VLOOKUP(Orders!D520,Products!$A$2:$F$61,3,FALSE()),"Not Found")</f>
        <v>Beauty</v>
      </c>
      <c r="D520" s="46" t="str">
        <f aca="false">IFERROR(VLOOKUP(Orders!C520,Customers!$A$2:$F$301,5,FALSE()),"Not Found")</f>
        <v>Retail</v>
      </c>
      <c r="E520" s="46" t="n">
        <f aca="false">IFERROR(VLOOKUP(Orders!C520,Customers!$A$2:$F$301,3,FALSE()),"Not Found")</f>
        <v>49</v>
      </c>
      <c r="F520" s="46" t="str">
        <f aca="false">IFERROR(VLOOKUP(Orders!E520,Sales_Reps!$A$2:$E$31,3,FALSE()),"Not Found")</f>
        <v>West</v>
      </c>
      <c r="G520" s="46" t="n">
        <f aca="false">IFERROR(VLOOKUP(Orders!D520,Products!$A$2:$F$61,4,FALSE()),"")</f>
        <v>1219</v>
      </c>
      <c r="H520" s="47" t="n">
        <f aca="false">IF(G520="","",(Orders!G520-G520)/Orders!G520)</f>
        <v>0.467685589519651</v>
      </c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</row>
    <row r="521" customFormat="false" ht="15" hidden="false" customHeight="false" outlineLevel="0" collapsed="false">
      <c r="A521" s="46" t="str">
        <f aca="false">Orders!A521</f>
        <v>ORD-00520</v>
      </c>
      <c r="B521" s="46" t="str">
        <f aca="false">PROPER(TRIM(Orders!K521))</f>
        <v>Chennai</v>
      </c>
      <c r="C521" s="46" t="str">
        <f aca="false">IFERROR(VLOOKUP(Orders!D521,Products!$A$2:$F$61,3,FALSE()),"Not Found")</f>
        <v>Electronics</v>
      </c>
      <c r="D521" s="46" t="str">
        <f aca="false">IFERROR(VLOOKUP(Orders!C521,Customers!$A$2:$F$301,5,FALSE()),"Not Found")</f>
        <v>SMB</v>
      </c>
      <c r="E521" s="46" t="n">
        <f aca="false">IFERROR(VLOOKUP(Orders!C521,Customers!$A$2:$F$301,3,FALSE()),"Not Found")</f>
        <v>52</v>
      </c>
      <c r="F521" s="46" t="str">
        <f aca="false">IFERROR(VLOOKUP(Orders!E521,Sales_Reps!$A$2:$E$31,3,FALSE()),"Not Found")</f>
        <v>East</v>
      </c>
      <c r="G521" s="46" t="n">
        <f aca="false">IFERROR(VLOOKUP(Orders!D521,Products!$A$2:$F$61,4,FALSE()),"")</f>
        <v>2405</v>
      </c>
      <c r="H521" s="47" t="n">
        <f aca="false">IF(G521="","",(Orders!G521-G521)/Orders!G521)</f>
        <v>0.548780487804878</v>
      </c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</row>
    <row r="522" customFormat="false" ht="15" hidden="false" customHeight="false" outlineLevel="0" collapsed="false">
      <c r="A522" s="46" t="str">
        <f aca="false">Orders!A522</f>
        <v>ORD-00521</v>
      </c>
      <c r="B522" s="46" t="str">
        <f aca="false">PROPER(TRIM(Orders!K522))</f>
        <v>Mumbai</v>
      </c>
      <c r="C522" s="46" t="str">
        <f aca="false">IFERROR(VLOOKUP(Orders!D522,Products!$A$2:$F$61,3,FALSE()),"Not Found")</f>
        <v>Electronics</v>
      </c>
      <c r="D522" s="46" t="str">
        <f aca="false">IFERROR(VLOOKUP(Orders!C522,Customers!$A$2:$F$301,5,FALSE()),"Not Found")</f>
        <v>SMB</v>
      </c>
      <c r="E522" s="46" t="n">
        <f aca="false">IFERROR(VLOOKUP(Orders!C522,Customers!$A$2:$F$301,3,FALSE()),"Not Found")</f>
        <v>65</v>
      </c>
      <c r="F522" s="46" t="str">
        <f aca="false">IFERROR(VLOOKUP(Orders!E522,Sales_Reps!$A$2:$E$31,3,FALSE()),"Not Found")</f>
        <v>South</v>
      </c>
      <c r="G522" s="46" t="n">
        <f aca="false">IFERROR(VLOOKUP(Orders!D522,Products!$A$2:$F$61,4,FALSE()),"")</f>
        <v>2405</v>
      </c>
      <c r="H522" s="47" t="n">
        <f aca="false">IF(G522="","",(Orders!G522-G522)/Orders!G522)</f>
        <v>0.548780487804878</v>
      </c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</row>
    <row r="523" customFormat="false" ht="15" hidden="false" customHeight="false" outlineLevel="0" collapsed="false">
      <c r="A523" s="46" t="str">
        <f aca="false">Orders!A523</f>
        <v>ORD-00522</v>
      </c>
      <c r="B523" s="46" t="str">
        <f aca="false">PROPER(TRIM(Orders!K523))</f>
        <v>Chennai</v>
      </c>
      <c r="C523" s="46" t="str">
        <f aca="false">IFERROR(VLOOKUP(Orders!D523,Products!$A$2:$F$61,3,FALSE()),"Not Found")</f>
        <v>Home</v>
      </c>
      <c r="D523" s="46" t="str">
        <f aca="false">IFERROR(VLOOKUP(Orders!C523,Customers!$A$2:$F$301,5,FALSE()),"Not Found")</f>
        <v>Retail</v>
      </c>
      <c r="E523" s="46" t="n">
        <f aca="false">IFERROR(VLOOKUP(Orders!C523,Customers!$A$2:$F$301,3,FALSE()),"Not Found")</f>
        <v>38</v>
      </c>
      <c r="F523" s="46" t="str">
        <f aca="false">IFERROR(VLOOKUP(Orders!E523,Sales_Reps!$A$2:$E$31,3,FALSE()),"Not Found")</f>
        <v>North</v>
      </c>
      <c r="G523" s="46" t="n">
        <f aca="false">IFERROR(VLOOKUP(Orders!D523,Products!$A$2:$F$61,4,FALSE()),"")</f>
        <v>2459</v>
      </c>
      <c r="H523" s="47" t="n">
        <f aca="false">IF(G523="","",(Orders!G523-G523)/Orders!G523)</f>
        <v>0.515944881889764</v>
      </c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</row>
    <row r="524" customFormat="false" ht="15" hidden="false" customHeight="false" outlineLevel="0" collapsed="false">
      <c r="A524" s="46" t="str">
        <f aca="false">Orders!A524</f>
        <v>ORD-00523</v>
      </c>
      <c r="B524" s="46" t="str">
        <f aca="false">PROPER(TRIM(Orders!K524))</f>
        <v>Pune</v>
      </c>
      <c r="C524" s="46" t="str">
        <f aca="false">IFERROR(VLOOKUP(Orders!D524,Products!$A$2:$F$61,3,FALSE()),"Not Found")</f>
        <v>Home</v>
      </c>
      <c r="D524" s="46" t="str">
        <f aca="false">IFERROR(VLOOKUP(Orders!C524,Customers!$A$2:$F$301,5,FALSE()),"Not Found")</f>
        <v>SMB</v>
      </c>
      <c r="E524" s="46" t="n">
        <f aca="false">IFERROR(VLOOKUP(Orders!C524,Customers!$A$2:$F$301,3,FALSE()),"Not Found")</f>
        <v>49</v>
      </c>
      <c r="F524" s="46" t="str">
        <f aca="false">IFERROR(VLOOKUP(Orders!E524,Sales_Reps!$A$2:$E$31,3,FALSE()),"Not Found")</f>
        <v>North</v>
      </c>
      <c r="G524" s="46" t="n">
        <f aca="false">IFERROR(VLOOKUP(Orders!D524,Products!$A$2:$F$61,4,FALSE()),"")</f>
        <v>288</v>
      </c>
      <c r="H524" s="47" t="n">
        <f aca="false">IF(G524="","",(Orders!G524-G524)/Orders!G524)</f>
        <v>0.221621621621622</v>
      </c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</row>
    <row r="525" customFormat="false" ht="15" hidden="false" customHeight="false" outlineLevel="0" collapsed="false">
      <c r="A525" s="46" t="str">
        <f aca="false">Orders!A525</f>
        <v>ORD-00524</v>
      </c>
      <c r="B525" s="46" t="str">
        <f aca="false">PROPER(TRIM(Orders!K525))</f>
        <v>Chennai</v>
      </c>
      <c r="C525" s="46" t="str">
        <f aca="false">IFERROR(VLOOKUP(Orders!D525,Products!$A$2:$F$61,3,FALSE()),"Not Found")</f>
        <v>Sports</v>
      </c>
      <c r="D525" s="46" t="str">
        <f aca="false">IFERROR(VLOOKUP(Orders!C525,Customers!$A$2:$F$301,5,FALSE()),"Not Found")</f>
        <v>Retail</v>
      </c>
      <c r="E525" s="46" t="n">
        <f aca="false">IFERROR(VLOOKUP(Orders!C525,Customers!$A$2:$F$301,3,FALSE()),"Not Found")</f>
        <v>31</v>
      </c>
      <c r="F525" s="46" t="str">
        <f aca="false">IFERROR(VLOOKUP(Orders!E525,Sales_Reps!$A$2:$E$31,3,FALSE()),"Not Found")</f>
        <v>South</v>
      </c>
      <c r="G525" s="46" t="n">
        <f aca="false">IFERROR(VLOOKUP(Orders!D525,Products!$A$2:$F$61,4,FALSE()),"")</f>
        <v>302</v>
      </c>
      <c r="H525" s="47" t="n">
        <f aca="false">IF(G525="","",(Orders!G525-G525)/Orders!G525)</f>
        <v>0.357446808510638</v>
      </c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</row>
    <row r="526" customFormat="false" ht="15" hidden="false" customHeight="false" outlineLevel="0" collapsed="false">
      <c r="A526" s="46" t="str">
        <f aca="false">Orders!A526</f>
        <v>ORD-00525</v>
      </c>
      <c r="B526" s="46" t="str">
        <f aca="false">PROPER(TRIM(Orders!K526))</f>
        <v>Mumbai</v>
      </c>
      <c r="C526" s="46" t="str">
        <f aca="false">IFERROR(VLOOKUP(Orders!D526,Products!$A$2:$F$61,3,FALSE()),"Not Found")</f>
        <v>Sports</v>
      </c>
      <c r="D526" s="46" t="str">
        <f aca="false">IFERROR(VLOOKUP(Orders!C526,Customers!$A$2:$F$301,5,FALSE()),"Not Found")</f>
        <v>SMB</v>
      </c>
      <c r="E526" s="46" t="n">
        <f aca="false">IFERROR(VLOOKUP(Orders!C526,Customers!$A$2:$F$301,3,FALSE()),"Not Found")</f>
        <v>27</v>
      </c>
      <c r="F526" s="46" t="str">
        <f aca="false">IFERROR(VLOOKUP(Orders!E526,Sales_Reps!$A$2:$E$31,3,FALSE()),"Not Found")</f>
        <v>West</v>
      </c>
      <c r="G526" s="46" t="n">
        <f aca="false">IFERROR(VLOOKUP(Orders!D526,Products!$A$2:$F$61,4,FALSE()),"")</f>
        <v>2265</v>
      </c>
      <c r="H526" s="47" t="n">
        <f aca="false">IF(G526="","",(Orders!G526-G526)/Orders!G526)</f>
        <v>0.581330868761553</v>
      </c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</row>
    <row r="527" customFormat="false" ht="15" hidden="false" customHeight="false" outlineLevel="0" collapsed="false">
      <c r="A527" s="46" t="str">
        <f aca="false">Orders!A527</f>
        <v>ORD-00526</v>
      </c>
      <c r="B527" s="46" t="str">
        <f aca="false">PROPER(TRIM(Orders!K527))</f>
        <v>Hyderabad</v>
      </c>
      <c r="C527" s="46" t="str">
        <f aca="false">IFERROR(VLOOKUP(Orders!D527,Products!$A$2:$F$61,3,FALSE()),"Not Found")</f>
        <v>Apparel</v>
      </c>
      <c r="D527" s="46" t="str">
        <f aca="false">IFERROR(VLOOKUP(Orders!C527,Customers!$A$2:$F$301,5,FALSE()),"Not Found")</f>
        <v>SMB</v>
      </c>
      <c r="E527" s="46" t="n">
        <f aca="false">IFERROR(VLOOKUP(Orders!C527,Customers!$A$2:$F$301,3,FALSE()),"Not Found")</f>
        <v>31</v>
      </c>
      <c r="F527" s="46" t="str">
        <f aca="false">IFERROR(VLOOKUP(Orders!E527,Sales_Reps!$A$2:$E$31,3,FALSE()),"Not Found")</f>
        <v>North</v>
      </c>
      <c r="G527" s="46" t="n">
        <f aca="false">IFERROR(VLOOKUP(Orders!D527,Products!$A$2:$F$61,4,FALSE()),"")</f>
        <v>2509</v>
      </c>
      <c r="H527" s="47" t="n">
        <f aca="false">IF(G527="","",(Orders!G527-G527)/Orders!G527)</f>
        <v>0.306906077348066</v>
      </c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</row>
    <row r="528" customFormat="false" ht="15" hidden="false" customHeight="false" outlineLevel="0" collapsed="false">
      <c r="A528" s="46" t="str">
        <f aca="false">Orders!A528</f>
        <v>ORD-00527</v>
      </c>
      <c r="B528" s="46" t="str">
        <f aca="false">PROPER(TRIM(Orders!K528))</f>
        <v>Delhi</v>
      </c>
      <c r="C528" s="46" t="str">
        <f aca="false">IFERROR(VLOOKUP(Orders!D528,Products!$A$2:$F$61,3,FALSE()),"Not Found")</f>
        <v>Grocery</v>
      </c>
      <c r="D528" s="46" t="str">
        <f aca="false">IFERROR(VLOOKUP(Orders!C528,Customers!$A$2:$F$301,5,FALSE()),"Not Found")</f>
        <v>Retail</v>
      </c>
      <c r="E528" s="46" t="n">
        <f aca="false">IFERROR(VLOOKUP(Orders!C528,Customers!$A$2:$F$301,3,FALSE()),"Not Found")</f>
        <v>47</v>
      </c>
      <c r="F528" s="46" t="str">
        <f aca="false">IFERROR(VLOOKUP(Orders!E528,Sales_Reps!$A$2:$E$31,3,FALSE()),"Not Found")</f>
        <v>West</v>
      </c>
      <c r="G528" s="46" t="n">
        <f aca="false">IFERROR(VLOOKUP(Orders!D528,Products!$A$2:$F$61,4,FALSE()),"")</f>
        <v>1435</v>
      </c>
      <c r="H528" s="47" t="n">
        <f aca="false">IF(G528="","",(Orders!G528-G528)/Orders!G528)</f>
        <v>0.480072463768116</v>
      </c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</row>
    <row r="529" customFormat="false" ht="15" hidden="false" customHeight="false" outlineLevel="0" collapsed="false">
      <c r="A529" s="46" t="str">
        <f aca="false">Orders!A529</f>
        <v>ORD-00528</v>
      </c>
      <c r="B529" s="46" t="str">
        <f aca="false">PROPER(TRIM(Orders!K529))</f>
        <v>Mumbai</v>
      </c>
      <c r="C529" s="46" t="str">
        <f aca="false">IFERROR(VLOOKUP(Orders!D529,Products!$A$2:$F$61,3,FALSE()),"Not Found")</f>
        <v>Beauty</v>
      </c>
      <c r="D529" s="46" t="str">
        <f aca="false">IFERROR(VLOOKUP(Orders!C529,Customers!$A$2:$F$301,5,FALSE()),"Not Found")</f>
        <v>Retail</v>
      </c>
      <c r="E529" s="46" t="n">
        <f aca="false">IFERROR(VLOOKUP(Orders!C529,Customers!$A$2:$F$301,3,FALSE()),"Not Found")</f>
        <v>40</v>
      </c>
      <c r="F529" s="46" t="str">
        <f aca="false">IFERROR(VLOOKUP(Orders!E529,Sales_Reps!$A$2:$E$31,3,FALSE()),"Not Found")</f>
        <v>North</v>
      </c>
      <c r="G529" s="46" t="n">
        <f aca="false">IFERROR(VLOOKUP(Orders!D529,Products!$A$2:$F$61,4,FALSE()),"")</f>
        <v>2420</v>
      </c>
      <c r="H529" s="47" t="n">
        <f aca="false">IF(G529="","",(Orders!G529-G529)/Orders!G529)</f>
        <v>0.298550724637681</v>
      </c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</row>
    <row r="530" customFormat="false" ht="15" hidden="false" customHeight="false" outlineLevel="0" collapsed="false">
      <c r="A530" s="46" t="str">
        <f aca="false">Orders!A530</f>
        <v>ORD-00529</v>
      </c>
      <c r="B530" s="46" t="str">
        <f aca="false">PROPER(TRIM(Orders!K530))</f>
        <v>Delhi</v>
      </c>
      <c r="C530" s="46" t="str">
        <f aca="false">IFERROR(VLOOKUP(Orders!D530,Products!$A$2:$F$61,3,FALSE()),"Not Found")</f>
        <v>Grocery</v>
      </c>
      <c r="D530" s="46" t="str">
        <f aca="false">IFERROR(VLOOKUP(Orders!C530,Customers!$A$2:$F$301,5,FALSE()),"Not Found")</f>
        <v>SMB</v>
      </c>
      <c r="E530" s="46" t="n">
        <f aca="false">IFERROR(VLOOKUP(Orders!C530,Customers!$A$2:$F$301,3,FALSE()),"Not Found")</f>
        <v>29</v>
      </c>
      <c r="F530" s="46" t="str">
        <f aca="false">IFERROR(VLOOKUP(Orders!E530,Sales_Reps!$A$2:$E$31,3,FALSE()),"Not Found")</f>
        <v>West</v>
      </c>
      <c r="G530" s="46" t="n">
        <f aca="false">IFERROR(VLOOKUP(Orders!D530,Products!$A$2:$F$61,4,FALSE()),"")</f>
        <v>2214</v>
      </c>
      <c r="H530" s="47" t="n">
        <f aca="false">IF(G530="","",(Orders!G530-G530)/Orders!G530)</f>
        <v>0.395081967213115</v>
      </c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</row>
    <row r="531" customFormat="false" ht="15" hidden="false" customHeight="false" outlineLevel="0" collapsed="false">
      <c r="A531" s="46" t="str">
        <f aca="false">Orders!A531</f>
        <v>ORD-00530</v>
      </c>
      <c r="B531" s="46" t="str">
        <f aca="false">PROPER(TRIM(Orders!K531))</f>
        <v>Mumbai</v>
      </c>
      <c r="C531" s="46" t="str">
        <f aca="false">IFERROR(VLOOKUP(Orders!D531,Products!$A$2:$F$61,3,FALSE()),"Not Found")</f>
        <v>Electronics</v>
      </c>
      <c r="D531" s="46" t="str">
        <f aca="false">IFERROR(VLOOKUP(Orders!C531,Customers!$A$2:$F$301,5,FALSE()),"Not Found")</f>
        <v>Corporate</v>
      </c>
      <c r="E531" s="46" t="n">
        <f aca="false">IFERROR(VLOOKUP(Orders!C531,Customers!$A$2:$F$301,3,FALSE()),"Not Found")</f>
        <v>55</v>
      </c>
      <c r="F531" s="46" t="str">
        <f aca="false">IFERROR(VLOOKUP(Orders!E531,Sales_Reps!$A$2:$E$31,3,FALSE()),"Not Found")</f>
        <v>West</v>
      </c>
      <c r="G531" s="46" t="n">
        <f aca="false">IFERROR(VLOOKUP(Orders!D531,Products!$A$2:$F$61,4,FALSE()),"")</f>
        <v>1665</v>
      </c>
      <c r="H531" s="47" t="n">
        <f aca="false">IF(G531="","",(Orders!G531-G531)/Orders!G531)</f>
        <v>0.533613445378151</v>
      </c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</row>
    <row r="532" customFormat="false" ht="15" hidden="false" customHeight="false" outlineLevel="0" collapsed="false">
      <c r="A532" s="46" t="str">
        <f aca="false">Orders!A532</f>
        <v>ORD-00531</v>
      </c>
      <c r="B532" s="46" t="str">
        <f aca="false">PROPER(TRIM(Orders!K532))</f>
        <v>Delhi</v>
      </c>
      <c r="C532" s="46" t="str">
        <f aca="false">IFERROR(VLOOKUP(Orders!D532,Products!$A$2:$F$61,3,FALSE()),"Not Found")</f>
        <v>Home</v>
      </c>
      <c r="D532" s="46" t="str">
        <f aca="false">IFERROR(VLOOKUP(Orders!C532,Customers!$A$2:$F$301,5,FALSE()),"Not Found")</f>
        <v>Retail</v>
      </c>
      <c r="E532" s="46" t="n">
        <f aca="false">IFERROR(VLOOKUP(Orders!C532,Customers!$A$2:$F$301,3,FALSE()),"Not Found")</f>
        <v>44</v>
      </c>
      <c r="F532" s="46" t="str">
        <f aca="false">IFERROR(VLOOKUP(Orders!E532,Sales_Reps!$A$2:$E$31,3,FALSE()),"Not Found")</f>
        <v>South</v>
      </c>
      <c r="G532" s="46" t="n">
        <f aca="false">IFERROR(VLOOKUP(Orders!D532,Products!$A$2:$F$61,4,FALSE()),"")</f>
        <v>464</v>
      </c>
      <c r="H532" s="47" t="n">
        <f aca="false">IF(G532="","",(Orders!G532-G532)/Orders!G532)</f>
        <v>0.574311926605505</v>
      </c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</row>
    <row r="533" customFormat="false" ht="15" hidden="false" customHeight="false" outlineLevel="0" collapsed="false">
      <c r="A533" s="46" t="str">
        <f aca="false">Orders!A533</f>
        <v>ORD-00532</v>
      </c>
      <c r="B533" s="46" t="str">
        <f aca="false">PROPER(TRIM(Orders!K533))</f>
        <v>Pune</v>
      </c>
      <c r="C533" s="46" t="str">
        <f aca="false">IFERROR(VLOOKUP(Orders!D533,Products!$A$2:$F$61,3,FALSE()),"Not Found")</f>
        <v>Apparel</v>
      </c>
      <c r="D533" s="46" t="str">
        <f aca="false">IFERROR(VLOOKUP(Orders!C533,Customers!$A$2:$F$301,5,FALSE()),"Not Found")</f>
        <v>Retail</v>
      </c>
      <c r="E533" s="46" t="n">
        <f aca="false">IFERROR(VLOOKUP(Orders!C533,Customers!$A$2:$F$301,3,FALSE()),"Not Found")</f>
        <v>29</v>
      </c>
      <c r="F533" s="46" t="str">
        <f aca="false">IFERROR(VLOOKUP(Orders!E533,Sales_Reps!$A$2:$E$31,3,FALSE()),"Not Found")</f>
        <v>East</v>
      </c>
      <c r="G533" s="46" t="n">
        <f aca="false">IFERROR(VLOOKUP(Orders!D533,Products!$A$2:$F$61,4,FALSE()),"")</f>
        <v>2509</v>
      </c>
      <c r="H533" s="47" t="n">
        <f aca="false">IF(G533="","",(Orders!G533-G533)/Orders!G533)</f>
        <v>0.306906077348066</v>
      </c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</row>
    <row r="534" customFormat="false" ht="15" hidden="false" customHeight="false" outlineLevel="0" collapsed="false">
      <c r="A534" s="46" t="str">
        <f aca="false">Orders!A534</f>
        <v>ORD-00533</v>
      </c>
      <c r="B534" s="46" t="str">
        <f aca="false">PROPER(TRIM(Orders!K534))</f>
        <v>Delhi</v>
      </c>
      <c r="C534" s="46" t="str">
        <f aca="false">IFERROR(VLOOKUP(Orders!D534,Products!$A$2:$F$61,3,FALSE()),"Not Found")</f>
        <v>Beauty</v>
      </c>
      <c r="D534" s="46" t="str">
        <f aca="false">IFERROR(VLOOKUP(Orders!C534,Customers!$A$2:$F$301,5,FALSE()),"Not Found")</f>
        <v>Retail</v>
      </c>
      <c r="E534" s="46" t="n">
        <f aca="false">IFERROR(VLOOKUP(Orders!C534,Customers!$A$2:$F$301,3,FALSE()),"Not Found")</f>
        <v>35</v>
      </c>
      <c r="F534" s="46" t="str">
        <f aca="false">IFERROR(VLOOKUP(Orders!E534,Sales_Reps!$A$2:$E$31,3,FALSE()),"Not Found")</f>
        <v>South</v>
      </c>
      <c r="G534" s="46" t="n">
        <f aca="false">IFERROR(VLOOKUP(Orders!D534,Products!$A$2:$F$61,4,FALSE()),"")</f>
        <v>2768</v>
      </c>
      <c r="H534" s="47" t="n">
        <f aca="false">IF(G534="","",(Orders!G534-G534)/Orders!G534)</f>
        <v>0.432786885245902</v>
      </c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</row>
    <row r="535" customFormat="false" ht="15" hidden="false" customHeight="false" outlineLevel="0" collapsed="false">
      <c r="A535" s="46" t="str">
        <f aca="false">Orders!A535</f>
        <v>ORD-00534</v>
      </c>
      <c r="B535" s="46" t="str">
        <f aca="false">PROPER(TRIM(Orders!K535))</f>
        <v>Pune</v>
      </c>
      <c r="C535" s="46" t="str">
        <f aca="false">IFERROR(VLOOKUP(Orders!D535,Products!$A$2:$F$61,3,FALSE()),"Not Found")</f>
        <v>Sports</v>
      </c>
      <c r="D535" s="46" t="str">
        <f aca="false">IFERROR(VLOOKUP(Orders!C535,Customers!$A$2:$F$301,5,FALSE()),"Not Found")</f>
        <v>Corporate</v>
      </c>
      <c r="E535" s="46" t="n">
        <f aca="false">IFERROR(VLOOKUP(Orders!C535,Customers!$A$2:$F$301,3,FALSE()),"Not Found")</f>
        <v>29</v>
      </c>
      <c r="F535" s="46" t="str">
        <f aca="false">IFERROR(VLOOKUP(Orders!E535,Sales_Reps!$A$2:$E$31,3,FALSE()),"Not Found")</f>
        <v>West</v>
      </c>
      <c r="G535" s="46" t="n">
        <f aca="false">IFERROR(VLOOKUP(Orders!D535,Products!$A$2:$F$61,4,FALSE()),"")</f>
        <v>302</v>
      </c>
      <c r="H535" s="47" t="n">
        <f aca="false">IF(G535="","",(Orders!G535-G535)/Orders!G535)</f>
        <v>0.357446808510638</v>
      </c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</row>
    <row r="536" customFormat="false" ht="15" hidden="false" customHeight="false" outlineLevel="0" collapsed="false">
      <c r="A536" s="46" t="str">
        <f aca="false">Orders!A536</f>
        <v>ORD-00535</v>
      </c>
      <c r="B536" s="46" t="str">
        <f aca="false">PROPER(TRIM(Orders!K536))</f>
        <v>Bengaluru</v>
      </c>
      <c r="C536" s="46" t="str">
        <f aca="false">IFERROR(VLOOKUP(Orders!D536,Products!$A$2:$F$61,3,FALSE()),"Not Found")</f>
        <v>Beauty</v>
      </c>
      <c r="D536" s="46" t="str">
        <f aca="false">IFERROR(VLOOKUP(Orders!C536,Customers!$A$2:$F$301,5,FALSE()),"Not Found")</f>
        <v>Retail</v>
      </c>
      <c r="E536" s="46" t="n">
        <f aca="false">IFERROR(VLOOKUP(Orders!C536,Customers!$A$2:$F$301,3,FALSE()),"Not Found")</f>
        <v>52</v>
      </c>
      <c r="F536" s="46" t="str">
        <f aca="false">IFERROR(VLOOKUP(Orders!E536,Sales_Reps!$A$2:$E$31,3,FALSE()),"Not Found")</f>
        <v>East</v>
      </c>
      <c r="G536" s="46" t="n">
        <f aca="false">IFERROR(VLOOKUP(Orders!D536,Products!$A$2:$F$61,4,FALSE()),"")</f>
        <v>1219</v>
      </c>
      <c r="H536" s="47" t="n">
        <f aca="false">IF(G536="","",(Orders!G536-G536)/Orders!G536)</f>
        <v>0.467685589519651</v>
      </c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</row>
    <row r="537" customFormat="false" ht="15" hidden="false" customHeight="false" outlineLevel="0" collapsed="false">
      <c r="A537" s="46" t="str">
        <f aca="false">Orders!A537</f>
        <v>ORD-00536</v>
      </c>
      <c r="B537" s="46" t="str">
        <f aca="false">PROPER(TRIM(Orders!K537))</f>
        <v>Pune</v>
      </c>
      <c r="C537" s="46" t="str">
        <f aca="false">IFERROR(VLOOKUP(Orders!D537,Products!$A$2:$F$61,3,FALSE()),"Not Found")</f>
        <v>Grocery</v>
      </c>
      <c r="D537" s="46" t="str">
        <f aca="false">IFERROR(VLOOKUP(Orders!C537,Customers!$A$2:$F$301,5,FALSE()),"Not Found")</f>
        <v>Corporate</v>
      </c>
      <c r="E537" s="46" t="n">
        <f aca="false">IFERROR(VLOOKUP(Orders!C537,Customers!$A$2:$F$301,3,FALSE()),"Not Found")</f>
        <v>37</v>
      </c>
      <c r="F537" s="46" t="str">
        <f aca="false">IFERROR(VLOOKUP(Orders!E537,Sales_Reps!$A$2:$E$31,3,FALSE()),"Not Found")</f>
        <v>South</v>
      </c>
      <c r="G537" s="46" t="n">
        <f aca="false">IFERROR(VLOOKUP(Orders!D537,Products!$A$2:$F$61,4,FALSE()),"")</f>
        <v>1182</v>
      </c>
      <c r="H537" s="47" t="n">
        <f aca="false">IF(G537="","",(Orders!G537-G537)/Orders!G537)</f>
        <v>0.503361344537815</v>
      </c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</row>
    <row r="538" customFormat="false" ht="15" hidden="false" customHeight="false" outlineLevel="0" collapsed="false">
      <c r="A538" s="46" t="str">
        <f aca="false">Orders!A538</f>
        <v>ORD-00537</v>
      </c>
      <c r="B538" s="46" t="str">
        <f aca="false">PROPER(TRIM(Orders!K538))</f>
        <v>Mumbai</v>
      </c>
      <c r="C538" s="46" t="str">
        <f aca="false">IFERROR(VLOOKUP(Orders!D538,Products!$A$2:$F$61,3,FALSE()),"Not Found")</f>
        <v>Grocery</v>
      </c>
      <c r="D538" s="46" t="str">
        <f aca="false">IFERROR(VLOOKUP(Orders!C538,Customers!$A$2:$F$301,5,FALSE()),"Not Found")</f>
        <v>Retail</v>
      </c>
      <c r="E538" s="46" t="n">
        <f aca="false">IFERROR(VLOOKUP(Orders!C538,Customers!$A$2:$F$301,3,FALSE()),"Not Found")</f>
        <v>56</v>
      </c>
      <c r="F538" s="46" t="str">
        <f aca="false">IFERROR(VLOOKUP(Orders!E538,Sales_Reps!$A$2:$E$31,3,FALSE()),"Not Found")</f>
        <v>North</v>
      </c>
      <c r="G538" s="46" t="n">
        <f aca="false">IFERROR(VLOOKUP(Orders!D538,Products!$A$2:$F$61,4,FALSE()),"")</f>
        <v>1182</v>
      </c>
      <c r="H538" s="47" t="n">
        <f aca="false">IF(G538="","",(Orders!G538-G538)/Orders!G538)</f>
        <v>0.503361344537815</v>
      </c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</row>
    <row r="539" customFormat="false" ht="15" hidden="false" customHeight="false" outlineLevel="0" collapsed="false">
      <c r="A539" s="46" t="str">
        <f aca="false">Orders!A539</f>
        <v>ORD-00538</v>
      </c>
      <c r="B539" s="46" t="str">
        <f aca="false">PROPER(TRIM(Orders!K539))</f>
        <v>Bengaluru</v>
      </c>
      <c r="C539" s="46" t="str">
        <f aca="false">IFERROR(VLOOKUP(Orders!D539,Products!$A$2:$F$61,3,FALSE()),"Not Found")</f>
        <v>Sports</v>
      </c>
      <c r="D539" s="46" t="str">
        <f aca="false">IFERROR(VLOOKUP(Orders!C539,Customers!$A$2:$F$301,5,FALSE()),"Not Found")</f>
        <v>Corporate</v>
      </c>
      <c r="E539" s="46" t="n">
        <f aca="false">IFERROR(VLOOKUP(Orders!C539,Customers!$A$2:$F$301,3,FALSE()),"Not Found")</f>
        <v>41</v>
      </c>
      <c r="F539" s="46" t="str">
        <f aca="false">IFERROR(VLOOKUP(Orders!E539,Sales_Reps!$A$2:$E$31,3,FALSE()),"Not Found")</f>
        <v>South</v>
      </c>
      <c r="G539" s="46" t="n">
        <f aca="false">IFERROR(VLOOKUP(Orders!D539,Products!$A$2:$F$61,4,FALSE()),"")</f>
        <v>2265</v>
      </c>
      <c r="H539" s="47" t="n">
        <f aca="false">IF(G539="","",(Orders!G539-G539)/Orders!G539)</f>
        <v>0.581330868761553</v>
      </c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</row>
    <row r="540" customFormat="false" ht="15" hidden="false" customHeight="false" outlineLevel="0" collapsed="false">
      <c r="A540" s="46" t="str">
        <f aca="false">Orders!A540</f>
        <v>ORD-00539</v>
      </c>
      <c r="B540" s="46" t="str">
        <f aca="false">PROPER(TRIM(Orders!K540))</f>
        <v>Bengaluru</v>
      </c>
      <c r="C540" s="46" t="str">
        <f aca="false">IFERROR(VLOOKUP(Orders!D540,Products!$A$2:$F$61,3,FALSE()),"Not Found")</f>
        <v>Electronics</v>
      </c>
      <c r="D540" s="46" t="str">
        <f aca="false">IFERROR(VLOOKUP(Orders!C540,Customers!$A$2:$F$301,5,FALSE()),"Not Found")</f>
        <v>SMB</v>
      </c>
      <c r="E540" s="46" t="n">
        <f aca="false">IFERROR(VLOOKUP(Orders!C540,Customers!$A$2:$F$301,3,FALSE()),"Not Found")</f>
        <v>36</v>
      </c>
      <c r="F540" s="46" t="str">
        <f aca="false">IFERROR(VLOOKUP(Orders!E540,Sales_Reps!$A$2:$E$31,3,FALSE()),"Not Found")</f>
        <v>North</v>
      </c>
      <c r="G540" s="46" t="n">
        <f aca="false">IFERROR(VLOOKUP(Orders!D540,Products!$A$2:$F$61,4,FALSE()),"")</f>
        <v>861</v>
      </c>
      <c r="H540" s="47" t="n">
        <f aca="false">IF(G540="","",(Orders!G540-G540)/Orders!G540)</f>
        <v>0.397902097902098</v>
      </c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</row>
    <row r="541" customFormat="false" ht="15" hidden="false" customHeight="false" outlineLevel="0" collapsed="false">
      <c r="A541" s="46" t="str">
        <f aca="false">Orders!A541</f>
        <v>ORD-00540</v>
      </c>
      <c r="B541" s="46" t="str">
        <f aca="false">PROPER(TRIM(Orders!K541))</f>
        <v>Bengaluru</v>
      </c>
      <c r="C541" s="46" t="str">
        <f aca="false">IFERROR(VLOOKUP(Orders!D541,Products!$A$2:$F$61,3,FALSE()),"Not Found")</f>
        <v>Sports</v>
      </c>
      <c r="D541" s="46" t="str">
        <f aca="false">IFERROR(VLOOKUP(Orders!C541,Customers!$A$2:$F$301,5,FALSE()),"Not Found")</f>
        <v>Retail</v>
      </c>
      <c r="E541" s="46" t="n">
        <f aca="false">IFERROR(VLOOKUP(Orders!C541,Customers!$A$2:$F$301,3,FALSE()),"Not Found")</f>
        <v>47</v>
      </c>
      <c r="F541" s="46" t="str">
        <f aca="false">IFERROR(VLOOKUP(Orders!E541,Sales_Reps!$A$2:$E$31,3,FALSE()),"Not Found")</f>
        <v>West</v>
      </c>
      <c r="G541" s="46" t="n">
        <f aca="false">IFERROR(VLOOKUP(Orders!D541,Products!$A$2:$F$61,4,FALSE()),"")</f>
        <v>974</v>
      </c>
      <c r="H541" s="47" t="n">
        <f aca="false">IF(G541="","",(Orders!G541-G541)/Orders!G541)</f>
        <v>0.594166666666667</v>
      </c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</row>
    <row r="542" customFormat="false" ht="15" hidden="false" customHeight="false" outlineLevel="0" collapsed="false">
      <c r="A542" s="46" t="str">
        <f aca="false">Orders!A542</f>
        <v>ORD-00541</v>
      </c>
      <c r="B542" s="46" t="str">
        <f aca="false">PROPER(TRIM(Orders!K542))</f>
        <v>Chennai</v>
      </c>
      <c r="C542" s="46" t="str">
        <f aca="false">IFERROR(VLOOKUP(Orders!D542,Products!$A$2:$F$61,3,FALSE()),"Not Found")</f>
        <v>Grocery</v>
      </c>
      <c r="D542" s="46" t="str">
        <f aca="false">IFERROR(VLOOKUP(Orders!C542,Customers!$A$2:$F$301,5,FALSE()),"Not Found")</f>
        <v>Corporate</v>
      </c>
      <c r="E542" s="46" t="n">
        <f aca="false">IFERROR(VLOOKUP(Orders!C542,Customers!$A$2:$F$301,3,FALSE()),"Not Found")</f>
        <v>52</v>
      </c>
      <c r="F542" s="46" t="str">
        <f aca="false">IFERROR(VLOOKUP(Orders!E542,Sales_Reps!$A$2:$E$31,3,FALSE()),"Not Found")</f>
        <v>North</v>
      </c>
      <c r="G542" s="46" t="n">
        <f aca="false">IFERROR(VLOOKUP(Orders!D542,Products!$A$2:$F$61,4,FALSE()),"")</f>
        <v>2436</v>
      </c>
      <c r="H542" s="47" t="n">
        <f aca="false">IF(G542="","",(Orders!G542-G542)/Orders!G542)</f>
        <v>0.355555555555556</v>
      </c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</row>
    <row r="543" customFormat="false" ht="15" hidden="false" customHeight="false" outlineLevel="0" collapsed="false">
      <c r="A543" s="46" t="str">
        <f aca="false">Orders!A543</f>
        <v>ORD-00542</v>
      </c>
      <c r="B543" s="46" t="str">
        <f aca="false">PROPER(TRIM(Orders!K543))</f>
        <v>Mumbai</v>
      </c>
      <c r="C543" s="46" t="str">
        <f aca="false">IFERROR(VLOOKUP(Orders!D543,Products!$A$2:$F$61,3,FALSE()),"Not Found")</f>
        <v>Apparel</v>
      </c>
      <c r="D543" s="46" t="str">
        <f aca="false">IFERROR(VLOOKUP(Orders!C543,Customers!$A$2:$F$301,5,FALSE()),"Not Found")</f>
        <v>Corporate</v>
      </c>
      <c r="E543" s="46" t="n">
        <f aca="false">IFERROR(VLOOKUP(Orders!C543,Customers!$A$2:$F$301,3,FALSE()),"Not Found")</f>
        <v>62</v>
      </c>
      <c r="F543" s="46" t="str">
        <f aca="false">IFERROR(VLOOKUP(Orders!E543,Sales_Reps!$A$2:$E$31,3,FALSE()),"Not Found")</f>
        <v>East</v>
      </c>
      <c r="G543" s="46" t="n">
        <f aca="false">IFERROR(VLOOKUP(Orders!D543,Products!$A$2:$F$61,4,FALSE()),"")</f>
        <v>396</v>
      </c>
      <c r="H543" s="47" t="n">
        <f aca="false">IF(G543="","",(Orders!G543-G543)/Orders!G543)</f>
        <v>0.361290322580645</v>
      </c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</row>
    <row r="544" customFormat="false" ht="15" hidden="false" customHeight="false" outlineLevel="0" collapsed="false">
      <c r="A544" s="46" t="str">
        <f aca="false">Orders!A544</f>
        <v>ORD-00543</v>
      </c>
      <c r="B544" s="46" t="str">
        <f aca="false">PROPER(TRIM(Orders!K544))</f>
        <v>Delhi</v>
      </c>
      <c r="C544" s="46" t="str">
        <f aca="false">IFERROR(VLOOKUP(Orders!D544,Products!$A$2:$F$61,3,FALSE()),"Not Found")</f>
        <v>Sports</v>
      </c>
      <c r="D544" s="46" t="str">
        <f aca="false">IFERROR(VLOOKUP(Orders!C544,Customers!$A$2:$F$301,5,FALSE()),"Not Found")</f>
        <v>Retail</v>
      </c>
      <c r="E544" s="46" t="n">
        <f aca="false">IFERROR(VLOOKUP(Orders!C544,Customers!$A$2:$F$301,3,FALSE()),"Not Found")</f>
        <v>43</v>
      </c>
      <c r="F544" s="46" t="str">
        <f aca="false">IFERROR(VLOOKUP(Orders!E544,Sales_Reps!$A$2:$E$31,3,FALSE()),"Not Found")</f>
        <v>North</v>
      </c>
      <c r="G544" s="46" t="n">
        <f aca="false">IFERROR(VLOOKUP(Orders!D544,Products!$A$2:$F$61,4,FALSE()),"")</f>
        <v>147</v>
      </c>
      <c r="H544" s="47" t="n">
        <f aca="false">IF(G544="","",(Orders!G544-G544)/Orders!G544)</f>
        <v>0.226315789473684</v>
      </c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</row>
    <row r="545" customFormat="false" ht="15" hidden="false" customHeight="false" outlineLevel="0" collapsed="false">
      <c r="A545" s="46" t="str">
        <f aca="false">Orders!A545</f>
        <v>ORD-00544</v>
      </c>
      <c r="B545" s="46" t="str">
        <f aca="false">PROPER(TRIM(Orders!K545))</f>
        <v>Bengaluru</v>
      </c>
      <c r="C545" s="46" t="str">
        <f aca="false">IFERROR(VLOOKUP(Orders!D545,Products!$A$2:$F$61,3,FALSE()),"Not Found")</f>
        <v>Apparel</v>
      </c>
      <c r="D545" s="46" t="str">
        <f aca="false">IFERROR(VLOOKUP(Orders!C545,Customers!$A$2:$F$301,5,FALSE()),"Not Found")</f>
        <v>Retail</v>
      </c>
      <c r="E545" s="46" t="n">
        <f aca="false">IFERROR(VLOOKUP(Orders!C545,Customers!$A$2:$F$301,3,FALSE()),"Not Found")</f>
        <v>61</v>
      </c>
      <c r="F545" s="46" t="str">
        <f aca="false">IFERROR(VLOOKUP(Orders!E545,Sales_Reps!$A$2:$E$31,3,FALSE()),"Not Found")</f>
        <v>East</v>
      </c>
      <c r="G545" s="46" t="n">
        <f aca="false">IFERROR(VLOOKUP(Orders!D545,Products!$A$2:$F$61,4,FALSE()),"")</f>
        <v>2509</v>
      </c>
      <c r="H545" s="47" t="n">
        <f aca="false">IF(G545="","",(Orders!G545-G545)/Orders!G545)</f>
        <v>0.306906077348066</v>
      </c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</row>
    <row r="546" customFormat="false" ht="15" hidden="false" customHeight="false" outlineLevel="0" collapsed="false">
      <c r="A546" s="46" t="str">
        <f aca="false">Orders!A546</f>
        <v>ORD-00545</v>
      </c>
      <c r="B546" s="46" t="str">
        <f aca="false">PROPER(TRIM(Orders!K546))</f>
        <v>Hyderabad</v>
      </c>
      <c r="C546" s="46" t="str">
        <f aca="false">IFERROR(VLOOKUP(Orders!D546,Products!$A$2:$F$61,3,FALSE()),"Not Found")</f>
        <v>Sports</v>
      </c>
      <c r="D546" s="46" t="str">
        <f aca="false">IFERROR(VLOOKUP(Orders!C546,Customers!$A$2:$F$301,5,FALSE()),"Not Found")</f>
        <v>Corporate</v>
      </c>
      <c r="E546" s="46" t="n">
        <f aca="false">IFERROR(VLOOKUP(Orders!C546,Customers!$A$2:$F$301,3,FALSE()),"Not Found")</f>
        <v>56</v>
      </c>
      <c r="F546" s="46" t="str">
        <f aca="false">IFERROR(VLOOKUP(Orders!E546,Sales_Reps!$A$2:$E$31,3,FALSE()),"Not Found")</f>
        <v>East</v>
      </c>
      <c r="G546" s="46" t="n">
        <f aca="false">IFERROR(VLOOKUP(Orders!D546,Products!$A$2:$F$61,4,FALSE()),"")</f>
        <v>2028</v>
      </c>
      <c r="H546" s="47" t="n">
        <f aca="false">IF(G546="","",(Orders!G546-G546)/Orders!G546)</f>
        <v>0.290909090909091</v>
      </c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</row>
    <row r="547" customFormat="false" ht="15" hidden="false" customHeight="false" outlineLevel="0" collapsed="false">
      <c r="A547" s="46" t="str">
        <f aca="false">Orders!A547</f>
        <v>ORD-00546</v>
      </c>
      <c r="B547" s="46" t="str">
        <f aca="false">PROPER(TRIM(Orders!K547))</f>
        <v>Delhi</v>
      </c>
      <c r="C547" s="46" t="str">
        <f aca="false">IFERROR(VLOOKUP(Orders!D547,Products!$A$2:$F$61,3,FALSE()),"Not Found")</f>
        <v>Sports</v>
      </c>
      <c r="D547" s="46" t="str">
        <f aca="false">IFERROR(VLOOKUP(Orders!C547,Customers!$A$2:$F$301,5,FALSE()),"Not Found")</f>
        <v>Retail</v>
      </c>
      <c r="E547" s="46" t="n">
        <f aca="false">IFERROR(VLOOKUP(Orders!C547,Customers!$A$2:$F$301,3,FALSE()),"Not Found")</f>
        <v>55</v>
      </c>
      <c r="F547" s="46" t="str">
        <f aca="false">IFERROR(VLOOKUP(Orders!E547,Sales_Reps!$A$2:$E$31,3,FALSE()),"Not Found")</f>
        <v>East</v>
      </c>
      <c r="G547" s="46" t="n">
        <f aca="false">IFERROR(VLOOKUP(Orders!D547,Products!$A$2:$F$61,4,FALSE()),"")</f>
        <v>974</v>
      </c>
      <c r="H547" s="47" t="n">
        <f aca="false">IF(G547="","",(Orders!G547-G547)/Orders!G547)</f>
        <v>0.594166666666667</v>
      </c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</row>
    <row r="548" customFormat="false" ht="15" hidden="false" customHeight="false" outlineLevel="0" collapsed="false">
      <c r="A548" s="46" t="str">
        <f aca="false">Orders!A548</f>
        <v>ORD-00547</v>
      </c>
      <c r="B548" s="46" t="str">
        <f aca="false">PROPER(TRIM(Orders!K548))</f>
        <v>Bengaluru</v>
      </c>
      <c r="C548" s="46" t="str">
        <f aca="false">IFERROR(VLOOKUP(Orders!D548,Products!$A$2:$F$61,3,FALSE()),"Not Found")</f>
        <v>Home</v>
      </c>
      <c r="D548" s="46" t="str">
        <f aca="false">IFERROR(VLOOKUP(Orders!C548,Customers!$A$2:$F$301,5,FALSE()),"Not Found")</f>
        <v>SMB</v>
      </c>
      <c r="E548" s="46" t="n">
        <f aca="false">IFERROR(VLOOKUP(Orders!C548,Customers!$A$2:$F$301,3,FALSE()),"Not Found")</f>
        <v>42</v>
      </c>
      <c r="F548" s="46" t="str">
        <f aca="false">IFERROR(VLOOKUP(Orders!E548,Sales_Reps!$A$2:$E$31,3,FALSE()),"Not Found")</f>
        <v>South</v>
      </c>
      <c r="G548" s="46" t="n">
        <f aca="false">IFERROR(VLOOKUP(Orders!D548,Products!$A$2:$F$61,4,FALSE()),"")</f>
        <v>2459</v>
      </c>
      <c r="H548" s="47" t="n">
        <f aca="false">IF(G548="","",(Orders!G548-G548)/Orders!G548)</f>
        <v>0.515944881889764</v>
      </c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</row>
    <row r="549" customFormat="false" ht="15" hidden="false" customHeight="false" outlineLevel="0" collapsed="false">
      <c r="A549" s="46" t="str">
        <f aca="false">Orders!A549</f>
        <v>ORD-00548</v>
      </c>
      <c r="B549" s="46" t="str">
        <f aca="false">PROPER(TRIM(Orders!K549))</f>
        <v>Hyderabad</v>
      </c>
      <c r="C549" s="46" t="str">
        <f aca="false">IFERROR(VLOOKUP(Orders!D549,Products!$A$2:$F$61,3,FALSE()),"Not Found")</f>
        <v>Home</v>
      </c>
      <c r="D549" s="46" t="str">
        <f aca="false">IFERROR(VLOOKUP(Orders!C549,Customers!$A$2:$F$301,5,FALSE()),"Not Found")</f>
        <v>Corporate</v>
      </c>
      <c r="E549" s="46" t="n">
        <f aca="false">IFERROR(VLOOKUP(Orders!C549,Customers!$A$2:$F$301,3,FALSE()),"Not Found")</f>
        <v>32</v>
      </c>
      <c r="F549" s="46" t="str">
        <f aca="false">IFERROR(VLOOKUP(Orders!E549,Sales_Reps!$A$2:$E$31,3,FALSE()),"Not Found")</f>
        <v>South</v>
      </c>
      <c r="G549" s="46" t="n">
        <f aca="false">IFERROR(VLOOKUP(Orders!D549,Products!$A$2:$F$61,4,FALSE()),"")</f>
        <v>2459</v>
      </c>
      <c r="H549" s="47" t="n">
        <f aca="false">IF(G549="","",(Orders!G549-G549)/Orders!G549)</f>
        <v>0.515944881889764</v>
      </c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</row>
    <row r="550" customFormat="false" ht="15" hidden="false" customHeight="false" outlineLevel="0" collapsed="false">
      <c r="A550" s="46" t="str">
        <f aca="false">Orders!A550</f>
        <v>ORD-00549</v>
      </c>
      <c r="B550" s="46" t="str">
        <f aca="false">PROPER(TRIM(Orders!K550))</f>
        <v>Mumbai</v>
      </c>
      <c r="C550" s="46" t="str">
        <f aca="false">IFERROR(VLOOKUP(Orders!D550,Products!$A$2:$F$61,3,FALSE()),"Not Found")</f>
        <v>Sports</v>
      </c>
      <c r="D550" s="46" t="str">
        <f aca="false">IFERROR(VLOOKUP(Orders!C550,Customers!$A$2:$F$301,5,FALSE()),"Not Found")</f>
        <v>SMB</v>
      </c>
      <c r="E550" s="46" t="n">
        <f aca="false">IFERROR(VLOOKUP(Orders!C550,Customers!$A$2:$F$301,3,FALSE()),"Not Found")</f>
        <v>65</v>
      </c>
      <c r="F550" s="46" t="str">
        <f aca="false">IFERROR(VLOOKUP(Orders!E550,Sales_Reps!$A$2:$E$31,3,FALSE()),"Not Found")</f>
        <v>North</v>
      </c>
      <c r="G550" s="46" t="n">
        <f aca="false">IFERROR(VLOOKUP(Orders!D550,Products!$A$2:$F$61,4,FALSE()),"")</f>
        <v>705</v>
      </c>
      <c r="H550" s="47" t="n">
        <f aca="false">IF(G550="","",(Orders!G550-G550)/Orders!G550)</f>
        <v>0.265625</v>
      </c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</row>
    <row r="551" customFormat="false" ht="15" hidden="false" customHeight="false" outlineLevel="0" collapsed="false">
      <c r="A551" s="46" t="str">
        <f aca="false">Orders!A551</f>
        <v>ORD-00550</v>
      </c>
      <c r="B551" s="46" t="str">
        <f aca="false">PROPER(TRIM(Orders!K551))</f>
        <v>Delhi</v>
      </c>
      <c r="C551" s="46" t="str">
        <f aca="false">IFERROR(VLOOKUP(Orders!D551,Products!$A$2:$F$61,3,FALSE()),"Not Found")</f>
        <v>Grocery</v>
      </c>
      <c r="D551" s="46" t="str">
        <f aca="false">IFERROR(VLOOKUP(Orders!C551,Customers!$A$2:$F$301,5,FALSE()),"Not Found")</f>
        <v>Corporate</v>
      </c>
      <c r="E551" s="46" t="n">
        <f aca="false">IFERROR(VLOOKUP(Orders!C551,Customers!$A$2:$F$301,3,FALSE()),"Not Found")</f>
        <v>55</v>
      </c>
      <c r="F551" s="46" t="str">
        <f aca="false">IFERROR(VLOOKUP(Orders!E551,Sales_Reps!$A$2:$E$31,3,FALSE()),"Not Found")</f>
        <v>West</v>
      </c>
      <c r="G551" s="46" t="n">
        <f aca="false">IFERROR(VLOOKUP(Orders!D551,Products!$A$2:$F$61,4,FALSE()),"")</f>
        <v>2214</v>
      </c>
      <c r="H551" s="47" t="n">
        <f aca="false">IF(G551="","",(Orders!G551-G551)/Orders!G551)</f>
        <v>0.395081967213115</v>
      </c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</row>
    <row r="552" customFormat="false" ht="15" hidden="false" customHeight="false" outlineLevel="0" collapsed="false">
      <c r="A552" s="46" t="str">
        <f aca="false">Orders!A552</f>
        <v>ORD-00551</v>
      </c>
      <c r="B552" s="46" t="str">
        <f aca="false">PROPER(TRIM(Orders!K552))</f>
        <v>Pune</v>
      </c>
      <c r="C552" s="46" t="str">
        <f aca="false">IFERROR(VLOOKUP(Orders!D552,Products!$A$2:$F$61,3,FALSE()),"Not Found")</f>
        <v>Electronics</v>
      </c>
      <c r="D552" s="46" t="str">
        <f aca="false">IFERROR(VLOOKUP(Orders!C552,Customers!$A$2:$F$301,5,FALSE()),"Not Found")</f>
        <v>Corporate</v>
      </c>
      <c r="E552" s="46" t="n">
        <f aca="false">IFERROR(VLOOKUP(Orders!C552,Customers!$A$2:$F$301,3,FALSE()),"Not Found")</f>
        <v>47</v>
      </c>
      <c r="F552" s="46" t="str">
        <f aca="false">IFERROR(VLOOKUP(Orders!E552,Sales_Reps!$A$2:$E$31,3,FALSE()),"Not Found")</f>
        <v>South</v>
      </c>
      <c r="G552" s="46" t="n">
        <f aca="false">IFERROR(VLOOKUP(Orders!D552,Products!$A$2:$F$61,4,FALSE()),"")</f>
        <v>1149</v>
      </c>
      <c r="H552" s="47" t="n">
        <f aca="false">IF(G552="","",(Orders!G552-G552)/Orders!G552)</f>
        <v>0.564772727272727</v>
      </c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</row>
    <row r="553" customFormat="false" ht="15" hidden="false" customHeight="false" outlineLevel="0" collapsed="false">
      <c r="A553" s="46" t="str">
        <f aca="false">Orders!A553</f>
        <v>ORD-00552</v>
      </c>
      <c r="B553" s="46" t="str">
        <f aca="false">PROPER(TRIM(Orders!K553))</f>
        <v>Chennai</v>
      </c>
      <c r="C553" s="46" t="str">
        <f aca="false">IFERROR(VLOOKUP(Orders!D553,Products!$A$2:$F$61,3,FALSE()),"Not Found")</f>
        <v>Electronics</v>
      </c>
      <c r="D553" s="46" t="str">
        <f aca="false">IFERROR(VLOOKUP(Orders!C553,Customers!$A$2:$F$301,5,FALSE()),"Not Found")</f>
        <v>SMB</v>
      </c>
      <c r="E553" s="46" t="n">
        <f aca="false">IFERROR(VLOOKUP(Orders!C553,Customers!$A$2:$F$301,3,FALSE()),"Not Found")</f>
        <v>64</v>
      </c>
      <c r="F553" s="46" t="str">
        <f aca="false">IFERROR(VLOOKUP(Orders!E553,Sales_Reps!$A$2:$E$31,3,FALSE()),"Not Found")</f>
        <v>South</v>
      </c>
      <c r="G553" s="46" t="n">
        <f aca="false">IFERROR(VLOOKUP(Orders!D553,Products!$A$2:$F$61,4,FALSE()),"")</f>
        <v>517</v>
      </c>
      <c r="H553" s="47" t="n">
        <f aca="false">IF(G553="","",(Orders!G553-G553)/Orders!G553)</f>
        <v>0.576229508196721</v>
      </c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</row>
    <row r="554" customFormat="false" ht="15" hidden="false" customHeight="false" outlineLevel="0" collapsed="false">
      <c r="A554" s="46" t="str">
        <f aca="false">Orders!A554</f>
        <v>ORD-00553</v>
      </c>
      <c r="B554" s="46" t="str">
        <f aca="false">PROPER(TRIM(Orders!K554))</f>
        <v>Bengaluru</v>
      </c>
      <c r="C554" s="46" t="str">
        <f aca="false">IFERROR(VLOOKUP(Orders!D554,Products!$A$2:$F$61,3,FALSE()),"Not Found")</f>
        <v>Electronics</v>
      </c>
      <c r="D554" s="46" t="str">
        <f aca="false">IFERROR(VLOOKUP(Orders!C554,Customers!$A$2:$F$301,5,FALSE()),"Not Found")</f>
        <v>Retail</v>
      </c>
      <c r="E554" s="46" t="n">
        <f aca="false">IFERROR(VLOOKUP(Orders!C554,Customers!$A$2:$F$301,3,FALSE()),"Not Found")</f>
        <v>27</v>
      </c>
      <c r="F554" s="46" t="str">
        <f aca="false">IFERROR(VLOOKUP(Orders!E554,Sales_Reps!$A$2:$E$31,3,FALSE()),"Not Found")</f>
        <v>South</v>
      </c>
      <c r="G554" s="46" t="n">
        <f aca="false">IFERROR(VLOOKUP(Orders!D554,Products!$A$2:$F$61,4,FALSE()),"")</f>
        <v>128</v>
      </c>
      <c r="H554" s="47" t="n">
        <f aca="false">IF(G554="","",(Orders!G554-G554)/Orders!G554)</f>
        <v>0.573333333333333</v>
      </c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</row>
    <row r="555" customFormat="false" ht="15" hidden="false" customHeight="false" outlineLevel="0" collapsed="false">
      <c r="A555" s="46" t="str">
        <f aca="false">Orders!A555</f>
        <v>ORD-00554</v>
      </c>
      <c r="B555" s="46" t="str">
        <f aca="false">PROPER(TRIM(Orders!K555))</f>
        <v>Hyderabad</v>
      </c>
      <c r="C555" s="46" t="str">
        <f aca="false">IFERROR(VLOOKUP(Orders!D555,Products!$A$2:$F$61,3,FALSE()),"Not Found")</f>
        <v>Sports</v>
      </c>
      <c r="D555" s="46" t="str">
        <f aca="false">IFERROR(VLOOKUP(Orders!C555,Customers!$A$2:$F$301,5,FALSE()),"Not Found")</f>
        <v>Retail</v>
      </c>
      <c r="E555" s="46" t="n">
        <f aca="false">IFERROR(VLOOKUP(Orders!C555,Customers!$A$2:$F$301,3,FALSE()),"Not Found")</f>
        <v>65</v>
      </c>
      <c r="F555" s="46" t="str">
        <f aca="false">IFERROR(VLOOKUP(Orders!E555,Sales_Reps!$A$2:$E$31,3,FALSE()),"Not Found")</f>
        <v>East</v>
      </c>
      <c r="G555" s="46" t="n">
        <f aca="false">IFERROR(VLOOKUP(Orders!D555,Products!$A$2:$F$61,4,FALSE()),"")</f>
        <v>516</v>
      </c>
      <c r="H555" s="47" t="n">
        <f aca="false">IF(G555="","",(Orders!G555-G555)/Orders!G555)</f>
        <v>0.489108910891089</v>
      </c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</row>
    <row r="556" customFormat="false" ht="15" hidden="false" customHeight="false" outlineLevel="0" collapsed="false">
      <c r="A556" s="46" t="str">
        <f aca="false">Orders!A556</f>
        <v>ORD-00555</v>
      </c>
      <c r="B556" s="46" t="str">
        <f aca="false">PROPER(TRIM(Orders!K556))</f>
        <v>Delhi</v>
      </c>
      <c r="C556" s="46" t="str">
        <f aca="false">IFERROR(VLOOKUP(Orders!D556,Products!$A$2:$F$61,3,FALSE()),"Not Found")</f>
        <v>Electronics</v>
      </c>
      <c r="D556" s="46" t="str">
        <f aca="false">IFERROR(VLOOKUP(Orders!C556,Customers!$A$2:$F$301,5,FALSE()),"Not Found")</f>
        <v>SMB</v>
      </c>
      <c r="E556" s="46" t="n">
        <f aca="false">IFERROR(VLOOKUP(Orders!C556,Customers!$A$2:$F$301,3,FALSE()),"Not Found")</f>
        <v>45</v>
      </c>
      <c r="F556" s="46" t="str">
        <f aca="false">IFERROR(VLOOKUP(Orders!E556,Sales_Reps!$A$2:$E$31,3,FALSE()),"Not Found")</f>
        <v>South</v>
      </c>
      <c r="G556" s="46" t="n">
        <f aca="false">IFERROR(VLOOKUP(Orders!D556,Products!$A$2:$F$61,4,FALSE()),"")</f>
        <v>1052</v>
      </c>
      <c r="H556" s="47" t="n">
        <f aca="false">IF(G556="","",(Orders!G556-G556)/Orders!G556)</f>
        <v>0.595384615384615</v>
      </c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</row>
    <row r="557" customFormat="false" ht="15" hidden="false" customHeight="false" outlineLevel="0" collapsed="false">
      <c r="A557" s="46" t="str">
        <f aca="false">Orders!A557</f>
        <v>ORD-00556</v>
      </c>
      <c r="B557" s="46" t="str">
        <f aca="false">PROPER(TRIM(Orders!K557))</f>
        <v>Mumbai</v>
      </c>
      <c r="C557" s="46" t="str">
        <f aca="false">IFERROR(VLOOKUP(Orders!D557,Products!$A$2:$F$61,3,FALSE()),"Not Found")</f>
        <v>Sports</v>
      </c>
      <c r="D557" s="46" t="str">
        <f aca="false">IFERROR(VLOOKUP(Orders!C557,Customers!$A$2:$F$301,5,FALSE()),"Not Found")</f>
        <v>Retail</v>
      </c>
      <c r="E557" s="46" t="n">
        <f aca="false">IFERROR(VLOOKUP(Orders!C557,Customers!$A$2:$F$301,3,FALSE()),"Not Found")</f>
        <v>37</v>
      </c>
      <c r="F557" s="46" t="str">
        <f aca="false">IFERROR(VLOOKUP(Orders!E557,Sales_Reps!$A$2:$E$31,3,FALSE()),"Not Found")</f>
        <v>West</v>
      </c>
      <c r="G557" s="46" t="n">
        <f aca="false">IFERROR(VLOOKUP(Orders!D557,Products!$A$2:$F$61,4,FALSE()),"")</f>
        <v>2827</v>
      </c>
      <c r="H557" s="47" t="n">
        <f aca="false">IF(G557="","",(Orders!G557-G557)/Orders!G557)</f>
        <v>0.592651296829971</v>
      </c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</row>
    <row r="558" customFormat="false" ht="15" hidden="false" customHeight="false" outlineLevel="0" collapsed="false">
      <c r="A558" s="46" t="str">
        <f aca="false">Orders!A558</f>
        <v>ORD-00557</v>
      </c>
      <c r="B558" s="46" t="str">
        <f aca="false">PROPER(TRIM(Orders!K558))</f>
        <v>Bengaluru</v>
      </c>
      <c r="C558" s="46" t="str">
        <f aca="false">IFERROR(VLOOKUP(Orders!D558,Products!$A$2:$F$61,3,FALSE()),"Not Found")</f>
        <v>Home</v>
      </c>
      <c r="D558" s="46" t="str">
        <f aca="false">IFERROR(VLOOKUP(Orders!C558,Customers!$A$2:$F$301,5,FALSE()),"Not Found")</f>
        <v>SMB</v>
      </c>
      <c r="E558" s="46" t="n">
        <f aca="false">IFERROR(VLOOKUP(Orders!C558,Customers!$A$2:$F$301,3,FALSE()),"Not Found")</f>
        <v>44</v>
      </c>
      <c r="F558" s="46" t="str">
        <f aca="false">IFERROR(VLOOKUP(Orders!E558,Sales_Reps!$A$2:$E$31,3,FALSE()),"Not Found")</f>
        <v>South</v>
      </c>
      <c r="G558" s="46" t="n">
        <f aca="false">IFERROR(VLOOKUP(Orders!D558,Products!$A$2:$F$61,4,FALSE()),"")</f>
        <v>288</v>
      </c>
      <c r="H558" s="47" t="n">
        <f aca="false">IF(G558="","",(Orders!G558-G558)/Orders!G558)</f>
        <v>0.221621621621622</v>
      </c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</row>
    <row r="559" customFormat="false" ht="15" hidden="false" customHeight="false" outlineLevel="0" collapsed="false">
      <c r="A559" s="46" t="str">
        <f aca="false">Orders!A559</f>
        <v>ORD-00558</v>
      </c>
      <c r="B559" s="46" t="str">
        <f aca="false">PROPER(TRIM(Orders!K559))</f>
        <v>Mumbai</v>
      </c>
      <c r="C559" s="46" t="str">
        <f aca="false">IFERROR(VLOOKUP(Orders!D559,Products!$A$2:$F$61,3,FALSE()),"Not Found")</f>
        <v>Grocery</v>
      </c>
      <c r="D559" s="46" t="str">
        <f aca="false">IFERROR(VLOOKUP(Orders!C559,Customers!$A$2:$F$301,5,FALSE()),"Not Found")</f>
        <v>Retail</v>
      </c>
      <c r="E559" s="46" t="n">
        <f aca="false">IFERROR(VLOOKUP(Orders!C559,Customers!$A$2:$F$301,3,FALSE()),"Not Found")</f>
        <v>39</v>
      </c>
      <c r="F559" s="46" t="str">
        <f aca="false">IFERROR(VLOOKUP(Orders!E559,Sales_Reps!$A$2:$E$31,3,FALSE()),"Not Found")</f>
        <v>West</v>
      </c>
      <c r="G559" s="46" t="n">
        <f aca="false">IFERROR(VLOOKUP(Orders!D559,Products!$A$2:$F$61,4,FALSE()),"")</f>
        <v>2436</v>
      </c>
      <c r="H559" s="47" t="n">
        <f aca="false">IF(G559="","",(Orders!G559-G559)/Orders!G559)</f>
        <v>0.355555555555556</v>
      </c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</row>
    <row r="560" customFormat="false" ht="15" hidden="false" customHeight="false" outlineLevel="0" collapsed="false">
      <c r="A560" s="46" t="str">
        <f aca="false">Orders!A560</f>
        <v>ORD-00559</v>
      </c>
      <c r="B560" s="46" t="str">
        <f aca="false">PROPER(TRIM(Orders!K560))</f>
        <v>Pune</v>
      </c>
      <c r="C560" s="46" t="str">
        <f aca="false">IFERROR(VLOOKUP(Orders!D560,Products!$A$2:$F$61,3,FALSE()),"Not Found")</f>
        <v>Grocery</v>
      </c>
      <c r="D560" s="46" t="str">
        <f aca="false">IFERROR(VLOOKUP(Orders!C560,Customers!$A$2:$F$301,5,FALSE()),"Not Found")</f>
        <v>SMB</v>
      </c>
      <c r="E560" s="46" t="n">
        <f aca="false">IFERROR(VLOOKUP(Orders!C560,Customers!$A$2:$F$301,3,FALSE()),"Not Found")</f>
        <v>49</v>
      </c>
      <c r="F560" s="46" t="str">
        <f aca="false">IFERROR(VLOOKUP(Orders!E560,Sales_Reps!$A$2:$E$31,3,FALSE()),"Not Found")</f>
        <v>East</v>
      </c>
      <c r="G560" s="46" t="n">
        <f aca="false">IFERROR(VLOOKUP(Orders!D560,Products!$A$2:$F$61,4,FALSE()),"")</f>
        <v>434</v>
      </c>
      <c r="H560" s="47" t="n">
        <f aca="false">IF(G560="","",(Orders!G560-G560)/Orders!G560)</f>
        <v>0.552577319587629</v>
      </c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</row>
    <row r="561" customFormat="false" ht="15" hidden="false" customHeight="false" outlineLevel="0" collapsed="false">
      <c r="A561" s="46" t="str">
        <f aca="false">Orders!A561</f>
        <v>ORD-00560</v>
      </c>
      <c r="B561" s="46" t="str">
        <f aca="false">PROPER(TRIM(Orders!K561))</f>
        <v>Pune</v>
      </c>
      <c r="C561" s="46" t="str">
        <f aca="false">IFERROR(VLOOKUP(Orders!D561,Products!$A$2:$F$61,3,FALSE()),"Not Found")</f>
        <v>Grocery</v>
      </c>
      <c r="D561" s="46" t="str">
        <f aca="false">IFERROR(VLOOKUP(Orders!C561,Customers!$A$2:$F$301,5,FALSE()),"Not Found")</f>
        <v>Retail</v>
      </c>
      <c r="E561" s="46" t="n">
        <f aca="false">IFERROR(VLOOKUP(Orders!C561,Customers!$A$2:$F$301,3,FALSE()),"Not Found")</f>
        <v>31</v>
      </c>
      <c r="F561" s="46" t="str">
        <f aca="false">IFERROR(VLOOKUP(Orders!E561,Sales_Reps!$A$2:$E$31,3,FALSE()),"Not Found")</f>
        <v>North</v>
      </c>
      <c r="G561" s="46" t="n">
        <f aca="false">IFERROR(VLOOKUP(Orders!D561,Products!$A$2:$F$61,4,FALSE()),"")</f>
        <v>1412</v>
      </c>
      <c r="H561" s="47" t="n">
        <f aca="false">IF(G561="","",(Orders!G561-G561)/Orders!G561)</f>
        <v>0.377973568281938</v>
      </c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</row>
    <row r="562" customFormat="false" ht="15" hidden="false" customHeight="false" outlineLevel="0" collapsed="false">
      <c r="A562" s="46" t="str">
        <f aca="false">Orders!A562</f>
        <v>ORD-00561</v>
      </c>
      <c r="B562" s="46" t="str">
        <f aca="false">PROPER(TRIM(Orders!K562))</f>
        <v>Chennai</v>
      </c>
      <c r="C562" s="46" t="str">
        <f aca="false">IFERROR(VLOOKUP(Orders!D562,Products!$A$2:$F$61,3,FALSE()),"Not Found")</f>
        <v>Beauty</v>
      </c>
      <c r="D562" s="46" t="str">
        <f aca="false">IFERROR(VLOOKUP(Orders!C562,Customers!$A$2:$F$301,5,FALSE()),"Not Found")</f>
        <v>SMB</v>
      </c>
      <c r="E562" s="46" t="n">
        <f aca="false">IFERROR(VLOOKUP(Orders!C562,Customers!$A$2:$F$301,3,FALSE()),"Not Found")</f>
        <v>46</v>
      </c>
      <c r="F562" s="46" t="str">
        <f aca="false">IFERROR(VLOOKUP(Orders!E562,Sales_Reps!$A$2:$E$31,3,FALSE()),"Not Found")</f>
        <v>West</v>
      </c>
      <c r="G562" s="46" t="n">
        <f aca="false">IFERROR(VLOOKUP(Orders!D562,Products!$A$2:$F$61,4,FALSE()),"")</f>
        <v>647</v>
      </c>
      <c r="H562" s="47" t="n">
        <f aca="false">IF(G562="","",(Orders!G562-G562)/Orders!G562)</f>
        <v>0.57987012987013</v>
      </c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</row>
    <row r="563" customFormat="false" ht="15" hidden="false" customHeight="false" outlineLevel="0" collapsed="false">
      <c r="A563" s="46" t="str">
        <f aca="false">Orders!A563</f>
        <v>ORD-00562</v>
      </c>
      <c r="B563" s="46" t="str">
        <f aca="false">PROPER(TRIM(Orders!K563))</f>
        <v>Chennai</v>
      </c>
      <c r="C563" s="46" t="str">
        <f aca="false">IFERROR(VLOOKUP(Orders!D563,Products!$A$2:$F$61,3,FALSE()),"Not Found")</f>
        <v>Grocery</v>
      </c>
      <c r="D563" s="46" t="str">
        <f aca="false">IFERROR(VLOOKUP(Orders!C563,Customers!$A$2:$F$301,5,FALSE()),"Not Found")</f>
        <v>Retail</v>
      </c>
      <c r="E563" s="46" t="n">
        <f aca="false">IFERROR(VLOOKUP(Orders!C563,Customers!$A$2:$F$301,3,FALSE()),"Not Found")</f>
        <v>36</v>
      </c>
      <c r="F563" s="46" t="str">
        <f aca="false">IFERROR(VLOOKUP(Orders!E563,Sales_Reps!$A$2:$E$31,3,FALSE()),"Not Found")</f>
        <v>East</v>
      </c>
      <c r="G563" s="46" t="n">
        <f aca="false">IFERROR(VLOOKUP(Orders!D563,Products!$A$2:$F$61,4,FALSE()),"")</f>
        <v>1435</v>
      </c>
      <c r="H563" s="47" t="n">
        <f aca="false">IF(G563="","",(Orders!G563-G563)/Orders!G563)</f>
        <v>0.480072463768116</v>
      </c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</row>
    <row r="564" customFormat="false" ht="15" hidden="false" customHeight="false" outlineLevel="0" collapsed="false">
      <c r="A564" s="46" t="str">
        <f aca="false">Orders!A564</f>
        <v>ORD-00563</v>
      </c>
      <c r="B564" s="46" t="str">
        <f aca="false">PROPER(TRIM(Orders!K564))</f>
        <v>Bengaluru</v>
      </c>
      <c r="C564" s="46" t="str">
        <f aca="false">IFERROR(VLOOKUP(Orders!D564,Products!$A$2:$F$61,3,FALSE()),"Not Found")</f>
        <v>Grocery</v>
      </c>
      <c r="D564" s="46" t="str">
        <f aca="false">IFERROR(VLOOKUP(Orders!C564,Customers!$A$2:$F$301,5,FALSE()),"Not Found")</f>
        <v>Retail</v>
      </c>
      <c r="E564" s="46" t="n">
        <f aca="false">IFERROR(VLOOKUP(Orders!C564,Customers!$A$2:$F$301,3,FALSE()),"Not Found")</f>
        <v>23</v>
      </c>
      <c r="F564" s="46" t="str">
        <f aca="false">IFERROR(VLOOKUP(Orders!E564,Sales_Reps!$A$2:$E$31,3,FALSE()),"Not Found")</f>
        <v>West</v>
      </c>
      <c r="G564" s="46" t="n">
        <f aca="false">IFERROR(VLOOKUP(Orders!D564,Products!$A$2:$F$61,4,FALSE()),"")</f>
        <v>1203</v>
      </c>
      <c r="H564" s="47" t="n">
        <f aca="false">IF(G564="","",(Orders!G564-G564)/Orders!G564)</f>
        <v>0.470044052863436</v>
      </c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</row>
    <row r="565" customFormat="false" ht="15" hidden="false" customHeight="false" outlineLevel="0" collapsed="false">
      <c r="A565" s="46" t="str">
        <f aca="false">Orders!A565</f>
        <v>ORD-00564</v>
      </c>
      <c r="B565" s="46" t="str">
        <f aca="false">PROPER(TRIM(Orders!K565))</f>
        <v>Bengaluru</v>
      </c>
      <c r="C565" s="46" t="str">
        <f aca="false">IFERROR(VLOOKUP(Orders!D565,Products!$A$2:$F$61,3,FALSE()),"Not Found")</f>
        <v>Beauty</v>
      </c>
      <c r="D565" s="46" t="str">
        <f aca="false">IFERROR(VLOOKUP(Orders!C565,Customers!$A$2:$F$301,5,FALSE()),"Not Found")</f>
        <v>Corporate</v>
      </c>
      <c r="E565" s="46" t="n">
        <f aca="false">IFERROR(VLOOKUP(Orders!C565,Customers!$A$2:$F$301,3,FALSE()),"Not Found")</f>
        <v>41</v>
      </c>
      <c r="F565" s="46" t="str">
        <f aca="false">IFERROR(VLOOKUP(Orders!E565,Sales_Reps!$A$2:$E$31,3,FALSE()),"Not Found")</f>
        <v>South</v>
      </c>
      <c r="G565" s="46" t="n">
        <f aca="false">IFERROR(VLOOKUP(Orders!D565,Products!$A$2:$F$61,4,FALSE()),"")</f>
        <v>1626</v>
      </c>
      <c r="H565" s="47" t="n">
        <f aca="false">IF(G565="","",(Orders!G565-G565)/Orders!G565)</f>
        <v>0.46158940397351</v>
      </c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</row>
    <row r="566" customFormat="false" ht="15" hidden="false" customHeight="false" outlineLevel="0" collapsed="false">
      <c r="A566" s="46" t="str">
        <f aca="false">Orders!A566</f>
        <v>ORD-00565</v>
      </c>
      <c r="B566" s="46" t="str">
        <f aca="false">PROPER(TRIM(Orders!K566))</f>
        <v>Pune</v>
      </c>
      <c r="C566" s="46" t="str">
        <f aca="false">IFERROR(VLOOKUP(Orders!D566,Products!$A$2:$F$61,3,FALSE()),"Not Found")</f>
        <v>Grocery</v>
      </c>
      <c r="D566" s="46" t="str">
        <f aca="false">IFERROR(VLOOKUP(Orders!C566,Customers!$A$2:$F$301,5,FALSE()),"Not Found")</f>
        <v>Retail</v>
      </c>
      <c r="E566" s="46" t="n">
        <f aca="false">IFERROR(VLOOKUP(Orders!C566,Customers!$A$2:$F$301,3,FALSE()),"Not Found")</f>
        <v>62</v>
      </c>
      <c r="F566" s="46" t="str">
        <f aca="false">IFERROR(VLOOKUP(Orders!E566,Sales_Reps!$A$2:$E$31,3,FALSE()),"Not Found")</f>
        <v>East</v>
      </c>
      <c r="G566" s="46" t="n">
        <f aca="false">IFERROR(VLOOKUP(Orders!D566,Products!$A$2:$F$61,4,FALSE()),"")</f>
        <v>1182</v>
      </c>
      <c r="H566" s="47" t="n">
        <f aca="false">IF(G566="","",(Orders!G566-G566)/Orders!G566)</f>
        <v>0.503361344537815</v>
      </c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</row>
    <row r="567" customFormat="false" ht="15" hidden="false" customHeight="false" outlineLevel="0" collapsed="false">
      <c r="A567" s="46" t="str">
        <f aca="false">Orders!A567</f>
        <v>ORD-00566</v>
      </c>
      <c r="B567" s="46" t="str">
        <f aca="false">PROPER(TRIM(Orders!K567))</f>
        <v>Bengaluru</v>
      </c>
      <c r="C567" s="46" t="str">
        <f aca="false">IFERROR(VLOOKUP(Orders!D567,Products!$A$2:$F$61,3,FALSE()),"Not Found")</f>
        <v>Sports</v>
      </c>
      <c r="D567" s="46" t="str">
        <f aca="false">IFERROR(VLOOKUP(Orders!C567,Customers!$A$2:$F$301,5,FALSE()),"Not Found")</f>
        <v>SMB</v>
      </c>
      <c r="E567" s="46" t="n">
        <f aca="false">IFERROR(VLOOKUP(Orders!C567,Customers!$A$2:$F$301,3,FALSE()),"Not Found")</f>
        <v>49</v>
      </c>
      <c r="F567" s="46" t="str">
        <f aca="false">IFERROR(VLOOKUP(Orders!E567,Sales_Reps!$A$2:$E$31,3,FALSE()),"Not Found")</f>
        <v>West</v>
      </c>
      <c r="G567" s="46" t="n">
        <f aca="false">IFERROR(VLOOKUP(Orders!D567,Products!$A$2:$F$61,4,FALSE()),"")</f>
        <v>2827</v>
      </c>
      <c r="H567" s="47" t="n">
        <f aca="false">IF(G567="","",(Orders!G567-G567)/Orders!G567)</f>
        <v>0.592651296829971</v>
      </c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</row>
    <row r="568" customFormat="false" ht="15" hidden="false" customHeight="false" outlineLevel="0" collapsed="false">
      <c r="A568" s="46" t="str">
        <f aca="false">Orders!A568</f>
        <v>ORD-00567</v>
      </c>
      <c r="B568" s="46" t="str">
        <f aca="false">PROPER(TRIM(Orders!K568))</f>
        <v>Delhi</v>
      </c>
      <c r="C568" s="46" t="str">
        <f aca="false">IFERROR(VLOOKUP(Orders!D568,Products!$A$2:$F$61,3,FALSE()),"Not Found")</f>
        <v>Electronics</v>
      </c>
      <c r="D568" s="46" t="str">
        <f aca="false">IFERROR(VLOOKUP(Orders!C568,Customers!$A$2:$F$301,5,FALSE()),"Not Found")</f>
        <v>Retail</v>
      </c>
      <c r="E568" s="46" t="n">
        <f aca="false">IFERROR(VLOOKUP(Orders!C568,Customers!$A$2:$F$301,3,FALSE()),"Not Found")</f>
        <v>35</v>
      </c>
      <c r="F568" s="46" t="str">
        <f aca="false">IFERROR(VLOOKUP(Orders!E568,Sales_Reps!$A$2:$E$31,3,FALSE()),"Not Found")</f>
        <v>South</v>
      </c>
      <c r="G568" s="46" t="n">
        <f aca="false">IFERROR(VLOOKUP(Orders!D568,Products!$A$2:$F$61,4,FALSE()),"")</f>
        <v>1259</v>
      </c>
      <c r="H568" s="47" t="n">
        <f aca="false">IF(G568="","",(Orders!G568-G568)/Orders!G568)</f>
        <v>0.526691729323308</v>
      </c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</row>
    <row r="569" customFormat="false" ht="15" hidden="false" customHeight="false" outlineLevel="0" collapsed="false">
      <c r="A569" s="46" t="str">
        <f aca="false">Orders!A569</f>
        <v>ORD-00568</v>
      </c>
      <c r="B569" s="46" t="str">
        <f aca="false">PROPER(TRIM(Orders!K569))</f>
        <v>Pune</v>
      </c>
      <c r="C569" s="46" t="str">
        <f aca="false">IFERROR(VLOOKUP(Orders!D569,Products!$A$2:$F$61,3,FALSE()),"Not Found")</f>
        <v>Grocery</v>
      </c>
      <c r="D569" s="46" t="str">
        <f aca="false">IFERROR(VLOOKUP(Orders!C569,Customers!$A$2:$F$301,5,FALSE()),"Not Found")</f>
        <v>Retail</v>
      </c>
      <c r="E569" s="46" t="n">
        <f aca="false">IFERROR(VLOOKUP(Orders!C569,Customers!$A$2:$F$301,3,FALSE()),"Not Found")</f>
        <v>35</v>
      </c>
      <c r="F569" s="46" t="str">
        <f aca="false">IFERROR(VLOOKUP(Orders!E569,Sales_Reps!$A$2:$E$31,3,FALSE()),"Not Found")</f>
        <v>South</v>
      </c>
      <c r="G569" s="46" t="n">
        <f aca="false">IFERROR(VLOOKUP(Orders!D569,Products!$A$2:$F$61,4,FALSE()),"")</f>
        <v>434</v>
      </c>
      <c r="H569" s="47" t="n">
        <f aca="false">IF(G569="","",(Orders!G569-G569)/Orders!G569)</f>
        <v>0.552577319587629</v>
      </c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</row>
    <row r="570" customFormat="false" ht="15" hidden="false" customHeight="false" outlineLevel="0" collapsed="false">
      <c r="A570" s="46" t="str">
        <f aca="false">Orders!A570</f>
        <v>ORD-00569</v>
      </c>
      <c r="B570" s="46" t="str">
        <f aca="false">PROPER(TRIM(Orders!K570))</f>
        <v>Chennai</v>
      </c>
      <c r="C570" s="46" t="str">
        <f aca="false">IFERROR(VLOOKUP(Orders!D570,Products!$A$2:$F$61,3,FALSE()),"Not Found")</f>
        <v>Grocery</v>
      </c>
      <c r="D570" s="46" t="str">
        <f aca="false">IFERROR(VLOOKUP(Orders!C570,Customers!$A$2:$F$301,5,FALSE()),"Not Found")</f>
        <v>Retail</v>
      </c>
      <c r="E570" s="46" t="n">
        <f aca="false">IFERROR(VLOOKUP(Orders!C570,Customers!$A$2:$F$301,3,FALSE()),"Not Found")</f>
        <v>61</v>
      </c>
      <c r="F570" s="46" t="str">
        <f aca="false">IFERROR(VLOOKUP(Orders!E570,Sales_Reps!$A$2:$E$31,3,FALSE()),"Not Found")</f>
        <v>North</v>
      </c>
      <c r="G570" s="46" t="n">
        <f aca="false">IFERROR(VLOOKUP(Orders!D570,Products!$A$2:$F$61,4,FALSE()),"")</f>
        <v>1412</v>
      </c>
      <c r="H570" s="47" t="n">
        <f aca="false">IF(G570="","",(Orders!G570-G570)/Orders!G570)</f>
        <v>0.377973568281938</v>
      </c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</row>
    <row r="571" customFormat="false" ht="15" hidden="false" customHeight="false" outlineLevel="0" collapsed="false">
      <c r="A571" s="46" t="str">
        <f aca="false">Orders!A571</f>
        <v>ORD-00570</v>
      </c>
      <c r="B571" s="46" t="str">
        <f aca="false">PROPER(TRIM(Orders!K571))</f>
        <v>Hyderabad</v>
      </c>
      <c r="C571" s="46" t="str">
        <f aca="false">IFERROR(VLOOKUP(Orders!D571,Products!$A$2:$F$61,3,FALSE()),"Not Found")</f>
        <v>Sports</v>
      </c>
      <c r="D571" s="46" t="str">
        <f aca="false">IFERROR(VLOOKUP(Orders!C571,Customers!$A$2:$F$301,5,FALSE()),"Not Found")</f>
        <v>Retail</v>
      </c>
      <c r="E571" s="46" t="n">
        <f aca="false">IFERROR(VLOOKUP(Orders!C571,Customers!$A$2:$F$301,3,FALSE()),"Not Found")</f>
        <v>53</v>
      </c>
      <c r="F571" s="46" t="str">
        <f aca="false">IFERROR(VLOOKUP(Orders!E571,Sales_Reps!$A$2:$E$31,3,FALSE()),"Not Found")</f>
        <v>South</v>
      </c>
      <c r="G571" s="46" t="n">
        <f aca="false">IFERROR(VLOOKUP(Orders!D571,Products!$A$2:$F$61,4,FALSE()),"")</f>
        <v>516</v>
      </c>
      <c r="H571" s="47" t="n">
        <f aca="false">IF(G571="","",(Orders!G571-G571)/Orders!G571)</f>
        <v>0.489108910891089</v>
      </c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</row>
    <row r="572" customFormat="false" ht="15" hidden="false" customHeight="false" outlineLevel="0" collapsed="false">
      <c r="A572" s="46" t="str">
        <f aca="false">Orders!A572</f>
        <v>ORD-00571</v>
      </c>
      <c r="B572" s="46" t="str">
        <f aca="false">PROPER(TRIM(Orders!K572))</f>
        <v>Pune</v>
      </c>
      <c r="C572" s="46" t="str">
        <f aca="false">IFERROR(VLOOKUP(Orders!D572,Products!$A$2:$F$61,3,FALSE()),"Not Found")</f>
        <v>Grocery</v>
      </c>
      <c r="D572" s="46" t="str">
        <f aca="false">IFERROR(VLOOKUP(Orders!C572,Customers!$A$2:$F$301,5,FALSE()),"Not Found")</f>
        <v>Corporate</v>
      </c>
      <c r="E572" s="46" t="n">
        <f aca="false">IFERROR(VLOOKUP(Orders!C572,Customers!$A$2:$F$301,3,FALSE()),"Not Found")</f>
        <v>37</v>
      </c>
      <c r="F572" s="46" t="str">
        <f aca="false">IFERROR(VLOOKUP(Orders!E572,Sales_Reps!$A$2:$E$31,3,FALSE()),"Not Found")</f>
        <v>North</v>
      </c>
      <c r="G572" s="46" t="n">
        <f aca="false">IFERROR(VLOOKUP(Orders!D572,Products!$A$2:$F$61,4,FALSE()),"")</f>
        <v>1182</v>
      </c>
      <c r="H572" s="47" t="n">
        <f aca="false">IF(G572="","",(Orders!G572-G572)/Orders!G572)</f>
        <v>0.503361344537815</v>
      </c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</row>
    <row r="573" customFormat="false" ht="15" hidden="false" customHeight="false" outlineLevel="0" collapsed="false">
      <c r="A573" s="46" t="str">
        <f aca="false">Orders!A573</f>
        <v>ORD-00572</v>
      </c>
      <c r="B573" s="46" t="str">
        <f aca="false">PROPER(TRIM(Orders!K573))</f>
        <v>Bengaluru</v>
      </c>
      <c r="C573" s="46" t="str">
        <f aca="false">IFERROR(VLOOKUP(Orders!D573,Products!$A$2:$F$61,3,FALSE()),"Not Found")</f>
        <v>Sports</v>
      </c>
      <c r="D573" s="46" t="str">
        <f aca="false">IFERROR(VLOOKUP(Orders!C573,Customers!$A$2:$F$301,5,FALSE()),"Not Found")</f>
        <v>SMB</v>
      </c>
      <c r="E573" s="46" t="n">
        <f aca="false">IFERROR(VLOOKUP(Orders!C573,Customers!$A$2:$F$301,3,FALSE()),"Not Found")</f>
        <v>36</v>
      </c>
      <c r="F573" s="46" t="str">
        <f aca="false">IFERROR(VLOOKUP(Orders!E573,Sales_Reps!$A$2:$E$31,3,FALSE()),"Not Found")</f>
        <v>East</v>
      </c>
      <c r="G573" s="46" t="n">
        <f aca="false">IFERROR(VLOOKUP(Orders!D573,Products!$A$2:$F$61,4,FALSE()),"")</f>
        <v>302</v>
      </c>
      <c r="H573" s="47" t="n">
        <f aca="false">IF(G573="","",(Orders!G573-G573)/Orders!G573)</f>
        <v>0.357446808510638</v>
      </c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</row>
    <row r="574" customFormat="false" ht="15" hidden="false" customHeight="false" outlineLevel="0" collapsed="false">
      <c r="A574" s="46" t="str">
        <f aca="false">Orders!A574</f>
        <v>ORD-00573</v>
      </c>
      <c r="B574" s="46" t="str">
        <f aca="false">PROPER(TRIM(Orders!K574))</f>
        <v>Delhi</v>
      </c>
      <c r="C574" s="46" t="str">
        <f aca="false">IFERROR(VLOOKUP(Orders!D574,Products!$A$2:$F$61,3,FALSE()),"Not Found")</f>
        <v>Beauty</v>
      </c>
      <c r="D574" s="46" t="str">
        <f aca="false">IFERROR(VLOOKUP(Orders!C574,Customers!$A$2:$F$301,5,FALSE()),"Not Found")</f>
        <v>SMB</v>
      </c>
      <c r="E574" s="46" t="n">
        <f aca="false">IFERROR(VLOOKUP(Orders!C574,Customers!$A$2:$F$301,3,FALSE()),"Not Found")</f>
        <v>34</v>
      </c>
      <c r="F574" s="46" t="str">
        <f aca="false">IFERROR(VLOOKUP(Orders!E574,Sales_Reps!$A$2:$E$31,3,FALSE()),"Not Found")</f>
        <v>West</v>
      </c>
      <c r="G574" s="46" t="n">
        <f aca="false">IFERROR(VLOOKUP(Orders!D574,Products!$A$2:$F$61,4,FALSE()),"")</f>
        <v>2237</v>
      </c>
      <c r="H574" s="47" t="n">
        <f aca="false">IF(G574="","",(Orders!G574-G574)/Orders!G574)</f>
        <v>0.561372549019608</v>
      </c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</row>
    <row r="575" customFormat="false" ht="15" hidden="false" customHeight="false" outlineLevel="0" collapsed="false">
      <c r="A575" s="46" t="str">
        <f aca="false">Orders!A575</f>
        <v>ORD-00574</v>
      </c>
      <c r="B575" s="46" t="str">
        <f aca="false">PROPER(TRIM(Orders!K575))</f>
        <v>Hyderabad</v>
      </c>
      <c r="C575" s="46" t="str">
        <f aca="false">IFERROR(VLOOKUP(Orders!D575,Products!$A$2:$F$61,3,FALSE()),"Not Found")</f>
        <v>Beauty</v>
      </c>
      <c r="D575" s="46" t="str">
        <f aca="false">IFERROR(VLOOKUP(Orders!C575,Customers!$A$2:$F$301,5,FALSE()),"Not Found")</f>
        <v>Retail</v>
      </c>
      <c r="E575" s="46" t="n">
        <f aca="false">IFERROR(VLOOKUP(Orders!C575,Customers!$A$2:$F$301,3,FALSE()),"Not Found")</f>
        <v>32</v>
      </c>
      <c r="F575" s="46" t="str">
        <f aca="false">IFERROR(VLOOKUP(Orders!E575,Sales_Reps!$A$2:$E$31,3,FALSE()),"Not Found")</f>
        <v>West</v>
      </c>
      <c r="G575" s="46" t="n">
        <f aca="false">IFERROR(VLOOKUP(Orders!D575,Products!$A$2:$F$61,4,FALSE()),"")</f>
        <v>675</v>
      </c>
      <c r="H575" s="47" t="n">
        <f aca="false">IF(G575="","",(Orders!G575-G575)/Orders!G575)</f>
        <v>0.296875</v>
      </c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</row>
    <row r="576" customFormat="false" ht="15" hidden="false" customHeight="false" outlineLevel="0" collapsed="false">
      <c r="A576" s="46" t="str">
        <f aca="false">Orders!A576</f>
        <v>ORD-00575</v>
      </c>
      <c r="B576" s="46" t="str">
        <f aca="false">PROPER(TRIM(Orders!K576))</f>
        <v>Hyderabad</v>
      </c>
      <c r="C576" s="46" t="str">
        <f aca="false">IFERROR(VLOOKUP(Orders!D576,Products!$A$2:$F$61,3,FALSE()),"Not Found")</f>
        <v>Grocery</v>
      </c>
      <c r="D576" s="46" t="str">
        <f aca="false">IFERROR(VLOOKUP(Orders!C576,Customers!$A$2:$F$301,5,FALSE()),"Not Found")</f>
        <v>SMB</v>
      </c>
      <c r="E576" s="46" t="n">
        <f aca="false">IFERROR(VLOOKUP(Orders!C576,Customers!$A$2:$F$301,3,FALSE()),"Not Found")</f>
        <v>40</v>
      </c>
      <c r="F576" s="46" t="str">
        <f aca="false">IFERROR(VLOOKUP(Orders!E576,Sales_Reps!$A$2:$E$31,3,FALSE()),"Not Found")</f>
        <v>North</v>
      </c>
      <c r="G576" s="46" t="n">
        <f aca="false">IFERROR(VLOOKUP(Orders!D576,Products!$A$2:$F$61,4,FALSE()),"")</f>
        <v>2027</v>
      </c>
      <c r="H576" s="47" t="n">
        <f aca="false">IF(G576="","",(Orders!G576-G576)/Orders!G576)</f>
        <v>0.501965601965602</v>
      </c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</row>
    <row r="577" customFormat="false" ht="15" hidden="false" customHeight="false" outlineLevel="0" collapsed="false">
      <c r="A577" s="46" t="str">
        <f aca="false">Orders!A577</f>
        <v>ORD-00576</v>
      </c>
      <c r="B577" s="46" t="str">
        <f aca="false">PROPER(TRIM(Orders!K577))</f>
        <v>Mumbai</v>
      </c>
      <c r="C577" s="46" t="str">
        <f aca="false">IFERROR(VLOOKUP(Orders!D577,Products!$A$2:$F$61,3,FALSE()),"Not Found")</f>
        <v>Home</v>
      </c>
      <c r="D577" s="46" t="str">
        <f aca="false">IFERROR(VLOOKUP(Orders!C577,Customers!$A$2:$F$301,5,FALSE()),"Not Found")</f>
        <v>SMB</v>
      </c>
      <c r="E577" s="46" t="n">
        <f aca="false">IFERROR(VLOOKUP(Orders!C577,Customers!$A$2:$F$301,3,FALSE()),"Not Found")</f>
        <v>47</v>
      </c>
      <c r="F577" s="46" t="str">
        <f aca="false">IFERROR(VLOOKUP(Orders!E577,Sales_Reps!$A$2:$E$31,3,FALSE()),"Not Found")</f>
        <v>East</v>
      </c>
      <c r="G577" s="46" t="n">
        <f aca="false">IFERROR(VLOOKUP(Orders!D577,Products!$A$2:$F$61,4,FALSE()),"")</f>
        <v>2135</v>
      </c>
      <c r="H577" s="47" t="n">
        <f aca="false">IF(G577="","",(Orders!G577-G577)/Orders!G577)</f>
        <v>0.427613941018767</v>
      </c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</row>
    <row r="578" customFormat="false" ht="15" hidden="false" customHeight="false" outlineLevel="0" collapsed="false">
      <c r="A578" s="46" t="str">
        <f aca="false">Orders!A578</f>
        <v>ORD-00577</v>
      </c>
      <c r="B578" s="46" t="str">
        <f aca="false">PROPER(TRIM(Orders!K578))</f>
        <v>Delhi</v>
      </c>
      <c r="C578" s="46" t="str">
        <f aca="false">IFERROR(VLOOKUP(Orders!D578,Products!$A$2:$F$61,3,FALSE()),"Not Found")</f>
        <v>Sports</v>
      </c>
      <c r="D578" s="46" t="str">
        <f aca="false">IFERROR(VLOOKUP(Orders!C578,Customers!$A$2:$F$301,5,FALSE()),"Not Found")</f>
        <v>Corporate</v>
      </c>
      <c r="E578" s="46" t="n">
        <f aca="false">IFERROR(VLOOKUP(Orders!C578,Customers!$A$2:$F$301,3,FALSE()),"Not Found")</f>
        <v>46</v>
      </c>
      <c r="F578" s="46" t="str">
        <f aca="false">IFERROR(VLOOKUP(Orders!E578,Sales_Reps!$A$2:$E$31,3,FALSE()),"Not Found")</f>
        <v>East</v>
      </c>
      <c r="G578" s="46" t="n">
        <f aca="false">IFERROR(VLOOKUP(Orders!D578,Products!$A$2:$F$61,4,FALSE()),"")</f>
        <v>2028</v>
      </c>
      <c r="H578" s="47" t="n">
        <f aca="false">IF(G578="","",(Orders!G578-G578)/Orders!G578)</f>
        <v>0.290909090909091</v>
      </c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</row>
    <row r="579" customFormat="false" ht="15" hidden="false" customHeight="false" outlineLevel="0" collapsed="false">
      <c r="A579" s="46" t="str">
        <f aca="false">Orders!A579</f>
        <v>ORD-00578</v>
      </c>
      <c r="B579" s="46" t="str">
        <f aca="false">PROPER(TRIM(Orders!K579))</f>
        <v>Chennai</v>
      </c>
      <c r="C579" s="46" t="str">
        <f aca="false">IFERROR(VLOOKUP(Orders!D579,Products!$A$2:$F$61,3,FALSE()),"Not Found")</f>
        <v>Beauty</v>
      </c>
      <c r="D579" s="46" t="str">
        <f aca="false">IFERROR(VLOOKUP(Orders!C579,Customers!$A$2:$F$301,5,FALSE()),"Not Found")</f>
        <v>SMB</v>
      </c>
      <c r="E579" s="46" t="n">
        <f aca="false">IFERROR(VLOOKUP(Orders!C579,Customers!$A$2:$F$301,3,FALSE()),"Not Found")</f>
        <v>39</v>
      </c>
      <c r="F579" s="46" t="str">
        <f aca="false">IFERROR(VLOOKUP(Orders!E579,Sales_Reps!$A$2:$E$31,3,FALSE()),"Not Found")</f>
        <v>East</v>
      </c>
      <c r="G579" s="46" t="n">
        <f aca="false">IFERROR(VLOOKUP(Orders!D579,Products!$A$2:$F$61,4,FALSE()),"")</f>
        <v>2768</v>
      </c>
      <c r="H579" s="47" t="n">
        <f aca="false">IF(G579="","",(Orders!G579-G579)/Orders!G579)</f>
        <v>0.432786885245902</v>
      </c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</row>
    <row r="580" customFormat="false" ht="15" hidden="false" customHeight="false" outlineLevel="0" collapsed="false">
      <c r="A580" s="46" t="str">
        <f aca="false">Orders!A580</f>
        <v>ORD-00579</v>
      </c>
      <c r="B580" s="46" t="str">
        <f aca="false">PROPER(TRIM(Orders!K580))</f>
        <v>Chennai</v>
      </c>
      <c r="C580" s="46" t="str">
        <f aca="false">IFERROR(VLOOKUP(Orders!D580,Products!$A$2:$F$61,3,FALSE()),"Not Found")</f>
        <v>Grocery</v>
      </c>
      <c r="D580" s="46" t="str">
        <f aca="false">IFERROR(VLOOKUP(Orders!C580,Customers!$A$2:$F$301,5,FALSE()),"Not Found")</f>
        <v>Retail</v>
      </c>
      <c r="E580" s="46" t="n">
        <f aca="false">IFERROR(VLOOKUP(Orders!C580,Customers!$A$2:$F$301,3,FALSE()),"Not Found")</f>
        <v>32</v>
      </c>
      <c r="F580" s="46" t="str">
        <f aca="false">IFERROR(VLOOKUP(Orders!E580,Sales_Reps!$A$2:$E$31,3,FALSE()),"Not Found")</f>
        <v>East</v>
      </c>
      <c r="G580" s="46" t="n">
        <f aca="false">IFERROR(VLOOKUP(Orders!D580,Products!$A$2:$F$61,4,FALSE()),"")</f>
        <v>1412</v>
      </c>
      <c r="H580" s="47" t="n">
        <f aca="false">IF(G580="","",(Orders!G580-G580)/Orders!G580)</f>
        <v>0.377973568281938</v>
      </c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</row>
    <row r="581" customFormat="false" ht="15" hidden="false" customHeight="false" outlineLevel="0" collapsed="false">
      <c r="A581" s="46" t="str">
        <f aca="false">Orders!A581</f>
        <v>ORD-00580</v>
      </c>
      <c r="B581" s="46" t="str">
        <f aca="false">PROPER(TRIM(Orders!K581))</f>
        <v>Mumbai</v>
      </c>
      <c r="C581" s="46" t="str">
        <f aca="false">IFERROR(VLOOKUP(Orders!D581,Products!$A$2:$F$61,3,FALSE()),"Not Found")</f>
        <v>Grocery</v>
      </c>
      <c r="D581" s="46" t="str">
        <f aca="false">IFERROR(VLOOKUP(Orders!C581,Customers!$A$2:$F$301,5,FALSE()),"Not Found")</f>
        <v>Retail</v>
      </c>
      <c r="E581" s="46" t="n">
        <f aca="false">IFERROR(VLOOKUP(Orders!C581,Customers!$A$2:$F$301,3,FALSE()),"Not Found")</f>
        <v>65</v>
      </c>
      <c r="F581" s="46" t="str">
        <f aca="false">IFERROR(VLOOKUP(Orders!E581,Sales_Reps!$A$2:$E$31,3,FALSE()),"Not Found")</f>
        <v>North</v>
      </c>
      <c r="G581" s="46" t="n">
        <f aca="false">IFERROR(VLOOKUP(Orders!D581,Products!$A$2:$F$61,4,FALSE()),"")</f>
        <v>2911</v>
      </c>
      <c r="H581" s="47" t="n">
        <f aca="false">IF(G581="","",(Orders!G581-G581)/Orders!G581)</f>
        <v>0.283004926108374</v>
      </c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</row>
    <row r="582" customFormat="false" ht="15" hidden="false" customHeight="false" outlineLevel="0" collapsed="false">
      <c r="A582" s="46" t="str">
        <f aca="false">Orders!A582</f>
        <v>ORD-00581</v>
      </c>
      <c r="B582" s="46" t="str">
        <f aca="false">PROPER(TRIM(Orders!K582))</f>
        <v>Mumbai</v>
      </c>
      <c r="C582" s="46" t="str">
        <f aca="false">IFERROR(VLOOKUP(Orders!D582,Products!$A$2:$F$61,3,FALSE()),"Not Found")</f>
        <v>Electronics</v>
      </c>
      <c r="D582" s="46" t="str">
        <f aca="false">IFERROR(VLOOKUP(Orders!C582,Customers!$A$2:$F$301,5,FALSE()),"Not Found")</f>
        <v>Retail</v>
      </c>
      <c r="E582" s="46" t="n">
        <f aca="false">IFERROR(VLOOKUP(Orders!C582,Customers!$A$2:$F$301,3,FALSE()),"Not Found")</f>
        <v>53</v>
      </c>
      <c r="F582" s="46" t="str">
        <f aca="false">IFERROR(VLOOKUP(Orders!E582,Sales_Reps!$A$2:$E$31,3,FALSE()),"Not Found")</f>
        <v>North</v>
      </c>
      <c r="G582" s="46" t="n">
        <f aca="false">IFERROR(VLOOKUP(Orders!D582,Products!$A$2:$F$61,4,FALSE()),"")</f>
        <v>1149</v>
      </c>
      <c r="H582" s="47" t="n">
        <f aca="false">IF(G582="","",(Orders!G582-G582)/Orders!G582)</f>
        <v>0.564772727272727</v>
      </c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</row>
    <row r="583" customFormat="false" ht="15" hidden="false" customHeight="false" outlineLevel="0" collapsed="false">
      <c r="A583" s="46" t="str">
        <f aca="false">Orders!A583</f>
        <v>ORD-00582</v>
      </c>
      <c r="B583" s="46" t="str">
        <f aca="false">PROPER(TRIM(Orders!K583))</f>
        <v>Delhi</v>
      </c>
      <c r="C583" s="46" t="str">
        <f aca="false">IFERROR(VLOOKUP(Orders!D583,Products!$A$2:$F$61,3,FALSE()),"Not Found")</f>
        <v>Home</v>
      </c>
      <c r="D583" s="46" t="str">
        <f aca="false">IFERROR(VLOOKUP(Orders!C583,Customers!$A$2:$F$301,5,FALSE()),"Not Found")</f>
        <v>Retail</v>
      </c>
      <c r="E583" s="46" t="n">
        <f aca="false">IFERROR(VLOOKUP(Orders!C583,Customers!$A$2:$F$301,3,FALSE()),"Not Found")</f>
        <v>59</v>
      </c>
      <c r="F583" s="46" t="str">
        <f aca="false">IFERROR(VLOOKUP(Orders!E583,Sales_Reps!$A$2:$E$31,3,FALSE()),"Not Found")</f>
        <v>South</v>
      </c>
      <c r="G583" s="46" t="n">
        <f aca="false">IFERROR(VLOOKUP(Orders!D583,Products!$A$2:$F$61,4,FALSE()),"")</f>
        <v>2135</v>
      </c>
      <c r="H583" s="47" t="n">
        <f aca="false">IF(G583="","",(Orders!G583-G583)/Orders!G583)</f>
        <v>0.427613941018767</v>
      </c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</row>
    <row r="584" customFormat="false" ht="15" hidden="false" customHeight="false" outlineLevel="0" collapsed="false">
      <c r="A584" s="46" t="str">
        <f aca="false">Orders!A584</f>
        <v>ORD-00583</v>
      </c>
      <c r="B584" s="46" t="str">
        <f aca="false">PROPER(TRIM(Orders!K584))</f>
        <v>Delhi</v>
      </c>
      <c r="C584" s="46" t="str">
        <f aca="false">IFERROR(VLOOKUP(Orders!D584,Products!$A$2:$F$61,3,FALSE()),"Not Found")</f>
        <v>Electronics</v>
      </c>
      <c r="D584" s="46" t="str">
        <f aca="false">IFERROR(VLOOKUP(Orders!C584,Customers!$A$2:$F$301,5,FALSE()),"Not Found")</f>
        <v>Retail</v>
      </c>
      <c r="E584" s="46" t="n">
        <f aca="false">IFERROR(VLOOKUP(Orders!C584,Customers!$A$2:$F$301,3,FALSE()),"Not Found")</f>
        <v>59</v>
      </c>
      <c r="F584" s="46" t="str">
        <f aca="false">IFERROR(VLOOKUP(Orders!E584,Sales_Reps!$A$2:$E$31,3,FALSE()),"Not Found")</f>
        <v>North</v>
      </c>
      <c r="G584" s="46" t="n">
        <f aca="false">IFERROR(VLOOKUP(Orders!D584,Products!$A$2:$F$61,4,FALSE()),"")</f>
        <v>2405</v>
      </c>
      <c r="H584" s="47" t="n">
        <f aca="false">IF(G584="","",(Orders!G584-G584)/Orders!G584)</f>
        <v>0.548780487804878</v>
      </c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</row>
    <row r="585" customFormat="false" ht="15" hidden="false" customHeight="false" outlineLevel="0" collapsed="false">
      <c r="A585" s="46" t="str">
        <f aca="false">Orders!A585</f>
        <v>ORD-00584</v>
      </c>
      <c r="B585" s="46" t="str">
        <f aca="false">PROPER(TRIM(Orders!K585))</f>
        <v>Mumbai</v>
      </c>
      <c r="C585" s="46" t="str">
        <f aca="false">IFERROR(VLOOKUP(Orders!D585,Products!$A$2:$F$61,3,FALSE()),"Not Found")</f>
        <v>Apparel</v>
      </c>
      <c r="D585" s="46" t="str">
        <f aca="false">IFERROR(VLOOKUP(Orders!C585,Customers!$A$2:$F$301,5,FALSE()),"Not Found")</f>
        <v>Retail</v>
      </c>
      <c r="E585" s="46" t="n">
        <f aca="false">IFERROR(VLOOKUP(Orders!C585,Customers!$A$2:$F$301,3,FALSE()),"Not Found")</f>
        <v>33</v>
      </c>
      <c r="F585" s="46" t="str">
        <f aca="false">IFERROR(VLOOKUP(Orders!E585,Sales_Reps!$A$2:$E$31,3,FALSE()),"Not Found")</f>
        <v>West</v>
      </c>
      <c r="G585" s="46" t="n">
        <f aca="false">IFERROR(VLOOKUP(Orders!D585,Products!$A$2:$F$61,4,FALSE()),"")</f>
        <v>1748</v>
      </c>
      <c r="H585" s="47" t="n">
        <f aca="false">IF(G585="","",(Orders!G585-G585)/Orders!G585)</f>
        <v>0.493333333333333</v>
      </c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</row>
    <row r="586" customFormat="false" ht="15" hidden="false" customHeight="false" outlineLevel="0" collapsed="false">
      <c r="A586" s="46" t="str">
        <f aca="false">Orders!A586</f>
        <v>ORD-00585</v>
      </c>
      <c r="B586" s="46" t="str">
        <f aca="false">PROPER(TRIM(Orders!K586))</f>
        <v>Bengaluru</v>
      </c>
      <c r="C586" s="46" t="str">
        <f aca="false">IFERROR(VLOOKUP(Orders!D586,Products!$A$2:$F$61,3,FALSE()),"Not Found")</f>
        <v>Beauty</v>
      </c>
      <c r="D586" s="46" t="str">
        <f aca="false">IFERROR(VLOOKUP(Orders!C586,Customers!$A$2:$F$301,5,FALSE()),"Not Found")</f>
        <v>Corporate</v>
      </c>
      <c r="E586" s="46" t="n">
        <f aca="false">IFERROR(VLOOKUP(Orders!C586,Customers!$A$2:$F$301,3,FALSE()),"Not Found")</f>
        <v>55</v>
      </c>
      <c r="F586" s="46" t="str">
        <f aca="false">IFERROR(VLOOKUP(Orders!E586,Sales_Reps!$A$2:$E$31,3,FALSE()),"Not Found")</f>
        <v>East</v>
      </c>
      <c r="G586" s="46" t="n">
        <f aca="false">IFERROR(VLOOKUP(Orders!D586,Products!$A$2:$F$61,4,FALSE()),"")</f>
        <v>2617</v>
      </c>
      <c r="H586" s="47" t="n">
        <f aca="false">IF(G586="","",(Orders!G586-G586)/Orders!G586)</f>
        <v>0.569572368421053</v>
      </c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</row>
    <row r="587" customFormat="false" ht="15" hidden="false" customHeight="false" outlineLevel="0" collapsed="false">
      <c r="A587" s="46" t="str">
        <f aca="false">Orders!A587</f>
        <v>ORD-00586</v>
      </c>
      <c r="B587" s="46" t="str">
        <f aca="false">PROPER(TRIM(Orders!K587))</f>
        <v>Bengaluru</v>
      </c>
      <c r="C587" s="46" t="str">
        <f aca="false">IFERROR(VLOOKUP(Orders!D587,Products!$A$2:$F$61,3,FALSE()),"Not Found")</f>
        <v>Home</v>
      </c>
      <c r="D587" s="46" t="str">
        <f aca="false">IFERROR(VLOOKUP(Orders!C587,Customers!$A$2:$F$301,5,FALSE()),"Not Found")</f>
        <v>Retail</v>
      </c>
      <c r="E587" s="46" t="n">
        <f aca="false">IFERROR(VLOOKUP(Orders!C587,Customers!$A$2:$F$301,3,FALSE()),"Not Found")</f>
        <v>42</v>
      </c>
      <c r="F587" s="46" t="str">
        <f aca="false">IFERROR(VLOOKUP(Orders!E587,Sales_Reps!$A$2:$E$31,3,FALSE()),"Not Found")</f>
        <v>North</v>
      </c>
      <c r="G587" s="46" t="n">
        <f aca="false">IFERROR(VLOOKUP(Orders!D587,Products!$A$2:$F$61,4,FALSE()),"")</f>
        <v>2135</v>
      </c>
      <c r="H587" s="47" t="n">
        <f aca="false">IF(G587="","",(Orders!G587-G587)/Orders!G587)</f>
        <v>0.427613941018767</v>
      </c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</row>
    <row r="588" customFormat="false" ht="15" hidden="false" customHeight="false" outlineLevel="0" collapsed="false">
      <c r="A588" s="46" t="str">
        <f aca="false">Orders!A588</f>
        <v>ORD-00587</v>
      </c>
      <c r="B588" s="46" t="str">
        <f aca="false">PROPER(TRIM(Orders!K588))</f>
        <v>Chennai</v>
      </c>
      <c r="C588" s="46" t="str">
        <f aca="false">IFERROR(VLOOKUP(Orders!D588,Products!$A$2:$F$61,3,FALSE()),"Not Found")</f>
        <v>Electronics</v>
      </c>
      <c r="D588" s="46" t="str">
        <f aca="false">IFERROR(VLOOKUP(Orders!C588,Customers!$A$2:$F$301,5,FALSE()),"Not Found")</f>
        <v>Retail</v>
      </c>
      <c r="E588" s="46" t="n">
        <f aca="false">IFERROR(VLOOKUP(Orders!C588,Customers!$A$2:$F$301,3,FALSE()),"Not Found")</f>
        <v>41</v>
      </c>
      <c r="F588" s="46" t="str">
        <f aca="false">IFERROR(VLOOKUP(Orders!E588,Sales_Reps!$A$2:$E$31,3,FALSE()),"Not Found")</f>
        <v>East</v>
      </c>
      <c r="G588" s="46" t="n">
        <f aca="false">IFERROR(VLOOKUP(Orders!D588,Products!$A$2:$F$61,4,FALSE()),"")</f>
        <v>1259</v>
      </c>
      <c r="H588" s="47" t="n">
        <f aca="false">IF(G588="","",(Orders!G588-G588)/Orders!G588)</f>
        <v>0.526691729323308</v>
      </c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</row>
    <row r="589" customFormat="false" ht="15" hidden="false" customHeight="false" outlineLevel="0" collapsed="false">
      <c r="A589" s="46" t="str">
        <f aca="false">Orders!A589</f>
        <v>ORD-00588</v>
      </c>
      <c r="B589" s="46" t="str">
        <f aca="false">PROPER(TRIM(Orders!K589))</f>
        <v>Hyderabad</v>
      </c>
      <c r="C589" s="46" t="str">
        <f aca="false">IFERROR(VLOOKUP(Orders!D589,Products!$A$2:$F$61,3,FALSE()),"Not Found")</f>
        <v>Grocery</v>
      </c>
      <c r="D589" s="46" t="str">
        <f aca="false">IFERROR(VLOOKUP(Orders!C589,Customers!$A$2:$F$301,5,FALSE()),"Not Found")</f>
        <v>SMB</v>
      </c>
      <c r="E589" s="46" t="n">
        <f aca="false">IFERROR(VLOOKUP(Orders!C589,Customers!$A$2:$F$301,3,FALSE()),"Not Found")</f>
        <v>40</v>
      </c>
      <c r="F589" s="46" t="str">
        <f aca="false">IFERROR(VLOOKUP(Orders!E589,Sales_Reps!$A$2:$E$31,3,FALSE()),"Not Found")</f>
        <v>East</v>
      </c>
      <c r="G589" s="46" t="n">
        <f aca="false">IFERROR(VLOOKUP(Orders!D589,Products!$A$2:$F$61,4,FALSE()),"")</f>
        <v>1010</v>
      </c>
      <c r="H589" s="47" t="n">
        <f aca="false">IF(G589="","",(Orders!G589-G589)/Orders!G589)</f>
        <v>0.542986425339367</v>
      </c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</row>
    <row r="590" customFormat="false" ht="15" hidden="false" customHeight="false" outlineLevel="0" collapsed="false">
      <c r="A590" s="46" t="str">
        <f aca="false">Orders!A590</f>
        <v>ORD-00589</v>
      </c>
      <c r="B590" s="46" t="str">
        <f aca="false">PROPER(TRIM(Orders!K590))</f>
        <v>Pune</v>
      </c>
      <c r="C590" s="46" t="str">
        <f aca="false">IFERROR(VLOOKUP(Orders!D590,Products!$A$2:$F$61,3,FALSE()),"Not Found")</f>
        <v>Sports</v>
      </c>
      <c r="D590" s="46" t="str">
        <f aca="false">IFERROR(VLOOKUP(Orders!C590,Customers!$A$2:$F$301,5,FALSE()),"Not Found")</f>
        <v>SMB</v>
      </c>
      <c r="E590" s="46" t="n">
        <f aca="false">IFERROR(VLOOKUP(Orders!C590,Customers!$A$2:$F$301,3,FALSE()),"Not Found")</f>
        <v>44</v>
      </c>
      <c r="F590" s="46" t="str">
        <f aca="false">IFERROR(VLOOKUP(Orders!E590,Sales_Reps!$A$2:$E$31,3,FALSE()),"Not Found")</f>
        <v>South</v>
      </c>
      <c r="G590" s="46" t="n">
        <f aca="false">IFERROR(VLOOKUP(Orders!D590,Products!$A$2:$F$61,4,FALSE()),"")</f>
        <v>1860</v>
      </c>
      <c r="H590" s="47" t="n">
        <f aca="false">IF(G590="","",(Orders!G590-G590)/Orders!G590)</f>
        <v>0.507936507936508</v>
      </c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</row>
    <row r="591" customFormat="false" ht="15" hidden="false" customHeight="false" outlineLevel="0" collapsed="false">
      <c r="A591" s="46" t="str">
        <f aca="false">Orders!A591</f>
        <v>ORD-00590</v>
      </c>
      <c r="B591" s="46" t="str">
        <f aca="false">PROPER(TRIM(Orders!K591))</f>
        <v>Chennai</v>
      </c>
      <c r="C591" s="46" t="str">
        <f aca="false">IFERROR(VLOOKUP(Orders!D591,Products!$A$2:$F$61,3,FALSE()),"Not Found")</f>
        <v>Home</v>
      </c>
      <c r="D591" s="46" t="str">
        <f aca="false">IFERROR(VLOOKUP(Orders!C591,Customers!$A$2:$F$301,5,FALSE()),"Not Found")</f>
        <v>Retail</v>
      </c>
      <c r="E591" s="46" t="n">
        <f aca="false">IFERROR(VLOOKUP(Orders!C591,Customers!$A$2:$F$301,3,FALSE()),"Not Found")</f>
        <v>31</v>
      </c>
      <c r="F591" s="46" t="str">
        <f aca="false">IFERROR(VLOOKUP(Orders!E591,Sales_Reps!$A$2:$E$31,3,FALSE()),"Not Found")</f>
        <v>West</v>
      </c>
      <c r="G591" s="46" t="n">
        <f aca="false">IFERROR(VLOOKUP(Orders!D591,Products!$A$2:$F$61,4,FALSE()),"")</f>
        <v>2549</v>
      </c>
      <c r="H591" s="47" t="n">
        <f aca="false">IF(G591="","",(Orders!G591-G591)/Orders!G591)</f>
        <v>0.535701275045537</v>
      </c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</row>
    <row r="592" customFormat="false" ht="15" hidden="false" customHeight="false" outlineLevel="0" collapsed="false">
      <c r="A592" s="46" t="str">
        <f aca="false">Orders!A592</f>
        <v>ORD-00591</v>
      </c>
      <c r="B592" s="46" t="str">
        <f aca="false">PROPER(TRIM(Orders!K592))</f>
        <v>Chennai</v>
      </c>
      <c r="C592" s="46" t="str">
        <f aca="false">IFERROR(VLOOKUP(Orders!D592,Products!$A$2:$F$61,3,FALSE()),"Not Found")</f>
        <v>Electronics</v>
      </c>
      <c r="D592" s="46" t="str">
        <f aca="false">IFERROR(VLOOKUP(Orders!C592,Customers!$A$2:$F$301,5,FALSE()),"Not Found")</f>
        <v>SMB</v>
      </c>
      <c r="E592" s="46" t="n">
        <f aca="false">IFERROR(VLOOKUP(Orders!C592,Customers!$A$2:$F$301,3,FALSE()),"Not Found")</f>
        <v>39</v>
      </c>
      <c r="F592" s="46" t="str">
        <f aca="false">IFERROR(VLOOKUP(Orders!E592,Sales_Reps!$A$2:$E$31,3,FALSE()),"Not Found")</f>
        <v>South</v>
      </c>
      <c r="G592" s="46" t="n">
        <f aca="false">IFERROR(VLOOKUP(Orders!D592,Products!$A$2:$F$61,4,FALSE()),"")</f>
        <v>1259</v>
      </c>
      <c r="H592" s="47" t="n">
        <f aca="false">IF(G592="","",(Orders!G592-G592)/Orders!G592)</f>
        <v>0.526691729323308</v>
      </c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</row>
    <row r="593" customFormat="false" ht="15" hidden="false" customHeight="false" outlineLevel="0" collapsed="false">
      <c r="A593" s="46" t="str">
        <f aca="false">Orders!A593</f>
        <v>ORD-00592</v>
      </c>
      <c r="B593" s="46" t="str">
        <f aca="false">PROPER(TRIM(Orders!K593))</f>
        <v>Bengaluru</v>
      </c>
      <c r="C593" s="46" t="str">
        <f aca="false">IFERROR(VLOOKUP(Orders!D593,Products!$A$2:$F$61,3,FALSE()),"Not Found")</f>
        <v>Sports</v>
      </c>
      <c r="D593" s="46" t="str">
        <f aca="false">IFERROR(VLOOKUP(Orders!C593,Customers!$A$2:$F$301,5,FALSE()),"Not Found")</f>
        <v>Retail</v>
      </c>
      <c r="E593" s="46" t="n">
        <f aca="false">IFERROR(VLOOKUP(Orders!C593,Customers!$A$2:$F$301,3,FALSE()),"Not Found")</f>
        <v>59</v>
      </c>
      <c r="F593" s="46" t="str">
        <f aca="false">IFERROR(VLOOKUP(Orders!E593,Sales_Reps!$A$2:$E$31,3,FALSE()),"Not Found")</f>
        <v>West</v>
      </c>
      <c r="G593" s="46" t="n">
        <f aca="false">IFERROR(VLOOKUP(Orders!D593,Products!$A$2:$F$61,4,FALSE()),"")</f>
        <v>2827</v>
      </c>
      <c r="H593" s="47" t="n">
        <f aca="false">IF(G593="","",(Orders!G593-G593)/Orders!G593)</f>
        <v>0.592651296829971</v>
      </c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</row>
    <row r="594" customFormat="false" ht="15" hidden="false" customHeight="false" outlineLevel="0" collapsed="false">
      <c r="A594" s="46" t="str">
        <f aca="false">Orders!A594</f>
        <v>ORD-00593</v>
      </c>
      <c r="B594" s="46" t="str">
        <f aca="false">PROPER(TRIM(Orders!K594))</f>
        <v>Pune</v>
      </c>
      <c r="C594" s="46" t="str">
        <f aca="false">IFERROR(VLOOKUP(Orders!D594,Products!$A$2:$F$61,3,FALSE()),"Not Found")</f>
        <v>Electronics</v>
      </c>
      <c r="D594" s="46" t="str">
        <f aca="false">IFERROR(VLOOKUP(Orders!C594,Customers!$A$2:$F$301,5,FALSE()),"Not Found")</f>
        <v>Corporate</v>
      </c>
      <c r="E594" s="46" t="n">
        <f aca="false">IFERROR(VLOOKUP(Orders!C594,Customers!$A$2:$F$301,3,FALSE()),"Not Found")</f>
        <v>47</v>
      </c>
      <c r="F594" s="46" t="str">
        <f aca="false">IFERROR(VLOOKUP(Orders!E594,Sales_Reps!$A$2:$E$31,3,FALSE()),"Not Found")</f>
        <v>North</v>
      </c>
      <c r="G594" s="46" t="n">
        <f aca="false">IFERROR(VLOOKUP(Orders!D594,Products!$A$2:$F$61,4,FALSE()),"")</f>
        <v>1559</v>
      </c>
      <c r="H594" s="47" t="n">
        <f aca="false">IF(G594="","",(Orders!G594-G594)/Orders!G594)</f>
        <v>0.597157622739018</v>
      </c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</row>
    <row r="595" customFormat="false" ht="15" hidden="false" customHeight="false" outlineLevel="0" collapsed="false">
      <c r="A595" s="46" t="str">
        <f aca="false">Orders!A595</f>
        <v>ORD-00594</v>
      </c>
      <c r="B595" s="46" t="str">
        <f aca="false">PROPER(TRIM(Orders!K595))</f>
        <v>Hyderabad</v>
      </c>
      <c r="C595" s="46" t="str">
        <f aca="false">IFERROR(VLOOKUP(Orders!D595,Products!$A$2:$F$61,3,FALSE()),"Not Found")</f>
        <v>Home</v>
      </c>
      <c r="D595" s="46" t="str">
        <f aca="false">IFERROR(VLOOKUP(Orders!C595,Customers!$A$2:$F$301,5,FALSE()),"Not Found")</f>
        <v>Retail</v>
      </c>
      <c r="E595" s="46" t="n">
        <f aca="false">IFERROR(VLOOKUP(Orders!C595,Customers!$A$2:$F$301,3,FALSE()),"Not Found")</f>
        <v>41</v>
      </c>
      <c r="F595" s="46" t="str">
        <f aca="false">IFERROR(VLOOKUP(Orders!E595,Sales_Reps!$A$2:$E$31,3,FALSE()),"Not Found")</f>
        <v>North</v>
      </c>
      <c r="G595" s="46" t="n">
        <f aca="false">IFERROR(VLOOKUP(Orders!D595,Products!$A$2:$F$61,4,FALSE()),"")</f>
        <v>464</v>
      </c>
      <c r="H595" s="47" t="n">
        <f aca="false">IF(G595="","",(Orders!G595-G595)/Orders!G595)</f>
        <v>0.574311926605505</v>
      </c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</row>
    <row r="596" customFormat="false" ht="15" hidden="false" customHeight="false" outlineLevel="0" collapsed="false">
      <c r="A596" s="46" t="str">
        <f aca="false">Orders!A596</f>
        <v>ORD-00595</v>
      </c>
      <c r="B596" s="46" t="str">
        <f aca="false">PROPER(TRIM(Orders!K596))</f>
        <v>Mumbai</v>
      </c>
      <c r="C596" s="46" t="str">
        <f aca="false">IFERROR(VLOOKUP(Orders!D596,Products!$A$2:$F$61,3,FALSE()),"Not Found")</f>
        <v>Electronics</v>
      </c>
      <c r="D596" s="46" t="str">
        <f aca="false">IFERROR(VLOOKUP(Orders!C596,Customers!$A$2:$F$301,5,FALSE()),"Not Found")</f>
        <v>Retail</v>
      </c>
      <c r="E596" s="46" t="n">
        <f aca="false">IFERROR(VLOOKUP(Orders!C596,Customers!$A$2:$F$301,3,FALSE()),"Not Found")</f>
        <v>61</v>
      </c>
      <c r="F596" s="46" t="str">
        <f aca="false">IFERROR(VLOOKUP(Orders!E596,Sales_Reps!$A$2:$E$31,3,FALSE()),"Not Found")</f>
        <v>North</v>
      </c>
      <c r="G596" s="46" t="n">
        <f aca="false">IFERROR(VLOOKUP(Orders!D596,Products!$A$2:$F$61,4,FALSE()),"")</f>
        <v>1052</v>
      </c>
      <c r="H596" s="47" t="n">
        <f aca="false">IF(G596="","",(Orders!G596-G596)/Orders!G596)</f>
        <v>0.595384615384615</v>
      </c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</row>
    <row r="597" customFormat="false" ht="15" hidden="false" customHeight="false" outlineLevel="0" collapsed="false">
      <c r="A597" s="46" t="str">
        <f aca="false">Orders!A597</f>
        <v>ORD-00596</v>
      </c>
      <c r="B597" s="46" t="str">
        <f aca="false">PROPER(TRIM(Orders!K597))</f>
        <v>Pune</v>
      </c>
      <c r="C597" s="46" t="str">
        <f aca="false">IFERROR(VLOOKUP(Orders!D597,Products!$A$2:$F$61,3,FALSE()),"Not Found")</f>
        <v>Sports</v>
      </c>
      <c r="D597" s="46" t="str">
        <f aca="false">IFERROR(VLOOKUP(Orders!C597,Customers!$A$2:$F$301,5,FALSE()),"Not Found")</f>
        <v>SMB</v>
      </c>
      <c r="E597" s="46" t="n">
        <f aca="false">IFERROR(VLOOKUP(Orders!C597,Customers!$A$2:$F$301,3,FALSE()),"Not Found")</f>
        <v>59</v>
      </c>
      <c r="F597" s="46" t="str">
        <f aca="false">IFERROR(VLOOKUP(Orders!E597,Sales_Reps!$A$2:$E$31,3,FALSE()),"Not Found")</f>
        <v>East</v>
      </c>
      <c r="G597" s="46" t="n">
        <f aca="false">IFERROR(VLOOKUP(Orders!D597,Products!$A$2:$F$61,4,FALSE()),"")</f>
        <v>705</v>
      </c>
      <c r="H597" s="47" t="n">
        <f aca="false">IF(G597="","",(Orders!G597-G597)/Orders!G597)</f>
        <v>0.265625</v>
      </c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</row>
    <row r="598" customFormat="false" ht="15" hidden="false" customHeight="false" outlineLevel="0" collapsed="false">
      <c r="A598" s="46" t="str">
        <f aca="false">Orders!A598</f>
        <v>ORD-00597</v>
      </c>
      <c r="B598" s="46" t="str">
        <f aca="false">PROPER(TRIM(Orders!K598))</f>
        <v>Mumbai</v>
      </c>
      <c r="C598" s="46" t="str">
        <f aca="false">IFERROR(VLOOKUP(Orders!D598,Products!$A$2:$F$61,3,FALSE()),"Not Found")</f>
        <v>Home</v>
      </c>
      <c r="D598" s="46" t="str">
        <f aca="false">IFERROR(VLOOKUP(Orders!C598,Customers!$A$2:$F$301,5,FALSE()),"Not Found")</f>
        <v>Retail</v>
      </c>
      <c r="E598" s="46" t="n">
        <f aca="false">IFERROR(VLOOKUP(Orders!C598,Customers!$A$2:$F$301,3,FALSE()),"Not Found")</f>
        <v>54</v>
      </c>
      <c r="F598" s="46" t="str">
        <f aca="false">IFERROR(VLOOKUP(Orders!E598,Sales_Reps!$A$2:$E$31,3,FALSE()),"Not Found")</f>
        <v>West</v>
      </c>
      <c r="G598" s="46" t="n">
        <f aca="false">IFERROR(VLOOKUP(Orders!D598,Products!$A$2:$F$61,4,FALSE()),"")</f>
        <v>288</v>
      </c>
      <c r="H598" s="47" t="n">
        <f aca="false">IF(G598="","",(Orders!G598-G598)/Orders!G598)</f>
        <v>0.221621621621622</v>
      </c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</row>
    <row r="599" customFormat="false" ht="15" hidden="false" customHeight="false" outlineLevel="0" collapsed="false">
      <c r="A599" s="46" t="str">
        <f aca="false">Orders!A599</f>
        <v>ORD-00598</v>
      </c>
      <c r="B599" s="46" t="str">
        <f aca="false">PROPER(TRIM(Orders!K599))</f>
        <v>Bengaluru</v>
      </c>
      <c r="C599" s="46" t="str">
        <f aca="false">IFERROR(VLOOKUP(Orders!D599,Products!$A$2:$F$61,3,FALSE()),"Not Found")</f>
        <v>Home</v>
      </c>
      <c r="D599" s="46" t="str">
        <f aca="false">IFERROR(VLOOKUP(Orders!C599,Customers!$A$2:$F$301,5,FALSE()),"Not Found")</f>
        <v>SMB</v>
      </c>
      <c r="E599" s="46" t="n">
        <f aca="false">IFERROR(VLOOKUP(Orders!C599,Customers!$A$2:$F$301,3,FALSE()),"Not Found")</f>
        <v>34</v>
      </c>
      <c r="F599" s="46" t="str">
        <f aca="false">IFERROR(VLOOKUP(Orders!E599,Sales_Reps!$A$2:$E$31,3,FALSE()),"Not Found")</f>
        <v>North</v>
      </c>
      <c r="G599" s="46" t="n">
        <f aca="false">IFERROR(VLOOKUP(Orders!D599,Products!$A$2:$F$61,4,FALSE()),"")</f>
        <v>2459</v>
      </c>
      <c r="H599" s="47" t="n">
        <f aca="false">IF(G599="","",(Orders!G599-G599)/Orders!G599)</f>
        <v>0.515944881889764</v>
      </c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</row>
    <row r="600" customFormat="false" ht="15" hidden="false" customHeight="false" outlineLevel="0" collapsed="false">
      <c r="A600" s="46" t="str">
        <f aca="false">Orders!A600</f>
        <v>ORD-00599</v>
      </c>
      <c r="B600" s="46" t="str">
        <f aca="false">PROPER(TRIM(Orders!K600))</f>
        <v>Pune</v>
      </c>
      <c r="C600" s="46" t="str">
        <f aca="false">IFERROR(VLOOKUP(Orders!D600,Products!$A$2:$F$61,3,FALSE()),"Not Found")</f>
        <v>Beauty</v>
      </c>
      <c r="D600" s="46" t="str">
        <f aca="false">IFERROR(VLOOKUP(Orders!C600,Customers!$A$2:$F$301,5,FALSE()),"Not Found")</f>
        <v>Retail</v>
      </c>
      <c r="E600" s="46" t="n">
        <f aca="false">IFERROR(VLOOKUP(Orders!C600,Customers!$A$2:$F$301,3,FALSE()),"Not Found")</f>
        <v>62</v>
      </c>
      <c r="F600" s="46" t="str">
        <f aca="false">IFERROR(VLOOKUP(Orders!E600,Sales_Reps!$A$2:$E$31,3,FALSE()),"Not Found")</f>
        <v>North</v>
      </c>
      <c r="G600" s="46" t="n">
        <f aca="false">IFERROR(VLOOKUP(Orders!D600,Products!$A$2:$F$61,4,FALSE()),"")</f>
        <v>647</v>
      </c>
      <c r="H600" s="47" t="n">
        <f aca="false">IF(G600="","",(Orders!G600-G600)/Orders!G600)</f>
        <v>0.57987012987013</v>
      </c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</row>
    <row r="601" customFormat="false" ht="15" hidden="false" customHeight="false" outlineLevel="0" collapsed="false">
      <c r="A601" s="46" t="str">
        <f aca="false">Orders!A601</f>
        <v>ORD-00600</v>
      </c>
      <c r="B601" s="46" t="str">
        <f aca="false">PROPER(TRIM(Orders!K601))</f>
        <v>Mumbai</v>
      </c>
      <c r="C601" s="46" t="str">
        <f aca="false">IFERROR(VLOOKUP(Orders!D601,Products!$A$2:$F$61,3,FALSE()),"Not Found")</f>
        <v>Grocery</v>
      </c>
      <c r="D601" s="46" t="str">
        <f aca="false">IFERROR(VLOOKUP(Orders!C601,Customers!$A$2:$F$301,5,FALSE()),"Not Found")</f>
        <v>Retail</v>
      </c>
      <c r="E601" s="46" t="n">
        <f aca="false">IFERROR(VLOOKUP(Orders!C601,Customers!$A$2:$F$301,3,FALSE()),"Not Found")</f>
        <v>37</v>
      </c>
      <c r="F601" s="46" t="str">
        <f aca="false">IFERROR(VLOOKUP(Orders!E601,Sales_Reps!$A$2:$E$31,3,FALSE()),"Not Found")</f>
        <v>South</v>
      </c>
      <c r="G601" s="46" t="n">
        <f aca="false">IFERROR(VLOOKUP(Orders!D601,Products!$A$2:$F$61,4,FALSE()),"")</f>
        <v>1203</v>
      </c>
      <c r="H601" s="47" t="n">
        <f aca="false">IF(G601="","",(Orders!G601-G601)/Orders!G601)</f>
        <v>0.470044052863436</v>
      </c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</row>
    <row r="602" customFormat="false" ht="15" hidden="false" customHeight="false" outlineLevel="0" collapsed="false">
      <c r="A602" s="46" t="str">
        <f aca="false">Orders!A602</f>
        <v>ORD-00601</v>
      </c>
      <c r="B602" s="46" t="str">
        <f aca="false">PROPER(TRIM(Orders!K602))</f>
        <v>Hyderabad</v>
      </c>
      <c r="C602" s="46" t="str">
        <f aca="false">IFERROR(VLOOKUP(Orders!D602,Products!$A$2:$F$61,3,FALSE()),"Not Found")</f>
        <v>Sports</v>
      </c>
      <c r="D602" s="46" t="str">
        <f aca="false">IFERROR(VLOOKUP(Orders!C602,Customers!$A$2:$F$301,5,FALSE()),"Not Found")</f>
        <v>Retail</v>
      </c>
      <c r="E602" s="46" t="n">
        <f aca="false">IFERROR(VLOOKUP(Orders!C602,Customers!$A$2:$F$301,3,FALSE()),"Not Found")</f>
        <v>52</v>
      </c>
      <c r="F602" s="46" t="str">
        <f aca="false">IFERROR(VLOOKUP(Orders!E602,Sales_Reps!$A$2:$E$31,3,FALSE()),"Not Found")</f>
        <v>South</v>
      </c>
      <c r="G602" s="46" t="n">
        <f aca="false">IFERROR(VLOOKUP(Orders!D602,Products!$A$2:$F$61,4,FALSE()),"")</f>
        <v>705</v>
      </c>
      <c r="H602" s="47" t="n">
        <f aca="false">IF(G602="","",(Orders!G602-G602)/Orders!G602)</f>
        <v>0.265625</v>
      </c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</row>
    <row r="603" customFormat="false" ht="15" hidden="false" customHeight="false" outlineLevel="0" collapsed="false">
      <c r="A603" s="46" t="str">
        <f aca="false">Orders!A603</f>
        <v>ORD-00602</v>
      </c>
      <c r="B603" s="46" t="str">
        <f aca="false">PROPER(TRIM(Orders!K603))</f>
        <v>Pune</v>
      </c>
      <c r="C603" s="46" t="str">
        <f aca="false">IFERROR(VLOOKUP(Orders!D603,Products!$A$2:$F$61,3,FALSE()),"Not Found")</f>
        <v>Electronics</v>
      </c>
      <c r="D603" s="46" t="str">
        <f aca="false">IFERROR(VLOOKUP(Orders!C603,Customers!$A$2:$F$301,5,FALSE()),"Not Found")</f>
        <v>SMB</v>
      </c>
      <c r="E603" s="46" t="n">
        <f aca="false">IFERROR(VLOOKUP(Orders!C603,Customers!$A$2:$F$301,3,FALSE()),"Not Found")</f>
        <v>53</v>
      </c>
      <c r="F603" s="46" t="str">
        <f aca="false">IFERROR(VLOOKUP(Orders!E603,Sales_Reps!$A$2:$E$31,3,FALSE()),"Not Found")</f>
        <v>West</v>
      </c>
      <c r="G603" s="46" t="n">
        <f aca="false">IFERROR(VLOOKUP(Orders!D603,Products!$A$2:$F$61,4,FALSE()),"")</f>
        <v>861</v>
      </c>
      <c r="H603" s="47" t="n">
        <f aca="false">IF(G603="","",(Orders!G603-G603)/Orders!G603)</f>
        <v>0.397902097902098</v>
      </c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</row>
    <row r="604" customFormat="false" ht="15" hidden="false" customHeight="false" outlineLevel="0" collapsed="false">
      <c r="A604" s="46" t="str">
        <f aca="false">Orders!A604</f>
        <v>ORD-00603</v>
      </c>
      <c r="B604" s="46" t="str">
        <f aca="false">PROPER(TRIM(Orders!K604))</f>
        <v>Hyderabad</v>
      </c>
      <c r="C604" s="46" t="str">
        <f aca="false">IFERROR(VLOOKUP(Orders!D604,Products!$A$2:$F$61,3,FALSE()),"Not Found")</f>
        <v>Beauty</v>
      </c>
      <c r="D604" s="46" t="str">
        <f aca="false">IFERROR(VLOOKUP(Orders!C604,Customers!$A$2:$F$301,5,FALSE()),"Not Found")</f>
        <v>Retail</v>
      </c>
      <c r="E604" s="46" t="n">
        <f aca="false">IFERROR(VLOOKUP(Orders!C604,Customers!$A$2:$F$301,3,FALSE()),"Not Found")</f>
        <v>29</v>
      </c>
      <c r="F604" s="46" t="str">
        <f aca="false">IFERROR(VLOOKUP(Orders!E604,Sales_Reps!$A$2:$E$31,3,FALSE()),"Not Found")</f>
        <v>North</v>
      </c>
      <c r="G604" s="46" t="n">
        <f aca="false">IFERROR(VLOOKUP(Orders!D604,Products!$A$2:$F$61,4,FALSE()),"")</f>
        <v>2420</v>
      </c>
      <c r="H604" s="47" t="n">
        <f aca="false">IF(G604="","",(Orders!G604-G604)/Orders!G604)</f>
        <v>0.298550724637681</v>
      </c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</row>
    <row r="605" customFormat="false" ht="15" hidden="false" customHeight="false" outlineLevel="0" collapsed="false">
      <c r="A605" s="46" t="str">
        <f aca="false">Orders!A605</f>
        <v>ORD-00604</v>
      </c>
      <c r="B605" s="46" t="str">
        <f aca="false">PROPER(TRIM(Orders!K605))</f>
        <v>Pune</v>
      </c>
      <c r="C605" s="46" t="str">
        <f aca="false">IFERROR(VLOOKUP(Orders!D605,Products!$A$2:$F$61,3,FALSE()),"Not Found")</f>
        <v>Electronics</v>
      </c>
      <c r="D605" s="46" t="str">
        <f aca="false">IFERROR(VLOOKUP(Orders!C605,Customers!$A$2:$F$301,5,FALSE()),"Not Found")</f>
        <v>SMB</v>
      </c>
      <c r="E605" s="46" t="n">
        <f aca="false">IFERROR(VLOOKUP(Orders!C605,Customers!$A$2:$F$301,3,FALSE()),"Not Found")</f>
        <v>30</v>
      </c>
      <c r="F605" s="46" t="str">
        <f aca="false">IFERROR(VLOOKUP(Orders!E605,Sales_Reps!$A$2:$E$31,3,FALSE()),"Not Found")</f>
        <v>West</v>
      </c>
      <c r="G605" s="46" t="n">
        <f aca="false">IFERROR(VLOOKUP(Orders!D605,Products!$A$2:$F$61,4,FALSE()),"")</f>
        <v>517</v>
      </c>
      <c r="H605" s="47" t="n">
        <f aca="false">IF(G605="","",(Orders!G605-G605)/Orders!G605)</f>
        <v>0.576229508196721</v>
      </c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</row>
    <row r="606" customFormat="false" ht="15" hidden="false" customHeight="false" outlineLevel="0" collapsed="false">
      <c r="A606" s="46" t="str">
        <f aca="false">Orders!A606</f>
        <v>ORD-00605</v>
      </c>
      <c r="B606" s="46" t="str">
        <f aca="false">PROPER(TRIM(Orders!K606))</f>
        <v>Delhi</v>
      </c>
      <c r="C606" s="46" t="str">
        <f aca="false">IFERROR(VLOOKUP(Orders!D606,Products!$A$2:$F$61,3,FALSE()),"Not Found")</f>
        <v>Grocery</v>
      </c>
      <c r="D606" s="46" t="str">
        <f aca="false">IFERROR(VLOOKUP(Orders!C606,Customers!$A$2:$F$301,5,FALSE()),"Not Found")</f>
        <v>Retail</v>
      </c>
      <c r="E606" s="46" t="n">
        <f aca="false">IFERROR(VLOOKUP(Orders!C606,Customers!$A$2:$F$301,3,FALSE()),"Not Found")</f>
        <v>47</v>
      </c>
      <c r="F606" s="46" t="str">
        <f aca="false">IFERROR(VLOOKUP(Orders!E606,Sales_Reps!$A$2:$E$31,3,FALSE()),"Not Found")</f>
        <v>East</v>
      </c>
      <c r="G606" s="46" t="n">
        <f aca="false">IFERROR(VLOOKUP(Orders!D606,Products!$A$2:$F$61,4,FALSE()),"")</f>
        <v>1435</v>
      </c>
      <c r="H606" s="47" t="n">
        <f aca="false">IF(G606="","",(Orders!G606-G606)/Orders!G606)</f>
        <v>0.480072463768116</v>
      </c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</row>
    <row r="607" customFormat="false" ht="15" hidden="false" customHeight="false" outlineLevel="0" collapsed="false">
      <c r="A607" s="46" t="str">
        <f aca="false">Orders!A607</f>
        <v>ORD-00606</v>
      </c>
      <c r="B607" s="46" t="str">
        <f aca="false">PROPER(TRIM(Orders!K607))</f>
        <v>Mumbai</v>
      </c>
      <c r="C607" s="46" t="str">
        <f aca="false">IFERROR(VLOOKUP(Orders!D607,Products!$A$2:$F$61,3,FALSE()),"Not Found")</f>
        <v>Beauty</v>
      </c>
      <c r="D607" s="46" t="str">
        <f aca="false">IFERROR(VLOOKUP(Orders!C607,Customers!$A$2:$F$301,5,FALSE()),"Not Found")</f>
        <v>SMB</v>
      </c>
      <c r="E607" s="46" t="n">
        <f aca="false">IFERROR(VLOOKUP(Orders!C607,Customers!$A$2:$F$301,3,FALSE()),"Not Found")</f>
        <v>54</v>
      </c>
      <c r="F607" s="46" t="str">
        <f aca="false">IFERROR(VLOOKUP(Orders!E607,Sales_Reps!$A$2:$E$31,3,FALSE()),"Not Found")</f>
        <v>East</v>
      </c>
      <c r="G607" s="46" t="n">
        <f aca="false">IFERROR(VLOOKUP(Orders!D607,Products!$A$2:$F$61,4,FALSE()),"")</f>
        <v>1728</v>
      </c>
      <c r="H607" s="47" t="n">
        <f aca="false">IF(G607="","",(Orders!G607-G607)/Orders!G607)</f>
        <v>0.484179104477612</v>
      </c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</row>
    <row r="608" customFormat="false" ht="15" hidden="false" customHeight="false" outlineLevel="0" collapsed="false">
      <c r="A608" s="46" t="str">
        <f aca="false">Orders!A608</f>
        <v>ORD-00607</v>
      </c>
      <c r="B608" s="46" t="str">
        <f aca="false">PROPER(TRIM(Orders!K608))</f>
        <v>Bengaluru</v>
      </c>
      <c r="C608" s="46" t="str">
        <f aca="false">IFERROR(VLOOKUP(Orders!D608,Products!$A$2:$F$61,3,FALSE()),"Not Found")</f>
        <v>Beauty</v>
      </c>
      <c r="D608" s="46" t="str">
        <f aca="false">IFERROR(VLOOKUP(Orders!C608,Customers!$A$2:$F$301,5,FALSE()),"Not Found")</f>
        <v>SMB</v>
      </c>
      <c r="E608" s="46" t="n">
        <f aca="false">IFERROR(VLOOKUP(Orders!C608,Customers!$A$2:$F$301,3,FALSE()),"Not Found")</f>
        <v>34</v>
      </c>
      <c r="F608" s="46" t="str">
        <f aca="false">IFERROR(VLOOKUP(Orders!E608,Sales_Reps!$A$2:$E$31,3,FALSE()),"Not Found")</f>
        <v>South</v>
      </c>
      <c r="G608" s="46" t="n">
        <f aca="false">IFERROR(VLOOKUP(Orders!D608,Products!$A$2:$F$61,4,FALSE()),"")</f>
        <v>2237</v>
      </c>
      <c r="H608" s="47" t="n">
        <f aca="false">IF(G608="","",(Orders!G608-G608)/Orders!G608)</f>
        <v>0.561372549019608</v>
      </c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</row>
    <row r="609" customFormat="false" ht="15" hidden="false" customHeight="false" outlineLevel="0" collapsed="false">
      <c r="A609" s="46" t="str">
        <f aca="false">Orders!A609</f>
        <v>ORD-00608</v>
      </c>
      <c r="B609" s="46" t="str">
        <f aca="false">PROPER(TRIM(Orders!K609))</f>
        <v>Chennai</v>
      </c>
      <c r="C609" s="46" t="str">
        <f aca="false">IFERROR(VLOOKUP(Orders!D609,Products!$A$2:$F$61,3,FALSE()),"Not Found")</f>
        <v>Electronics</v>
      </c>
      <c r="D609" s="46" t="str">
        <f aca="false">IFERROR(VLOOKUP(Orders!C609,Customers!$A$2:$F$301,5,FALSE()),"Not Found")</f>
        <v>Retail</v>
      </c>
      <c r="E609" s="46" t="n">
        <f aca="false">IFERROR(VLOOKUP(Orders!C609,Customers!$A$2:$F$301,3,FALSE()),"Not Found")</f>
        <v>49</v>
      </c>
      <c r="F609" s="46" t="str">
        <f aca="false">IFERROR(VLOOKUP(Orders!E609,Sales_Reps!$A$2:$E$31,3,FALSE()),"Not Found")</f>
        <v>West</v>
      </c>
      <c r="G609" s="46" t="n">
        <f aca="false">IFERROR(VLOOKUP(Orders!D609,Products!$A$2:$F$61,4,FALSE()),"")</f>
        <v>1149</v>
      </c>
      <c r="H609" s="47" t="n">
        <f aca="false">IF(G609="","",(Orders!G609-G609)/Orders!G609)</f>
        <v>0.564772727272727</v>
      </c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</row>
    <row r="610" customFormat="false" ht="15" hidden="false" customHeight="false" outlineLevel="0" collapsed="false">
      <c r="A610" s="46" t="str">
        <f aca="false">Orders!A610</f>
        <v>ORD-00609</v>
      </c>
      <c r="B610" s="46" t="str">
        <f aca="false">PROPER(TRIM(Orders!K610))</f>
        <v>Mumbai</v>
      </c>
      <c r="C610" s="46" t="str">
        <f aca="false">IFERROR(VLOOKUP(Orders!D610,Products!$A$2:$F$61,3,FALSE()),"Not Found")</f>
        <v>Grocery</v>
      </c>
      <c r="D610" s="46" t="str">
        <f aca="false">IFERROR(VLOOKUP(Orders!C610,Customers!$A$2:$F$301,5,FALSE()),"Not Found")</f>
        <v>Retail</v>
      </c>
      <c r="E610" s="46" t="n">
        <f aca="false">IFERROR(VLOOKUP(Orders!C610,Customers!$A$2:$F$301,3,FALSE()),"Not Found")</f>
        <v>39</v>
      </c>
      <c r="F610" s="46" t="str">
        <f aca="false">IFERROR(VLOOKUP(Orders!E610,Sales_Reps!$A$2:$E$31,3,FALSE()),"Not Found")</f>
        <v>South</v>
      </c>
      <c r="G610" s="46" t="n">
        <f aca="false">IFERROR(VLOOKUP(Orders!D610,Products!$A$2:$F$61,4,FALSE()),"")</f>
        <v>2214</v>
      </c>
      <c r="H610" s="47" t="n">
        <f aca="false">IF(G610="","",(Orders!G610-G610)/Orders!G610)</f>
        <v>0.395081967213115</v>
      </c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</row>
    <row r="611" customFormat="false" ht="15" hidden="false" customHeight="false" outlineLevel="0" collapsed="false">
      <c r="A611" s="46" t="str">
        <f aca="false">Orders!A611</f>
        <v>ORD-00610</v>
      </c>
      <c r="B611" s="46" t="str">
        <f aca="false">PROPER(TRIM(Orders!K611))</f>
        <v>Mumbai</v>
      </c>
      <c r="C611" s="46" t="str">
        <f aca="false">IFERROR(VLOOKUP(Orders!D611,Products!$A$2:$F$61,3,FALSE()),"Not Found")</f>
        <v>Home</v>
      </c>
      <c r="D611" s="46" t="str">
        <f aca="false">IFERROR(VLOOKUP(Orders!C611,Customers!$A$2:$F$301,5,FALSE()),"Not Found")</f>
        <v>Retail</v>
      </c>
      <c r="E611" s="46" t="n">
        <f aca="false">IFERROR(VLOOKUP(Orders!C611,Customers!$A$2:$F$301,3,FALSE()),"Not Found")</f>
        <v>44</v>
      </c>
      <c r="F611" s="46" t="str">
        <f aca="false">IFERROR(VLOOKUP(Orders!E611,Sales_Reps!$A$2:$E$31,3,FALSE()),"Not Found")</f>
        <v>West</v>
      </c>
      <c r="G611" s="46" t="n">
        <f aca="false">IFERROR(VLOOKUP(Orders!D611,Products!$A$2:$F$61,4,FALSE()),"")</f>
        <v>288</v>
      </c>
      <c r="H611" s="47" t="n">
        <f aca="false">IF(G611="","",(Orders!G611-G611)/Orders!G611)</f>
        <v>0.221621621621622</v>
      </c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</row>
    <row r="612" customFormat="false" ht="15" hidden="false" customHeight="false" outlineLevel="0" collapsed="false">
      <c r="A612" s="46" t="str">
        <f aca="false">Orders!A612</f>
        <v>ORD-00611</v>
      </c>
      <c r="B612" s="46" t="str">
        <f aca="false">PROPER(TRIM(Orders!K612))</f>
        <v>Bengaluru</v>
      </c>
      <c r="C612" s="46" t="str">
        <f aca="false">IFERROR(VLOOKUP(Orders!D612,Products!$A$2:$F$61,3,FALSE()),"Not Found")</f>
        <v>Apparel</v>
      </c>
      <c r="D612" s="46" t="str">
        <f aca="false">IFERROR(VLOOKUP(Orders!C612,Customers!$A$2:$F$301,5,FALSE()),"Not Found")</f>
        <v>SMB</v>
      </c>
      <c r="E612" s="46" t="n">
        <f aca="false">IFERROR(VLOOKUP(Orders!C612,Customers!$A$2:$F$301,3,FALSE()),"Not Found")</f>
        <v>28</v>
      </c>
      <c r="F612" s="46" t="str">
        <f aca="false">IFERROR(VLOOKUP(Orders!E612,Sales_Reps!$A$2:$E$31,3,FALSE()),"Not Found")</f>
        <v>West</v>
      </c>
      <c r="G612" s="46" t="n">
        <f aca="false">IFERROR(VLOOKUP(Orders!D612,Products!$A$2:$F$61,4,FALSE()),"")</f>
        <v>396</v>
      </c>
      <c r="H612" s="47" t="n">
        <f aca="false">IF(G612="","",(Orders!G612-G612)/Orders!G612)</f>
        <v>0.361290322580645</v>
      </c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</row>
    <row r="613" customFormat="false" ht="15" hidden="false" customHeight="false" outlineLevel="0" collapsed="false">
      <c r="A613" s="46" t="str">
        <f aca="false">Orders!A613</f>
        <v>ORD-00612</v>
      </c>
      <c r="B613" s="46" t="str">
        <f aca="false">PROPER(TRIM(Orders!K613))</f>
        <v>Hyderabad</v>
      </c>
      <c r="C613" s="46" t="str">
        <f aca="false">IFERROR(VLOOKUP(Orders!D613,Products!$A$2:$F$61,3,FALSE()),"Not Found")</f>
        <v>Sports</v>
      </c>
      <c r="D613" s="46" t="str">
        <f aca="false">IFERROR(VLOOKUP(Orders!C613,Customers!$A$2:$F$301,5,FALSE()),"Not Found")</f>
        <v>Retail</v>
      </c>
      <c r="E613" s="46" t="n">
        <f aca="false">IFERROR(VLOOKUP(Orders!C613,Customers!$A$2:$F$301,3,FALSE()),"Not Found")</f>
        <v>65</v>
      </c>
      <c r="F613" s="46" t="str">
        <f aca="false">IFERROR(VLOOKUP(Orders!E613,Sales_Reps!$A$2:$E$31,3,FALSE()),"Not Found")</f>
        <v>East</v>
      </c>
      <c r="G613" s="46" t="n">
        <f aca="false">IFERROR(VLOOKUP(Orders!D613,Products!$A$2:$F$61,4,FALSE()),"")</f>
        <v>302</v>
      </c>
      <c r="H613" s="47" t="n">
        <f aca="false">IF(G613="","",(Orders!G613-G613)/Orders!G613)</f>
        <v>0.357446808510638</v>
      </c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</row>
    <row r="614" customFormat="false" ht="15" hidden="false" customHeight="false" outlineLevel="0" collapsed="false">
      <c r="A614" s="46" t="str">
        <f aca="false">Orders!A614</f>
        <v>ORD-00613</v>
      </c>
      <c r="B614" s="46" t="str">
        <f aca="false">PROPER(TRIM(Orders!K614))</f>
        <v>Delhi</v>
      </c>
      <c r="C614" s="46" t="str">
        <f aca="false">IFERROR(VLOOKUP(Orders!D614,Products!$A$2:$F$61,3,FALSE()),"Not Found")</f>
        <v>Beauty</v>
      </c>
      <c r="D614" s="46" t="str">
        <f aca="false">IFERROR(VLOOKUP(Orders!C614,Customers!$A$2:$F$301,5,FALSE()),"Not Found")</f>
        <v>Retail</v>
      </c>
      <c r="E614" s="46" t="n">
        <f aca="false">IFERROR(VLOOKUP(Orders!C614,Customers!$A$2:$F$301,3,FALSE()),"Not Found")</f>
        <v>40</v>
      </c>
      <c r="F614" s="46" t="str">
        <f aca="false">IFERROR(VLOOKUP(Orders!E614,Sales_Reps!$A$2:$E$31,3,FALSE()),"Not Found")</f>
        <v>North</v>
      </c>
      <c r="G614" s="46" t="n">
        <f aca="false">IFERROR(VLOOKUP(Orders!D614,Products!$A$2:$F$61,4,FALSE()),"")</f>
        <v>1219</v>
      </c>
      <c r="H614" s="47" t="n">
        <f aca="false">IF(G614="","",(Orders!G614-G614)/Orders!G614)</f>
        <v>0.467685589519651</v>
      </c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</row>
    <row r="615" customFormat="false" ht="15" hidden="false" customHeight="false" outlineLevel="0" collapsed="false">
      <c r="A615" s="46" t="str">
        <f aca="false">Orders!A615</f>
        <v>ORD-00614</v>
      </c>
      <c r="B615" s="46" t="str">
        <f aca="false">PROPER(TRIM(Orders!K615))</f>
        <v>Mumbai</v>
      </c>
      <c r="C615" s="46" t="str">
        <f aca="false">IFERROR(VLOOKUP(Orders!D615,Products!$A$2:$F$61,3,FALSE()),"Not Found")</f>
        <v>Sports</v>
      </c>
      <c r="D615" s="46" t="str">
        <f aca="false">IFERROR(VLOOKUP(Orders!C615,Customers!$A$2:$F$301,5,FALSE()),"Not Found")</f>
        <v>SMB</v>
      </c>
      <c r="E615" s="46" t="n">
        <f aca="false">IFERROR(VLOOKUP(Orders!C615,Customers!$A$2:$F$301,3,FALSE()),"Not Found")</f>
        <v>53</v>
      </c>
      <c r="F615" s="46" t="str">
        <f aca="false">IFERROR(VLOOKUP(Orders!E615,Sales_Reps!$A$2:$E$31,3,FALSE()),"Not Found")</f>
        <v>West</v>
      </c>
      <c r="G615" s="46" t="n">
        <f aca="false">IFERROR(VLOOKUP(Orders!D615,Products!$A$2:$F$61,4,FALSE()),"")</f>
        <v>705</v>
      </c>
      <c r="H615" s="47" t="n">
        <f aca="false">IF(G615="","",(Orders!G615-G615)/Orders!G615)</f>
        <v>0.265625</v>
      </c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</row>
    <row r="616" customFormat="false" ht="15" hidden="false" customHeight="false" outlineLevel="0" collapsed="false">
      <c r="A616" s="46" t="str">
        <f aca="false">Orders!A616</f>
        <v>ORD-00615</v>
      </c>
      <c r="B616" s="46" t="str">
        <f aca="false">PROPER(TRIM(Orders!K616))</f>
        <v>Pune</v>
      </c>
      <c r="C616" s="46" t="str">
        <f aca="false">IFERROR(VLOOKUP(Orders!D616,Products!$A$2:$F$61,3,FALSE()),"Not Found")</f>
        <v>Grocery</v>
      </c>
      <c r="D616" s="46" t="str">
        <f aca="false">IFERROR(VLOOKUP(Orders!C616,Customers!$A$2:$F$301,5,FALSE()),"Not Found")</f>
        <v>Retail</v>
      </c>
      <c r="E616" s="46" t="n">
        <f aca="false">IFERROR(VLOOKUP(Orders!C616,Customers!$A$2:$F$301,3,FALSE()),"Not Found")</f>
        <v>65</v>
      </c>
      <c r="F616" s="46" t="str">
        <f aca="false">IFERROR(VLOOKUP(Orders!E616,Sales_Reps!$A$2:$E$31,3,FALSE()),"Not Found")</f>
        <v>South</v>
      </c>
      <c r="G616" s="46" t="n">
        <f aca="false">IFERROR(VLOOKUP(Orders!D616,Products!$A$2:$F$61,4,FALSE()),"")</f>
        <v>2214</v>
      </c>
      <c r="H616" s="47" t="n">
        <f aca="false">IF(G616="","",(Orders!G616-G616)/Orders!G616)</f>
        <v>0.395081967213115</v>
      </c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</row>
    <row r="617" customFormat="false" ht="15" hidden="false" customHeight="false" outlineLevel="0" collapsed="false">
      <c r="A617" s="46" t="str">
        <f aca="false">Orders!A617</f>
        <v>ORD-00616</v>
      </c>
      <c r="B617" s="46" t="str">
        <f aca="false">PROPER(TRIM(Orders!K617))</f>
        <v>Hyderabad</v>
      </c>
      <c r="C617" s="46" t="str">
        <f aca="false">IFERROR(VLOOKUP(Orders!D617,Products!$A$2:$F$61,3,FALSE()),"Not Found")</f>
        <v>Electronics</v>
      </c>
      <c r="D617" s="46" t="str">
        <f aca="false">IFERROR(VLOOKUP(Orders!C617,Customers!$A$2:$F$301,5,FALSE()),"Not Found")</f>
        <v>SMB</v>
      </c>
      <c r="E617" s="46" t="n">
        <f aca="false">IFERROR(VLOOKUP(Orders!C617,Customers!$A$2:$F$301,3,FALSE()),"Not Found")</f>
        <v>65</v>
      </c>
      <c r="F617" s="46" t="str">
        <f aca="false">IFERROR(VLOOKUP(Orders!E617,Sales_Reps!$A$2:$E$31,3,FALSE()),"Not Found")</f>
        <v>East</v>
      </c>
      <c r="G617" s="46" t="n">
        <f aca="false">IFERROR(VLOOKUP(Orders!D617,Products!$A$2:$F$61,4,FALSE()),"")</f>
        <v>1665</v>
      </c>
      <c r="H617" s="47" t="n">
        <f aca="false">IF(G617="","",(Orders!G617-G617)/Orders!G617)</f>
        <v>0.533613445378151</v>
      </c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</row>
    <row r="618" customFormat="false" ht="15" hidden="false" customHeight="false" outlineLevel="0" collapsed="false">
      <c r="A618" s="46" t="str">
        <f aca="false">Orders!A618</f>
        <v>ORD-00617</v>
      </c>
      <c r="B618" s="46" t="str">
        <f aca="false">PROPER(TRIM(Orders!K618))</f>
        <v>Mumbai</v>
      </c>
      <c r="C618" s="46" t="str">
        <f aca="false">IFERROR(VLOOKUP(Orders!D618,Products!$A$2:$F$61,3,FALSE()),"Not Found")</f>
        <v>Home</v>
      </c>
      <c r="D618" s="46" t="str">
        <f aca="false">IFERROR(VLOOKUP(Orders!C618,Customers!$A$2:$F$301,5,FALSE()),"Not Found")</f>
        <v>Retail</v>
      </c>
      <c r="E618" s="46" t="n">
        <f aca="false">IFERROR(VLOOKUP(Orders!C618,Customers!$A$2:$F$301,3,FALSE()),"Not Found")</f>
        <v>36</v>
      </c>
      <c r="F618" s="46" t="str">
        <f aca="false">IFERROR(VLOOKUP(Orders!E618,Sales_Reps!$A$2:$E$31,3,FALSE()),"Not Found")</f>
        <v>East</v>
      </c>
      <c r="G618" s="46" t="n">
        <f aca="false">IFERROR(VLOOKUP(Orders!D618,Products!$A$2:$F$61,4,FALSE()),"")</f>
        <v>1143</v>
      </c>
      <c r="H618" s="47" t="n">
        <f aca="false">IF(G618="","",(Orders!G618-G618)/Orders!G618)</f>
        <v>0.436945812807882</v>
      </c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</row>
    <row r="619" customFormat="false" ht="15" hidden="false" customHeight="false" outlineLevel="0" collapsed="false">
      <c r="A619" s="46" t="str">
        <f aca="false">Orders!A619</f>
        <v>ORD-00618</v>
      </c>
      <c r="B619" s="46" t="str">
        <f aca="false">PROPER(TRIM(Orders!K619))</f>
        <v>Pune</v>
      </c>
      <c r="C619" s="46" t="str">
        <f aca="false">IFERROR(VLOOKUP(Orders!D619,Products!$A$2:$F$61,3,FALSE()),"Not Found")</f>
        <v>Apparel</v>
      </c>
      <c r="D619" s="46" t="str">
        <f aca="false">IFERROR(VLOOKUP(Orders!C619,Customers!$A$2:$F$301,5,FALSE()),"Not Found")</f>
        <v>SMB</v>
      </c>
      <c r="E619" s="46" t="n">
        <f aca="false">IFERROR(VLOOKUP(Orders!C619,Customers!$A$2:$F$301,3,FALSE()),"Not Found")</f>
        <v>44</v>
      </c>
      <c r="F619" s="46" t="str">
        <f aca="false">IFERROR(VLOOKUP(Orders!E619,Sales_Reps!$A$2:$E$31,3,FALSE()),"Not Found")</f>
        <v>West</v>
      </c>
      <c r="G619" s="46" t="n">
        <f aca="false">IFERROR(VLOOKUP(Orders!D619,Products!$A$2:$F$61,4,FALSE()),"")</f>
        <v>1962</v>
      </c>
      <c r="H619" s="47" t="n">
        <f aca="false">IF(G619="","",(Orders!G619-G619)/Orders!G619)</f>
        <v>0.278676470588235</v>
      </c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</row>
    <row r="620" customFormat="false" ht="15" hidden="false" customHeight="false" outlineLevel="0" collapsed="false">
      <c r="A620" s="46" t="str">
        <f aca="false">Orders!A620</f>
        <v>ORD-00619</v>
      </c>
      <c r="B620" s="46" t="str">
        <f aca="false">PROPER(TRIM(Orders!K620))</f>
        <v>Mumbai</v>
      </c>
      <c r="C620" s="46" t="str">
        <f aca="false">IFERROR(VLOOKUP(Orders!D620,Products!$A$2:$F$61,3,FALSE()),"Not Found")</f>
        <v>Electronics</v>
      </c>
      <c r="D620" s="46" t="str">
        <f aca="false">IFERROR(VLOOKUP(Orders!C620,Customers!$A$2:$F$301,5,FALSE()),"Not Found")</f>
        <v>Retail</v>
      </c>
      <c r="E620" s="46" t="n">
        <f aca="false">IFERROR(VLOOKUP(Orders!C620,Customers!$A$2:$F$301,3,FALSE()),"Not Found")</f>
        <v>56</v>
      </c>
      <c r="F620" s="46" t="str">
        <f aca="false">IFERROR(VLOOKUP(Orders!E620,Sales_Reps!$A$2:$E$31,3,FALSE()),"Not Found")</f>
        <v>North</v>
      </c>
      <c r="G620" s="46" t="n">
        <f aca="false">IFERROR(VLOOKUP(Orders!D620,Products!$A$2:$F$61,4,FALSE()),"")</f>
        <v>1665</v>
      </c>
      <c r="H620" s="47" t="n">
        <f aca="false">IF(G620="","",(Orders!G620-G620)/Orders!G620)</f>
        <v>0.533613445378151</v>
      </c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</row>
    <row r="621" customFormat="false" ht="15" hidden="false" customHeight="false" outlineLevel="0" collapsed="false">
      <c r="A621" s="46" t="str">
        <f aca="false">Orders!A621</f>
        <v>ORD-00620</v>
      </c>
      <c r="B621" s="46" t="str">
        <f aca="false">PROPER(TRIM(Orders!K621))</f>
        <v>Pune</v>
      </c>
      <c r="C621" s="46" t="str">
        <f aca="false">IFERROR(VLOOKUP(Orders!D621,Products!$A$2:$F$61,3,FALSE()),"Not Found")</f>
        <v>Sports</v>
      </c>
      <c r="D621" s="46" t="str">
        <f aca="false">IFERROR(VLOOKUP(Orders!C621,Customers!$A$2:$F$301,5,FALSE()),"Not Found")</f>
        <v>Retail</v>
      </c>
      <c r="E621" s="46" t="n">
        <f aca="false">IFERROR(VLOOKUP(Orders!C621,Customers!$A$2:$F$301,3,FALSE()),"Not Found")</f>
        <v>36</v>
      </c>
      <c r="F621" s="46" t="str">
        <f aca="false">IFERROR(VLOOKUP(Orders!E621,Sales_Reps!$A$2:$E$31,3,FALSE()),"Not Found")</f>
        <v>North</v>
      </c>
      <c r="G621" s="46" t="n">
        <f aca="false">IFERROR(VLOOKUP(Orders!D621,Products!$A$2:$F$61,4,FALSE()),"")</f>
        <v>974</v>
      </c>
      <c r="H621" s="47" t="n">
        <f aca="false">IF(G621="","",(Orders!G621-G621)/Orders!G621)</f>
        <v>0.594166666666667</v>
      </c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</row>
    <row r="622" customFormat="false" ht="15" hidden="false" customHeight="false" outlineLevel="0" collapsed="false">
      <c r="A622" s="46" t="str">
        <f aca="false">Orders!A622</f>
        <v>ORD-00621</v>
      </c>
      <c r="B622" s="46" t="str">
        <f aca="false">PROPER(TRIM(Orders!K622))</f>
        <v>Mumbai</v>
      </c>
      <c r="C622" s="46" t="str">
        <f aca="false">IFERROR(VLOOKUP(Orders!D622,Products!$A$2:$F$61,3,FALSE()),"Not Found")</f>
        <v>Grocery</v>
      </c>
      <c r="D622" s="46" t="str">
        <f aca="false">IFERROR(VLOOKUP(Orders!C622,Customers!$A$2:$F$301,5,FALSE()),"Not Found")</f>
        <v>SMB</v>
      </c>
      <c r="E622" s="46" t="n">
        <f aca="false">IFERROR(VLOOKUP(Orders!C622,Customers!$A$2:$F$301,3,FALSE()),"Not Found")</f>
        <v>53</v>
      </c>
      <c r="F622" s="46" t="str">
        <f aca="false">IFERROR(VLOOKUP(Orders!E622,Sales_Reps!$A$2:$E$31,3,FALSE()),"Not Found")</f>
        <v>North</v>
      </c>
      <c r="G622" s="46" t="n">
        <f aca="false">IFERROR(VLOOKUP(Orders!D622,Products!$A$2:$F$61,4,FALSE()),"")</f>
        <v>1203</v>
      </c>
      <c r="H622" s="47" t="n">
        <f aca="false">IF(G622="","",(Orders!G622-G622)/Orders!G622)</f>
        <v>0.470044052863436</v>
      </c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</row>
    <row r="623" customFormat="false" ht="15" hidden="false" customHeight="false" outlineLevel="0" collapsed="false">
      <c r="A623" s="46" t="str">
        <f aca="false">Orders!A623</f>
        <v>ORD-00622</v>
      </c>
      <c r="B623" s="46" t="str">
        <f aca="false">PROPER(TRIM(Orders!K623))</f>
        <v>Delhi</v>
      </c>
      <c r="C623" s="46" t="str">
        <f aca="false">IFERROR(VLOOKUP(Orders!D623,Products!$A$2:$F$61,3,FALSE()),"Not Found")</f>
        <v>Grocery</v>
      </c>
      <c r="D623" s="46" t="str">
        <f aca="false">IFERROR(VLOOKUP(Orders!C623,Customers!$A$2:$F$301,5,FALSE()),"Not Found")</f>
        <v>Corporate</v>
      </c>
      <c r="E623" s="46" t="n">
        <f aca="false">IFERROR(VLOOKUP(Orders!C623,Customers!$A$2:$F$301,3,FALSE()),"Not Found")</f>
        <v>46</v>
      </c>
      <c r="F623" s="46" t="str">
        <f aca="false">IFERROR(VLOOKUP(Orders!E623,Sales_Reps!$A$2:$E$31,3,FALSE()),"Not Found")</f>
        <v>South</v>
      </c>
      <c r="G623" s="46" t="n">
        <f aca="false">IFERROR(VLOOKUP(Orders!D623,Products!$A$2:$F$61,4,FALSE()),"")</f>
        <v>434</v>
      </c>
      <c r="H623" s="47" t="n">
        <f aca="false">IF(G623="","",(Orders!G623-G623)/Orders!G623)</f>
        <v>0.552577319587629</v>
      </c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</row>
    <row r="624" customFormat="false" ht="15" hidden="false" customHeight="false" outlineLevel="0" collapsed="false">
      <c r="A624" s="46" t="str">
        <f aca="false">Orders!A624</f>
        <v>ORD-00623</v>
      </c>
      <c r="B624" s="46" t="str">
        <f aca="false">PROPER(TRIM(Orders!K624))</f>
        <v>Bengaluru</v>
      </c>
      <c r="C624" s="46" t="str">
        <f aca="false">IFERROR(VLOOKUP(Orders!D624,Products!$A$2:$F$61,3,FALSE()),"Not Found")</f>
        <v>Sports</v>
      </c>
      <c r="D624" s="46" t="str">
        <f aca="false">IFERROR(VLOOKUP(Orders!C624,Customers!$A$2:$F$301,5,FALSE()),"Not Found")</f>
        <v>SMB</v>
      </c>
      <c r="E624" s="46" t="n">
        <f aca="false">IFERROR(VLOOKUP(Orders!C624,Customers!$A$2:$F$301,3,FALSE()),"Not Found")</f>
        <v>43</v>
      </c>
      <c r="F624" s="46" t="str">
        <f aca="false">IFERROR(VLOOKUP(Orders!E624,Sales_Reps!$A$2:$E$31,3,FALSE()),"Not Found")</f>
        <v>East</v>
      </c>
      <c r="G624" s="46" t="n">
        <f aca="false">IFERROR(VLOOKUP(Orders!D624,Products!$A$2:$F$61,4,FALSE()),"")</f>
        <v>2827</v>
      </c>
      <c r="H624" s="47" t="n">
        <f aca="false">IF(G624="","",(Orders!G624-G624)/Orders!G624)</f>
        <v>0.592651296829971</v>
      </c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</row>
    <row r="625" customFormat="false" ht="15" hidden="false" customHeight="false" outlineLevel="0" collapsed="false">
      <c r="A625" s="46" t="str">
        <f aca="false">Orders!A625</f>
        <v>ORD-00624</v>
      </c>
      <c r="B625" s="46" t="str">
        <f aca="false">PROPER(TRIM(Orders!K625))</f>
        <v>Hyderabad</v>
      </c>
      <c r="C625" s="46" t="str">
        <f aca="false">IFERROR(VLOOKUP(Orders!D625,Products!$A$2:$F$61,3,FALSE()),"Not Found")</f>
        <v>Sports</v>
      </c>
      <c r="D625" s="46" t="str">
        <f aca="false">IFERROR(VLOOKUP(Orders!C625,Customers!$A$2:$F$301,5,FALSE()),"Not Found")</f>
        <v>Retail</v>
      </c>
      <c r="E625" s="46" t="n">
        <f aca="false">IFERROR(VLOOKUP(Orders!C625,Customers!$A$2:$F$301,3,FALSE()),"Not Found")</f>
        <v>53</v>
      </c>
      <c r="F625" s="46" t="str">
        <f aca="false">IFERROR(VLOOKUP(Orders!E625,Sales_Reps!$A$2:$E$31,3,FALSE()),"Not Found")</f>
        <v>South</v>
      </c>
      <c r="G625" s="46" t="n">
        <f aca="false">IFERROR(VLOOKUP(Orders!D625,Products!$A$2:$F$61,4,FALSE()),"")</f>
        <v>2827</v>
      </c>
      <c r="H625" s="47" t="n">
        <f aca="false">IF(G625="","",(Orders!G625-G625)/Orders!G625)</f>
        <v>0.592651296829971</v>
      </c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</row>
    <row r="626" customFormat="false" ht="15" hidden="false" customHeight="false" outlineLevel="0" collapsed="false">
      <c r="A626" s="46" t="str">
        <f aca="false">Orders!A626</f>
        <v>ORD-00625</v>
      </c>
      <c r="B626" s="46" t="str">
        <f aca="false">PROPER(TRIM(Orders!K626))</f>
        <v>Pune</v>
      </c>
      <c r="C626" s="46" t="str">
        <f aca="false">IFERROR(VLOOKUP(Orders!D626,Products!$A$2:$F$61,3,FALSE()),"Not Found")</f>
        <v>Sports</v>
      </c>
      <c r="D626" s="46" t="str">
        <f aca="false">IFERROR(VLOOKUP(Orders!C626,Customers!$A$2:$F$301,5,FALSE()),"Not Found")</f>
        <v>Retail</v>
      </c>
      <c r="E626" s="46" t="n">
        <f aca="false">IFERROR(VLOOKUP(Orders!C626,Customers!$A$2:$F$301,3,FALSE()),"Not Found")</f>
        <v>25</v>
      </c>
      <c r="F626" s="46" t="str">
        <f aca="false">IFERROR(VLOOKUP(Orders!E626,Sales_Reps!$A$2:$E$31,3,FALSE()),"Not Found")</f>
        <v>North</v>
      </c>
      <c r="G626" s="46" t="n">
        <f aca="false">IFERROR(VLOOKUP(Orders!D626,Products!$A$2:$F$61,4,FALSE()),"")</f>
        <v>516</v>
      </c>
      <c r="H626" s="47" t="n">
        <f aca="false">IF(G626="","",(Orders!G626-G626)/Orders!G626)</f>
        <v>0.489108910891089</v>
      </c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</row>
    <row r="627" customFormat="false" ht="15" hidden="false" customHeight="false" outlineLevel="0" collapsed="false">
      <c r="A627" s="46" t="str">
        <f aca="false">Orders!A627</f>
        <v>ORD-00626</v>
      </c>
      <c r="B627" s="46" t="str">
        <f aca="false">PROPER(TRIM(Orders!K627))</f>
        <v>Delhi</v>
      </c>
      <c r="C627" s="46" t="str">
        <f aca="false">IFERROR(VLOOKUP(Orders!D627,Products!$A$2:$F$61,3,FALSE()),"Not Found")</f>
        <v>Electronics</v>
      </c>
      <c r="D627" s="46" t="str">
        <f aca="false">IFERROR(VLOOKUP(Orders!C627,Customers!$A$2:$F$301,5,FALSE()),"Not Found")</f>
        <v>Retail</v>
      </c>
      <c r="E627" s="46" t="n">
        <f aca="false">IFERROR(VLOOKUP(Orders!C627,Customers!$A$2:$F$301,3,FALSE()),"Not Found")</f>
        <v>35</v>
      </c>
      <c r="F627" s="46" t="str">
        <f aca="false">IFERROR(VLOOKUP(Orders!E627,Sales_Reps!$A$2:$E$31,3,FALSE()),"Not Found")</f>
        <v>North</v>
      </c>
      <c r="G627" s="46" t="n">
        <f aca="false">IFERROR(VLOOKUP(Orders!D627,Products!$A$2:$F$61,4,FALSE()),"")</f>
        <v>1559</v>
      </c>
      <c r="H627" s="47" t="n">
        <f aca="false">IF(G627="","",(Orders!G627-G627)/Orders!G627)</f>
        <v>0.597157622739018</v>
      </c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</row>
    <row r="628" customFormat="false" ht="15" hidden="false" customHeight="false" outlineLevel="0" collapsed="false">
      <c r="A628" s="46" t="str">
        <f aca="false">Orders!A628</f>
        <v>ORD-00627</v>
      </c>
      <c r="B628" s="46" t="str">
        <f aca="false">PROPER(TRIM(Orders!K628))</f>
        <v>Hyderabad</v>
      </c>
      <c r="C628" s="46" t="str">
        <f aca="false">IFERROR(VLOOKUP(Orders!D628,Products!$A$2:$F$61,3,FALSE()),"Not Found")</f>
        <v>Beauty</v>
      </c>
      <c r="D628" s="46" t="str">
        <f aca="false">IFERROR(VLOOKUP(Orders!C628,Customers!$A$2:$F$301,5,FALSE()),"Not Found")</f>
        <v>SMB</v>
      </c>
      <c r="E628" s="46" t="n">
        <f aca="false">IFERROR(VLOOKUP(Orders!C628,Customers!$A$2:$F$301,3,FALSE()),"Not Found")</f>
        <v>48</v>
      </c>
      <c r="F628" s="46" t="str">
        <f aca="false">IFERROR(VLOOKUP(Orders!E628,Sales_Reps!$A$2:$E$31,3,FALSE()),"Not Found")</f>
        <v>South</v>
      </c>
      <c r="G628" s="46" t="n">
        <f aca="false">IFERROR(VLOOKUP(Orders!D628,Products!$A$2:$F$61,4,FALSE()),"")</f>
        <v>2237</v>
      </c>
      <c r="H628" s="47" t="n">
        <f aca="false">IF(G628="","",(Orders!G628-G628)/Orders!G628)</f>
        <v>0.561372549019608</v>
      </c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</row>
    <row r="629" customFormat="false" ht="15" hidden="false" customHeight="false" outlineLevel="0" collapsed="false">
      <c r="A629" s="46" t="str">
        <f aca="false">Orders!A629</f>
        <v>ORD-00628</v>
      </c>
      <c r="B629" s="46" t="str">
        <f aca="false">PROPER(TRIM(Orders!K629))</f>
        <v>Pune</v>
      </c>
      <c r="C629" s="46" t="str">
        <f aca="false">IFERROR(VLOOKUP(Orders!D629,Products!$A$2:$F$61,3,FALSE()),"Not Found")</f>
        <v>Apparel</v>
      </c>
      <c r="D629" s="46" t="str">
        <f aca="false">IFERROR(VLOOKUP(Orders!C629,Customers!$A$2:$F$301,5,FALSE()),"Not Found")</f>
        <v>Retail</v>
      </c>
      <c r="E629" s="46" t="n">
        <f aca="false">IFERROR(VLOOKUP(Orders!C629,Customers!$A$2:$F$301,3,FALSE()),"Not Found")</f>
        <v>65</v>
      </c>
      <c r="F629" s="46" t="str">
        <f aca="false">IFERROR(VLOOKUP(Orders!E629,Sales_Reps!$A$2:$E$31,3,FALSE()),"Not Found")</f>
        <v>North</v>
      </c>
      <c r="G629" s="46" t="n">
        <f aca="false">IFERROR(VLOOKUP(Orders!D629,Products!$A$2:$F$61,4,FALSE()),"")</f>
        <v>1886</v>
      </c>
      <c r="H629" s="47" t="n">
        <f aca="false">IF(G629="","",(Orders!G629-G629)/Orders!G629)</f>
        <v>0.403164556962025</v>
      </c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</row>
    <row r="630" customFormat="false" ht="15" hidden="false" customHeight="false" outlineLevel="0" collapsed="false">
      <c r="A630" s="46" t="str">
        <f aca="false">Orders!A630</f>
        <v>ORD-00629</v>
      </c>
      <c r="B630" s="46" t="str">
        <f aca="false">PROPER(TRIM(Orders!K630))</f>
        <v>Mumbai</v>
      </c>
      <c r="C630" s="46" t="str">
        <f aca="false">IFERROR(VLOOKUP(Orders!D630,Products!$A$2:$F$61,3,FALSE()),"Not Found")</f>
        <v>Grocery</v>
      </c>
      <c r="D630" s="46" t="str">
        <f aca="false">IFERROR(VLOOKUP(Orders!C630,Customers!$A$2:$F$301,5,FALSE()),"Not Found")</f>
        <v>SMB</v>
      </c>
      <c r="E630" s="46" t="n">
        <f aca="false">IFERROR(VLOOKUP(Orders!C630,Customers!$A$2:$F$301,3,FALSE()),"Not Found")</f>
        <v>47</v>
      </c>
      <c r="F630" s="46" t="str">
        <f aca="false">IFERROR(VLOOKUP(Orders!E630,Sales_Reps!$A$2:$E$31,3,FALSE()),"Not Found")</f>
        <v>South</v>
      </c>
      <c r="G630" s="46" t="n">
        <f aca="false">IFERROR(VLOOKUP(Orders!D630,Products!$A$2:$F$61,4,FALSE()),"")</f>
        <v>1010</v>
      </c>
      <c r="H630" s="47" t="n">
        <f aca="false">IF(G630="","",(Orders!G630-G630)/Orders!G630)</f>
        <v>0.542986425339367</v>
      </c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</row>
    <row r="631" customFormat="false" ht="15" hidden="false" customHeight="false" outlineLevel="0" collapsed="false">
      <c r="A631" s="46" t="str">
        <f aca="false">Orders!A631</f>
        <v>ORD-00630</v>
      </c>
      <c r="B631" s="46" t="str">
        <f aca="false">PROPER(TRIM(Orders!K631))</f>
        <v>Delhi</v>
      </c>
      <c r="C631" s="46" t="str">
        <f aca="false">IFERROR(VLOOKUP(Orders!D631,Products!$A$2:$F$61,3,FALSE()),"Not Found")</f>
        <v>Apparel</v>
      </c>
      <c r="D631" s="46" t="str">
        <f aca="false">IFERROR(VLOOKUP(Orders!C631,Customers!$A$2:$F$301,5,FALSE()),"Not Found")</f>
        <v>SMB</v>
      </c>
      <c r="E631" s="46" t="n">
        <f aca="false">IFERROR(VLOOKUP(Orders!C631,Customers!$A$2:$F$301,3,FALSE()),"Not Found")</f>
        <v>53</v>
      </c>
      <c r="F631" s="46" t="str">
        <f aca="false">IFERROR(VLOOKUP(Orders!E631,Sales_Reps!$A$2:$E$31,3,FALSE()),"Not Found")</f>
        <v>West</v>
      </c>
      <c r="G631" s="46" t="n">
        <f aca="false">IFERROR(VLOOKUP(Orders!D631,Products!$A$2:$F$61,4,FALSE()),"")</f>
        <v>2629</v>
      </c>
      <c r="H631" s="47" t="n">
        <f aca="false">IF(G631="","",(Orders!G631-G631)/Orders!G631)</f>
        <v>0.261516853932584</v>
      </c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</row>
    <row r="632" customFormat="false" ht="15" hidden="false" customHeight="false" outlineLevel="0" collapsed="false">
      <c r="A632" s="46" t="str">
        <f aca="false">Orders!A632</f>
        <v>ORD-00631</v>
      </c>
      <c r="B632" s="46" t="str">
        <f aca="false">PROPER(TRIM(Orders!K632))</f>
        <v>Bengaluru</v>
      </c>
      <c r="C632" s="46" t="str">
        <f aca="false">IFERROR(VLOOKUP(Orders!D632,Products!$A$2:$F$61,3,FALSE()),"Not Found")</f>
        <v>Apparel</v>
      </c>
      <c r="D632" s="46" t="str">
        <f aca="false">IFERROR(VLOOKUP(Orders!C632,Customers!$A$2:$F$301,5,FALSE()),"Not Found")</f>
        <v>Retail</v>
      </c>
      <c r="E632" s="46" t="n">
        <f aca="false">IFERROR(VLOOKUP(Orders!C632,Customers!$A$2:$F$301,3,FALSE()),"Not Found")</f>
        <v>27</v>
      </c>
      <c r="F632" s="46" t="str">
        <f aca="false">IFERROR(VLOOKUP(Orders!E632,Sales_Reps!$A$2:$E$31,3,FALSE()),"Not Found")</f>
        <v>South</v>
      </c>
      <c r="G632" s="46" t="n">
        <f aca="false">IFERROR(VLOOKUP(Orders!D632,Products!$A$2:$F$61,4,FALSE()),"")</f>
        <v>396</v>
      </c>
      <c r="H632" s="47" t="n">
        <f aca="false">IF(G632="","",(Orders!G632-G632)/Orders!G632)</f>
        <v>0.361290322580645</v>
      </c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</row>
    <row r="633" customFormat="false" ht="15" hidden="false" customHeight="false" outlineLevel="0" collapsed="false">
      <c r="A633" s="46" t="str">
        <f aca="false">Orders!A633</f>
        <v>ORD-00632</v>
      </c>
      <c r="B633" s="46" t="str">
        <f aca="false">PROPER(TRIM(Orders!K633))</f>
        <v>Mumbai</v>
      </c>
      <c r="C633" s="46" t="str">
        <f aca="false">IFERROR(VLOOKUP(Orders!D633,Products!$A$2:$F$61,3,FALSE()),"Not Found")</f>
        <v>Grocery</v>
      </c>
      <c r="D633" s="46" t="str">
        <f aca="false">IFERROR(VLOOKUP(Orders!C633,Customers!$A$2:$F$301,5,FALSE()),"Not Found")</f>
        <v>Retail</v>
      </c>
      <c r="E633" s="46" t="n">
        <f aca="false">IFERROR(VLOOKUP(Orders!C633,Customers!$A$2:$F$301,3,FALSE()),"Not Found")</f>
        <v>65</v>
      </c>
      <c r="F633" s="46" t="str">
        <f aca="false">IFERROR(VLOOKUP(Orders!E633,Sales_Reps!$A$2:$E$31,3,FALSE()),"Not Found")</f>
        <v>North</v>
      </c>
      <c r="G633" s="46" t="n">
        <f aca="false">IFERROR(VLOOKUP(Orders!D633,Products!$A$2:$F$61,4,FALSE()),"")</f>
        <v>1435</v>
      </c>
      <c r="H633" s="47" t="n">
        <f aca="false">IF(G633="","",(Orders!G633-G633)/Orders!G633)</f>
        <v>0.480072463768116</v>
      </c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</row>
    <row r="634" customFormat="false" ht="15" hidden="false" customHeight="false" outlineLevel="0" collapsed="false">
      <c r="A634" s="46" t="str">
        <f aca="false">Orders!A634</f>
        <v>ORD-00633</v>
      </c>
      <c r="B634" s="46" t="str">
        <f aca="false">PROPER(TRIM(Orders!K634))</f>
        <v>Delhi</v>
      </c>
      <c r="C634" s="46" t="str">
        <f aca="false">IFERROR(VLOOKUP(Orders!D634,Products!$A$2:$F$61,3,FALSE()),"Not Found")</f>
        <v>Sports</v>
      </c>
      <c r="D634" s="46" t="str">
        <f aca="false">IFERROR(VLOOKUP(Orders!C634,Customers!$A$2:$F$301,5,FALSE()),"Not Found")</f>
        <v>SMB</v>
      </c>
      <c r="E634" s="46" t="n">
        <f aca="false">IFERROR(VLOOKUP(Orders!C634,Customers!$A$2:$F$301,3,FALSE()),"Not Found")</f>
        <v>50</v>
      </c>
      <c r="F634" s="46" t="str">
        <f aca="false">IFERROR(VLOOKUP(Orders!E634,Sales_Reps!$A$2:$E$31,3,FALSE()),"Not Found")</f>
        <v>North</v>
      </c>
      <c r="G634" s="46" t="n">
        <f aca="false">IFERROR(VLOOKUP(Orders!D634,Products!$A$2:$F$61,4,FALSE()),"")</f>
        <v>516</v>
      </c>
      <c r="H634" s="47" t="n">
        <f aca="false">IF(G634="","",(Orders!G634-G634)/Orders!G634)</f>
        <v>0.489108910891089</v>
      </c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</row>
    <row r="635" customFormat="false" ht="15" hidden="false" customHeight="false" outlineLevel="0" collapsed="false">
      <c r="A635" s="46" t="str">
        <f aca="false">Orders!A635</f>
        <v>ORD-00634</v>
      </c>
      <c r="B635" s="46" t="str">
        <f aca="false">PROPER(TRIM(Orders!K635))</f>
        <v>Hyderabad</v>
      </c>
      <c r="C635" s="46" t="str">
        <f aca="false">IFERROR(VLOOKUP(Orders!D635,Products!$A$2:$F$61,3,FALSE()),"Not Found")</f>
        <v>Apparel</v>
      </c>
      <c r="D635" s="46" t="str">
        <f aca="false">IFERROR(VLOOKUP(Orders!C635,Customers!$A$2:$F$301,5,FALSE()),"Not Found")</f>
        <v>SMB</v>
      </c>
      <c r="E635" s="46" t="n">
        <f aca="false">IFERROR(VLOOKUP(Orders!C635,Customers!$A$2:$F$301,3,FALSE()),"Not Found")</f>
        <v>40</v>
      </c>
      <c r="F635" s="46" t="str">
        <f aca="false">IFERROR(VLOOKUP(Orders!E635,Sales_Reps!$A$2:$E$31,3,FALSE()),"Not Found")</f>
        <v>North</v>
      </c>
      <c r="G635" s="46" t="n">
        <f aca="false">IFERROR(VLOOKUP(Orders!D635,Products!$A$2:$F$61,4,FALSE()),"")</f>
        <v>2611</v>
      </c>
      <c r="H635" s="47" t="n">
        <f aca="false">IF(G635="","",(Orders!G635-G635)/Orders!G635)</f>
        <v>0.282692307692308</v>
      </c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</row>
    <row r="636" customFormat="false" ht="15" hidden="false" customHeight="false" outlineLevel="0" collapsed="false">
      <c r="A636" s="46" t="str">
        <f aca="false">Orders!A636</f>
        <v>ORD-00635</v>
      </c>
      <c r="B636" s="46" t="str">
        <f aca="false">PROPER(TRIM(Orders!K636))</f>
        <v>Chennai</v>
      </c>
      <c r="C636" s="46" t="str">
        <f aca="false">IFERROR(VLOOKUP(Orders!D636,Products!$A$2:$F$61,3,FALSE()),"Not Found")</f>
        <v>Apparel</v>
      </c>
      <c r="D636" s="46" t="str">
        <f aca="false">IFERROR(VLOOKUP(Orders!C636,Customers!$A$2:$F$301,5,FALSE()),"Not Found")</f>
        <v>SMB</v>
      </c>
      <c r="E636" s="46" t="n">
        <f aca="false">IFERROR(VLOOKUP(Orders!C636,Customers!$A$2:$F$301,3,FALSE()),"Not Found")</f>
        <v>52</v>
      </c>
      <c r="F636" s="46" t="str">
        <f aca="false">IFERROR(VLOOKUP(Orders!E636,Sales_Reps!$A$2:$E$31,3,FALSE()),"Not Found")</f>
        <v>South</v>
      </c>
      <c r="G636" s="46" t="n">
        <f aca="false">IFERROR(VLOOKUP(Orders!D636,Products!$A$2:$F$61,4,FALSE()),"")</f>
        <v>391</v>
      </c>
      <c r="H636" s="47" t="n">
        <f aca="false">IF(G636="","",(Orders!G636-G636)/Orders!G636)</f>
        <v>0.523170731707317</v>
      </c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</row>
    <row r="637" customFormat="false" ht="15" hidden="false" customHeight="false" outlineLevel="0" collapsed="false">
      <c r="A637" s="46" t="str">
        <f aca="false">Orders!A637</f>
        <v>ORD-00636</v>
      </c>
      <c r="B637" s="46" t="str">
        <f aca="false">PROPER(TRIM(Orders!K637))</f>
        <v>Chennai</v>
      </c>
      <c r="C637" s="46" t="str">
        <f aca="false">IFERROR(VLOOKUP(Orders!D637,Products!$A$2:$F$61,3,FALSE()),"Not Found")</f>
        <v>Apparel</v>
      </c>
      <c r="D637" s="46" t="str">
        <f aca="false">IFERROR(VLOOKUP(Orders!C637,Customers!$A$2:$F$301,5,FALSE()),"Not Found")</f>
        <v>Retail</v>
      </c>
      <c r="E637" s="46" t="n">
        <f aca="false">IFERROR(VLOOKUP(Orders!C637,Customers!$A$2:$F$301,3,FALSE()),"Not Found")</f>
        <v>49</v>
      </c>
      <c r="F637" s="46" t="str">
        <f aca="false">IFERROR(VLOOKUP(Orders!E637,Sales_Reps!$A$2:$E$31,3,FALSE()),"Not Found")</f>
        <v>South</v>
      </c>
      <c r="G637" s="46" t="n">
        <f aca="false">IFERROR(VLOOKUP(Orders!D637,Products!$A$2:$F$61,4,FALSE()),"")</f>
        <v>2611</v>
      </c>
      <c r="H637" s="47" t="n">
        <f aca="false">IF(G637="","",(Orders!G637-G637)/Orders!G637)</f>
        <v>0.282692307692308</v>
      </c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</row>
    <row r="638" customFormat="false" ht="15" hidden="false" customHeight="false" outlineLevel="0" collapsed="false">
      <c r="A638" s="46" t="str">
        <f aca="false">Orders!A638</f>
        <v>ORD-00637</v>
      </c>
      <c r="B638" s="46" t="str">
        <f aca="false">PROPER(TRIM(Orders!K638))</f>
        <v>Pune</v>
      </c>
      <c r="C638" s="46" t="str">
        <f aca="false">IFERROR(VLOOKUP(Orders!D638,Products!$A$2:$F$61,3,FALSE()),"Not Found")</f>
        <v>Grocery</v>
      </c>
      <c r="D638" s="46" t="str">
        <f aca="false">IFERROR(VLOOKUP(Orders!C638,Customers!$A$2:$F$301,5,FALSE()),"Not Found")</f>
        <v>Corporate</v>
      </c>
      <c r="E638" s="46" t="n">
        <f aca="false">IFERROR(VLOOKUP(Orders!C638,Customers!$A$2:$F$301,3,FALSE()),"Not Found")</f>
        <v>42</v>
      </c>
      <c r="F638" s="46" t="str">
        <f aca="false">IFERROR(VLOOKUP(Orders!E638,Sales_Reps!$A$2:$E$31,3,FALSE()),"Not Found")</f>
        <v>North</v>
      </c>
      <c r="G638" s="46" t="n">
        <f aca="false">IFERROR(VLOOKUP(Orders!D638,Products!$A$2:$F$61,4,FALSE()),"")</f>
        <v>1182</v>
      </c>
      <c r="H638" s="47" t="n">
        <f aca="false">IF(G638="","",(Orders!G638-G638)/Orders!G638)</f>
        <v>0.503361344537815</v>
      </c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</row>
    <row r="639" customFormat="false" ht="15" hidden="false" customHeight="false" outlineLevel="0" collapsed="false">
      <c r="A639" s="46" t="str">
        <f aca="false">Orders!A639</f>
        <v>ORD-00638</v>
      </c>
      <c r="B639" s="46" t="str">
        <f aca="false">PROPER(TRIM(Orders!K639))</f>
        <v>Pune</v>
      </c>
      <c r="C639" s="46" t="str">
        <f aca="false">IFERROR(VLOOKUP(Orders!D639,Products!$A$2:$F$61,3,FALSE()),"Not Found")</f>
        <v>Home</v>
      </c>
      <c r="D639" s="46" t="str">
        <f aca="false">IFERROR(VLOOKUP(Orders!C639,Customers!$A$2:$F$301,5,FALSE()),"Not Found")</f>
        <v>Retail</v>
      </c>
      <c r="E639" s="46" t="n">
        <f aca="false">IFERROR(VLOOKUP(Orders!C639,Customers!$A$2:$F$301,3,FALSE()),"Not Found")</f>
        <v>36</v>
      </c>
      <c r="F639" s="46" t="str">
        <f aca="false">IFERROR(VLOOKUP(Orders!E639,Sales_Reps!$A$2:$E$31,3,FALSE()),"Not Found")</f>
        <v>North</v>
      </c>
      <c r="G639" s="46" t="n">
        <f aca="false">IFERROR(VLOOKUP(Orders!D639,Products!$A$2:$F$61,4,FALSE()),"")</f>
        <v>329</v>
      </c>
      <c r="H639" s="47" t="n">
        <f aca="false">IF(G639="","",(Orders!G639-G639)/Orders!G639)</f>
        <v>0.501515151515152</v>
      </c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</row>
    <row r="640" customFormat="false" ht="15" hidden="false" customHeight="false" outlineLevel="0" collapsed="false">
      <c r="A640" s="46" t="str">
        <f aca="false">Orders!A640</f>
        <v>ORD-00639</v>
      </c>
      <c r="B640" s="46" t="str">
        <f aca="false">PROPER(TRIM(Orders!K640))</f>
        <v>Pune</v>
      </c>
      <c r="C640" s="46" t="str">
        <f aca="false">IFERROR(VLOOKUP(Orders!D640,Products!$A$2:$F$61,3,FALSE()),"Not Found")</f>
        <v>Electronics</v>
      </c>
      <c r="D640" s="46" t="str">
        <f aca="false">IFERROR(VLOOKUP(Orders!C640,Customers!$A$2:$F$301,5,FALSE()),"Not Found")</f>
        <v>Retail</v>
      </c>
      <c r="E640" s="46" t="n">
        <f aca="false">IFERROR(VLOOKUP(Orders!C640,Customers!$A$2:$F$301,3,FALSE()),"Not Found")</f>
        <v>35</v>
      </c>
      <c r="F640" s="46" t="str">
        <f aca="false">IFERROR(VLOOKUP(Orders!E640,Sales_Reps!$A$2:$E$31,3,FALSE()),"Not Found")</f>
        <v>East</v>
      </c>
      <c r="G640" s="46" t="n">
        <f aca="false">IFERROR(VLOOKUP(Orders!D640,Products!$A$2:$F$61,4,FALSE()),"")</f>
        <v>1559</v>
      </c>
      <c r="H640" s="47" t="n">
        <f aca="false">IF(G640="","",(Orders!G640-G640)/Orders!G640)</f>
        <v>0.597157622739018</v>
      </c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</row>
    <row r="641" customFormat="false" ht="15" hidden="false" customHeight="false" outlineLevel="0" collapsed="false">
      <c r="A641" s="46" t="str">
        <f aca="false">Orders!A641</f>
        <v>ORD-00640</v>
      </c>
      <c r="B641" s="46" t="str">
        <f aca="false">PROPER(TRIM(Orders!K641))</f>
        <v>Chennai</v>
      </c>
      <c r="C641" s="46" t="str">
        <f aca="false">IFERROR(VLOOKUP(Orders!D641,Products!$A$2:$F$61,3,FALSE()),"Not Found")</f>
        <v>Home</v>
      </c>
      <c r="D641" s="46" t="str">
        <f aca="false">IFERROR(VLOOKUP(Orders!C641,Customers!$A$2:$F$301,5,FALSE()),"Not Found")</f>
        <v>Retail</v>
      </c>
      <c r="E641" s="46" t="n">
        <f aca="false">IFERROR(VLOOKUP(Orders!C641,Customers!$A$2:$F$301,3,FALSE()),"Not Found")</f>
        <v>24</v>
      </c>
      <c r="F641" s="46" t="str">
        <f aca="false">IFERROR(VLOOKUP(Orders!E641,Sales_Reps!$A$2:$E$31,3,FALSE()),"Not Found")</f>
        <v>South</v>
      </c>
      <c r="G641" s="46" t="n">
        <f aca="false">IFERROR(VLOOKUP(Orders!D641,Products!$A$2:$F$61,4,FALSE()),"")</f>
        <v>288</v>
      </c>
      <c r="H641" s="47" t="n">
        <f aca="false">IF(G641="","",(Orders!G641-G641)/Orders!G641)</f>
        <v>0.221621621621622</v>
      </c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</row>
    <row r="642" customFormat="false" ht="15" hidden="false" customHeight="false" outlineLevel="0" collapsed="false">
      <c r="A642" s="46" t="str">
        <f aca="false">Orders!A642</f>
        <v>ORD-00641</v>
      </c>
      <c r="B642" s="46" t="str">
        <f aca="false">PROPER(TRIM(Orders!K642))</f>
        <v>Hyderabad</v>
      </c>
      <c r="C642" s="46" t="str">
        <f aca="false">IFERROR(VLOOKUP(Orders!D642,Products!$A$2:$F$61,3,FALSE()),"Not Found")</f>
        <v>Apparel</v>
      </c>
      <c r="D642" s="46" t="str">
        <f aca="false">IFERROR(VLOOKUP(Orders!C642,Customers!$A$2:$F$301,5,FALSE()),"Not Found")</f>
        <v>SMB</v>
      </c>
      <c r="E642" s="46" t="n">
        <f aca="false">IFERROR(VLOOKUP(Orders!C642,Customers!$A$2:$F$301,3,FALSE()),"Not Found")</f>
        <v>40</v>
      </c>
      <c r="F642" s="46" t="str">
        <f aca="false">IFERROR(VLOOKUP(Orders!E642,Sales_Reps!$A$2:$E$31,3,FALSE()),"Not Found")</f>
        <v>East</v>
      </c>
      <c r="G642" s="46" t="n">
        <f aca="false">IFERROR(VLOOKUP(Orders!D642,Products!$A$2:$F$61,4,FALSE()),"")</f>
        <v>2509</v>
      </c>
      <c r="H642" s="47" t="n">
        <f aca="false">IF(G642="","",(Orders!G642-G642)/Orders!G642)</f>
        <v>0.306906077348066</v>
      </c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</row>
    <row r="643" customFormat="false" ht="15" hidden="false" customHeight="false" outlineLevel="0" collapsed="false">
      <c r="A643" s="46" t="str">
        <f aca="false">Orders!A643</f>
        <v>ORD-00642</v>
      </c>
      <c r="B643" s="46" t="str">
        <f aca="false">PROPER(TRIM(Orders!K643))</f>
        <v>Bengaluru</v>
      </c>
      <c r="C643" s="46" t="str">
        <f aca="false">IFERROR(VLOOKUP(Orders!D643,Products!$A$2:$F$61,3,FALSE()),"Not Found")</f>
        <v>Electronics</v>
      </c>
      <c r="D643" s="46" t="str">
        <f aca="false">IFERROR(VLOOKUP(Orders!C643,Customers!$A$2:$F$301,5,FALSE()),"Not Found")</f>
        <v>Retail</v>
      </c>
      <c r="E643" s="46" t="n">
        <f aca="false">IFERROR(VLOOKUP(Orders!C643,Customers!$A$2:$F$301,3,FALSE()),"Not Found")</f>
        <v>55</v>
      </c>
      <c r="F643" s="46" t="str">
        <f aca="false">IFERROR(VLOOKUP(Orders!E643,Sales_Reps!$A$2:$E$31,3,FALSE()),"Not Found")</f>
        <v>North</v>
      </c>
      <c r="G643" s="46" t="n">
        <f aca="false">IFERROR(VLOOKUP(Orders!D643,Products!$A$2:$F$61,4,FALSE()),"")</f>
        <v>1259</v>
      </c>
      <c r="H643" s="47" t="n">
        <f aca="false">IF(G643="","",(Orders!G643-G643)/Orders!G643)</f>
        <v>0.526691729323308</v>
      </c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</row>
    <row r="644" customFormat="false" ht="15" hidden="false" customHeight="false" outlineLevel="0" collapsed="false">
      <c r="A644" s="46" t="str">
        <f aca="false">Orders!A644</f>
        <v>ORD-00643</v>
      </c>
      <c r="B644" s="46" t="str">
        <f aca="false">PROPER(TRIM(Orders!K644))</f>
        <v>Delhi</v>
      </c>
      <c r="C644" s="46" t="str">
        <f aca="false">IFERROR(VLOOKUP(Orders!D644,Products!$A$2:$F$61,3,FALSE()),"Not Found")</f>
        <v>Sports</v>
      </c>
      <c r="D644" s="46" t="str">
        <f aca="false">IFERROR(VLOOKUP(Orders!C644,Customers!$A$2:$F$301,5,FALSE()),"Not Found")</f>
        <v>Corporate</v>
      </c>
      <c r="E644" s="46" t="n">
        <f aca="false">IFERROR(VLOOKUP(Orders!C644,Customers!$A$2:$F$301,3,FALSE()),"Not Found")</f>
        <v>55</v>
      </c>
      <c r="F644" s="46" t="str">
        <f aca="false">IFERROR(VLOOKUP(Orders!E644,Sales_Reps!$A$2:$E$31,3,FALSE()),"Not Found")</f>
        <v>South</v>
      </c>
      <c r="G644" s="46" t="n">
        <f aca="false">IFERROR(VLOOKUP(Orders!D644,Products!$A$2:$F$61,4,FALSE()),"")</f>
        <v>2467</v>
      </c>
      <c r="H644" s="47" t="n">
        <f aca="false">IF(G644="","",(Orders!G644-G644)/Orders!G644)</f>
        <v>0.284927536231884</v>
      </c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</row>
    <row r="645" customFormat="false" ht="15" hidden="false" customHeight="false" outlineLevel="0" collapsed="false">
      <c r="A645" s="46" t="str">
        <f aca="false">Orders!A645</f>
        <v>ORD-00644</v>
      </c>
      <c r="B645" s="46" t="str">
        <f aca="false">PROPER(TRIM(Orders!K645))</f>
        <v>Bengaluru</v>
      </c>
      <c r="C645" s="46" t="str">
        <f aca="false">IFERROR(VLOOKUP(Orders!D645,Products!$A$2:$F$61,3,FALSE()),"Not Found")</f>
        <v>Grocery</v>
      </c>
      <c r="D645" s="46" t="str">
        <f aca="false">IFERROR(VLOOKUP(Orders!C645,Customers!$A$2:$F$301,5,FALSE()),"Not Found")</f>
        <v>Corporate</v>
      </c>
      <c r="E645" s="46" t="n">
        <f aca="false">IFERROR(VLOOKUP(Orders!C645,Customers!$A$2:$F$301,3,FALSE()),"Not Found")</f>
        <v>31</v>
      </c>
      <c r="F645" s="46" t="str">
        <f aca="false">IFERROR(VLOOKUP(Orders!E645,Sales_Reps!$A$2:$E$31,3,FALSE()),"Not Found")</f>
        <v>South</v>
      </c>
      <c r="G645" s="46" t="n">
        <f aca="false">IFERROR(VLOOKUP(Orders!D645,Products!$A$2:$F$61,4,FALSE()),"")</f>
        <v>2911</v>
      </c>
      <c r="H645" s="47" t="n">
        <f aca="false">IF(G645="","",(Orders!G645-G645)/Orders!G645)</f>
        <v>0.283004926108374</v>
      </c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</row>
    <row r="646" customFormat="false" ht="15" hidden="false" customHeight="false" outlineLevel="0" collapsed="false">
      <c r="A646" s="46" t="str">
        <f aca="false">Orders!A646</f>
        <v>ORD-00645</v>
      </c>
      <c r="B646" s="46" t="str">
        <f aca="false">PROPER(TRIM(Orders!K646))</f>
        <v>Chennai</v>
      </c>
      <c r="C646" s="46" t="str">
        <f aca="false">IFERROR(VLOOKUP(Orders!D646,Products!$A$2:$F$61,3,FALSE()),"Not Found")</f>
        <v>Sports</v>
      </c>
      <c r="D646" s="46" t="str">
        <f aca="false">IFERROR(VLOOKUP(Orders!C646,Customers!$A$2:$F$301,5,FALSE()),"Not Found")</f>
        <v>Corporate</v>
      </c>
      <c r="E646" s="46" t="n">
        <f aca="false">IFERROR(VLOOKUP(Orders!C646,Customers!$A$2:$F$301,3,FALSE()),"Not Found")</f>
        <v>55</v>
      </c>
      <c r="F646" s="46" t="str">
        <f aca="false">IFERROR(VLOOKUP(Orders!E646,Sales_Reps!$A$2:$E$31,3,FALSE()),"Not Found")</f>
        <v>East</v>
      </c>
      <c r="G646" s="46" t="n">
        <f aca="false">IFERROR(VLOOKUP(Orders!D646,Products!$A$2:$F$61,4,FALSE()),"")</f>
        <v>705</v>
      </c>
      <c r="H646" s="47" t="n">
        <f aca="false">IF(G646="","",(Orders!G646-G646)/Orders!G646)</f>
        <v>0.265625</v>
      </c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</row>
    <row r="647" customFormat="false" ht="15" hidden="false" customHeight="false" outlineLevel="0" collapsed="false">
      <c r="A647" s="46" t="str">
        <f aca="false">Orders!A647</f>
        <v>ORD-00646</v>
      </c>
      <c r="B647" s="46" t="str">
        <f aca="false">PROPER(TRIM(Orders!K647))</f>
        <v>Hyderabad</v>
      </c>
      <c r="C647" s="46" t="str">
        <f aca="false">IFERROR(VLOOKUP(Orders!D647,Products!$A$2:$F$61,3,FALSE()),"Not Found")</f>
        <v>Electronics</v>
      </c>
      <c r="D647" s="46" t="str">
        <f aca="false">IFERROR(VLOOKUP(Orders!C647,Customers!$A$2:$F$301,5,FALSE()),"Not Found")</f>
        <v>SMB</v>
      </c>
      <c r="E647" s="46" t="n">
        <f aca="false">IFERROR(VLOOKUP(Orders!C647,Customers!$A$2:$F$301,3,FALSE()),"Not Found")</f>
        <v>43</v>
      </c>
      <c r="F647" s="46" t="str">
        <f aca="false">IFERROR(VLOOKUP(Orders!E647,Sales_Reps!$A$2:$E$31,3,FALSE()),"Not Found")</f>
        <v>North</v>
      </c>
      <c r="G647" s="46" t="n">
        <f aca="false">IFERROR(VLOOKUP(Orders!D647,Products!$A$2:$F$61,4,FALSE()),"")</f>
        <v>1259</v>
      </c>
      <c r="H647" s="47" t="n">
        <f aca="false">IF(G647="","",(Orders!G647-G647)/Orders!G647)</f>
        <v>0.526691729323308</v>
      </c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</row>
    <row r="648" customFormat="false" ht="15" hidden="false" customHeight="false" outlineLevel="0" collapsed="false">
      <c r="A648" s="46" t="str">
        <f aca="false">Orders!A648</f>
        <v>ORD-00647</v>
      </c>
      <c r="B648" s="46" t="str">
        <f aca="false">PROPER(TRIM(Orders!K648))</f>
        <v>Hyderabad</v>
      </c>
      <c r="C648" s="46" t="str">
        <f aca="false">IFERROR(VLOOKUP(Orders!D648,Products!$A$2:$F$61,3,FALSE()),"Not Found")</f>
        <v>Grocery</v>
      </c>
      <c r="D648" s="46" t="str">
        <f aca="false">IFERROR(VLOOKUP(Orders!C648,Customers!$A$2:$F$301,5,FALSE()),"Not Found")</f>
        <v>SMB</v>
      </c>
      <c r="E648" s="46" t="n">
        <f aca="false">IFERROR(VLOOKUP(Orders!C648,Customers!$A$2:$F$301,3,FALSE()),"Not Found")</f>
        <v>65</v>
      </c>
      <c r="F648" s="46" t="str">
        <f aca="false">IFERROR(VLOOKUP(Orders!E648,Sales_Reps!$A$2:$E$31,3,FALSE()),"Not Found")</f>
        <v>East</v>
      </c>
      <c r="G648" s="46" t="n">
        <f aca="false">IFERROR(VLOOKUP(Orders!D648,Products!$A$2:$F$61,4,FALSE()),"")</f>
        <v>1203</v>
      </c>
      <c r="H648" s="47" t="n">
        <f aca="false">IF(G648="","",(Orders!G648-G648)/Orders!G648)</f>
        <v>0.470044052863436</v>
      </c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</row>
    <row r="649" customFormat="false" ht="15" hidden="false" customHeight="false" outlineLevel="0" collapsed="false">
      <c r="A649" s="46" t="str">
        <f aca="false">Orders!A649</f>
        <v>ORD-00648</v>
      </c>
      <c r="B649" s="46" t="str">
        <f aca="false">PROPER(TRIM(Orders!K649))</f>
        <v>Bengaluru</v>
      </c>
      <c r="C649" s="46" t="str">
        <f aca="false">IFERROR(VLOOKUP(Orders!D649,Products!$A$2:$F$61,3,FALSE()),"Not Found")</f>
        <v>Grocery</v>
      </c>
      <c r="D649" s="46" t="str">
        <f aca="false">IFERROR(VLOOKUP(Orders!C649,Customers!$A$2:$F$301,5,FALSE()),"Not Found")</f>
        <v>SMB</v>
      </c>
      <c r="E649" s="46" t="n">
        <f aca="false">IFERROR(VLOOKUP(Orders!C649,Customers!$A$2:$F$301,3,FALSE()),"Not Found")</f>
        <v>28</v>
      </c>
      <c r="F649" s="46" t="str">
        <f aca="false">IFERROR(VLOOKUP(Orders!E649,Sales_Reps!$A$2:$E$31,3,FALSE()),"Not Found")</f>
        <v>West</v>
      </c>
      <c r="G649" s="46" t="n">
        <f aca="false">IFERROR(VLOOKUP(Orders!D649,Products!$A$2:$F$61,4,FALSE()),"")</f>
        <v>2436</v>
      </c>
      <c r="H649" s="47" t="n">
        <f aca="false">IF(G649="","",(Orders!G649-G649)/Orders!G649)</f>
        <v>0.355555555555556</v>
      </c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</row>
    <row r="650" customFormat="false" ht="15" hidden="false" customHeight="false" outlineLevel="0" collapsed="false">
      <c r="A650" s="46" t="str">
        <f aca="false">Orders!A650</f>
        <v>ORD-00649</v>
      </c>
      <c r="B650" s="46" t="str">
        <f aca="false">PROPER(TRIM(Orders!K650))</f>
        <v>Delhi</v>
      </c>
      <c r="C650" s="46" t="str">
        <f aca="false">IFERROR(VLOOKUP(Orders!D650,Products!$A$2:$F$61,3,FALSE()),"Not Found")</f>
        <v>Home</v>
      </c>
      <c r="D650" s="46" t="str">
        <f aca="false">IFERROR(VLOOKUP(Orders!C650,Customers!$A$2:$F$301,5,FALSE()),"Not Found")</f>
        <v>Retail</v>
      </c>
      <c r="E650" s="46" t="n">
        <f aca="false">IFERROR(VLOOKUP(Orders!C650,Customers!$A$2:$F$301,3,FALSE()),"Not Found")</f>
        <v>55</v>
      </c>
      <c r="F650" s="46" t="str">
        <f aca="false">IFERROR(VLOOKUP(Orders!E650,Sales_Reps!$A$2:$E$31,3,FALSE()),"Not Found")</f>
        <v>East</v>
      </c>
      <c r="G650" s="46" t="n">
        <f aca="false">IFERROR(VLOOKUP(Orders!D650,Products!$A$2:$F$61,4,FALSE()),"")</f>
        <v>329</v>
      </c>
      <c r="H650" s="47" t="n">
        <f aca="false">IF(G650="","",(Orders!G650-G650)/Orders!G650)</f>
        <v>0.501515151515152</v>
      </c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</row>
    <row r="651" customFormat="false" ht="15" hidden="false" customHeight="false" outlineLevel="0" collapsed="false">
      <c r="A651" s="46" t="str">
        <f aca="false">Orders!A651</f>
        <v>ORD-00650</v>
      </c>
      <c r="B651" s="46" t="str">
        <f aca="false">PROPER(TRIM(Orders!K651))</f>
        <v>Pune</v>
      </c>
      <c r="C651" s="46" t="str">
        <f aca="false">IFERROR(VLOOKUP(Orders!D651,Products!$A$2:$F$61,3,FALSE()),"Not Found")</f>
        <v>Home</v>
      </c>
      <c r="D651" s="46" t="str">
        <f aca="false">IFERROR(VLOOKUP(Orders!C651,Customers!$A$2:$F$301,5,FALSE()),"Not Found")</f>
        <v>Corporate</v>
      </c>
      <c r="E651" s="46" t="n">
        <f aca="false">IFERROR(VLOOKUP(Orders!C651,Customers!$A$2:$F$301,3,FALSE()),"Not Found")</f>
        <v>40</v>
      </c>
      <c r="F651" s="46" t="str">
        <f aca="false">IFERROR(VLOOKUP(Orders!E651,Sales_Reps!$A$2:$E$31,3,FALSE()),"Not Found")</f>
        <v>West</v>
      </c>
      <c r="G651" s="46" t="n">
        <f aca="false">IFERROR(VLOOKUP(Orders!D651,Products!$A$2:$F$61,4,FALSE()),"")</f>
        <v>2135</v>
      </c>
      <c r="H651" s="47" t="n">
        <f aca="false">IF(G651="","",(Orders!G651-G651)/Orders!G651)</f>
        <v>0.427613941018767</v>
      </c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</row>
    <row r="652" customFormat="false" ht="15" hidden="false" customHeight="false" outlineLevel="0" collapsed="false">
      <c r="A652" s="46" t="str">
        <f aca="false">Orders!A652</f>
        <v>ORD-00651</v>
      </c>
      <c r="B652" s="46" t="str">
        <f aca="false">PROPER(TRIM(Orders!K652))</f>
        <v>Delhi</v>
      </c>
      <c r="C652" s="46" t="str">
        <f aca="false">IFERROR(VLOOKUP(Orders!D652,Products!$A$2:$F$61,3,FALSE()),"Not Found")</f>
        <v>Grocery</v>
      </c>
      <c r="D652" s="46" t="str">
        <f aca="false">IFERROR(VLOOKUP(Orders!C652,Customers!$A$2:$F$301,5,FALSE()),"Not Found")</f>
        <v>SMB</v>
      </c>
      <c r="E652" s="46" t="n">
        <f aca="false">IFERROR(VLOOKUP(Orders!C652,Customers!$A$2:$F$301,3,FALSE()),"Not Found")</f>
        <v>27</v>
      </c>
      <c r="F652" s="46" t="str">
        <f aca="false">IFERROR(VLOOKUP(Orders!E652,Sales_Reps!$A$2:$E$31,3,FALSE()),"Not Found")</f>
        <v>East</v>
      </c>
      <c r="G652" s="46" t="n">
        <f aca="false">IFERROR(VLOOKUP(Orders!D652,Products!$A$2:$F$61,4,FALSE()),"")</f>
        <v>2911</v>
      </c>
      <c r="H652" s="47" t="n">
        <f aca="false">IF(G652="","",(Orders!G652-G652)/Orders!G652)</f>
        <v>0.283004926108374</v>
      </c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</row>
    <row r="653" customFormat="false" ht="15" hidden="false" customHeight="false" outlineLevel="0" collapsed="false">
      <c r="A653" s="46" t="str">
        <f aca="false">Orders!A653</f>
        <v>ORD-00652</v>
      </c>
      <c r="B653" s="46" t="str">
        <f aca="false">PROPER(TRIM(Orders!K653))</f>
        <v>Bengaluru</v>
      </c>
      <c r="C653" s="46" t="str">
        <f aca="false">IFERROR(VLOOKUP(Orders!D653,Products!$A$2:$F$61,3,FALSE()),"Not Found")</f>
        <v>Grocery</v>
      </c>
      <c r="D653" s="46" t="str">
        <f aca="false">IFERROR(VLOOKUP(Orders!C653,Customers!$A$2:$F$301,5,FALSE()),"Not Found")</f>
        <v>SMB</v>
      </c>
      <c r="E653" s="46" t="n">
        <f aca="false">IFERROR(VLOOKUP(Orders!C653,Customers!$A$2:$F$301,3,FALSE()),"Not Found")</f>
        <v>36</v>
      </c>
      <c r="F653" s="46" t="str">
        <f aca="false">IFERROR(VLOOKUP(Orders!E653,Sales_Reps!$A$2:$E$31,3,FALSE()),"Not Found")</f>
        <v>North</v>
      </c>
      <c r="G653" s="46" t="n">
        <f aca="false">IFERROR(VLOOKUP(Orders!D653,Products!$A$2:$F$61,4,FALSE()),"")</f>
        <v>1203</v>
      </c>
      <c r="H653" s="47" t="n">
        <f aca="false">IF(G653="","",(Orders!G653-G653)/Orders!G653)</f>
        <v>0.470044052863436</v>
      </c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</row>
    <row r="654" customFormat="false" ht="15" hidden="false" customHeight="false" outlineLevel="0" collapsed="false">
      <c r="A654" s="46" t="str">
        <f aca="false">Orders!A654</f>
        <v>ORD-00653</v>
      </c>
      <c r="B654" s="46" t="str">
        <f aca="false">PROPER(TRIM(Orders!K654))</f>
        <v>Hyderabad</v>
      </c>
      <c r="C654" s="46" t="str">
        <f aca="false">IFERROR(VLOOKUP(Orders!D654,Products!$A$2:$F$61,3,FALSE()),"Not Found")</f>
        <v>Electronics</v>
      </c>
      <c r="D654" s="46" t="str">
        <f aca="false">IFERROR(VLOOKUP(Orders!C654,Customers!$A$2:$F$301,5,FALSE()),"Not Found")</f>
        <v>SMB</v>
      </c>
      <c r="E654" s="46" t="n">
        <f aca="false">IFERROR(VLOOKUP(Orders!C654,Customers!$A$2:$F$301,3,FALSE()),"Not Found")</f>
        <v>48</v>
      </c>
      <c r="F654" s="46" t="str">
        <f aca="false">IFERROR(VLOOKUP(Orders!E654,Sales_Reps!$A$2:$E$31,3,FALSE()),"Not Found")</f>
        <v>West</v>
      </c>
      <c r="G654" s="46" t="n">
        <f aca="false">IFERROR(VLOOKUP(Orders!D654,Products!$A$2:$F$61,4,FALSE()),"")</f>
        <v>1665</v>
      </c>
      <c r="H654" s="47" t="n">
        <f aca="false">IF(G654="","",(Orders!G654-G654)/Orders!G654)</f>
        <v>0.533613445378151</v>
      </c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</row>
    <row r="655" customFormat="false" ht="15" hidden="false" customHeight="false" outlineLevel="0" collapsed="false">
      <c r="A655" s="46" t="str">
        <f aca="false">Orders!A655</f>
        <v>ORD-00654</v>
      </c>
      <c r="B655" s="46" t="str">
        <f aca="false">PROPER(TRIM(Orders!K655))</f>
        <v>Hyderabad</v>
      </c>
      <c r="C655" s="46" t="str">
        <f aca="false">IFERROR(VLOOKUP(Orders!D655,Products!$A$2:$F$61,3,FALSE()),"Not Found")</f>
        <v>Grocery</v>
      </c>
      <c r="D655" s="46" t="str">
        <f aca="false">IFERROR(VLOOKUP(Orders!C655,Customers!$A$2:$F$301,5,FALSE()),"Not Found")</f>
        <v>Retail</v>
      </c>
      <c r="E655" s="46" t="n">
        <f aca="false">IFERROR(VLOOKUP(Orders!C655,Customers!$A$2:$F$301,3,FALSE()),"Not Found")</f>
        <v>52</v>
      </c>
      <c r="F655" s="46" t="str">
        <f aca="false">IFERROR(VLOOKUP(Orders!E655,Sales_Reps!$A$2:$E$31,3,FALSE()),"Not Found")</f>
        <v>North</v>
      </c>
      <c r="G655" s="46" t="n">
        <f aca="false">IFERROR(VLOOKUP(Orders!D655,Products!$A$2:$F$61,4,FALSE()),"")</f>
        <v>1010</v>
      </c>
      <c r="H655" s="47" t="n">
        <f aca="false">IF(G655="","",(Orders!G655-G655)/Orders!G655)</f>
        <v>0.542986425339367</v>
      </c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</row>
    <row r="656" customFormat="false" ht="15" hidden="false" customHeight="false" outlineLevel="0" collapsed="false">
      <c r="A656" s="46" t="str">
        <f aca="false">Orders!A656</f>
        <v>ORD-00655</v>
      </c>
      <c r="B656" s="46" t="str">
        <f aca="false">PROPER(TRIM(Orders!K656))</f>
        <v>Mumbai</v>
      </c>
      <c r="C656" s="46" t="str">
        <f aca="false">IFERROR(VLOOKUP(Orders!D656,Products!$A$2:$F$61,3,FALSE()),"Not Found")</f>
        <v>Sports</v>
      </c>
      <c r="D656" s="46" t="str">
        <f aca="false">IFERROR(VLOOKUP(Orders!C656,Customers!$A$2:$F$301,5,FALSE()),"Not Found")</f>
        <v>SMB</v>
      </c>
      <c r="E656" s="46" t="n">
        <f aca="false">IFERROR(VLOOKUP(Orders!C656,Customers!$A$2:$F$301,3,FALSE()),"Not Found")</f>
        <v>43</v>
      </c>
      <c r="F656" s="46" t="str">
        <f aca="false">IFERROR(VLOOKUP(Orders!E656,Sales_Reps!$A$2:$E$31,3,FALSE()),"Not Found")</f>
        <v>West</v>
      </c>
      <c r="G656" s="46" t="n">
        <f aca="false">IFERROR(VLOOKUP(Orders!D656,Products!$A$2:$F$61,4,FALSE()),"")</f>
        <v>705</v>
      </c>
      <c r="H656" s="47" t="n">
        <f aca="false">IF(G656="","",(Orders!G656-G656)/Orders!G656)</f>
        <v>0.265625</v>
      </c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</row>
    <row r="657" customFormat="false" ht="15" hidden="false" customHeight="false" outlineLevel="0" collapsed="false">
      <c r="A657" s="46" t="str">
        <f aca="false">Orders!A657</f>
        <v>ORD-00656</v>
      </c>
      <c r="B657" s="46" t="str">
        <f aca="false">PROPER(TRIM(Orders!K657))</f>
        <v>Hyderabad</v>
      </c>
      <c r="C657" s="46" t="str">
        <f aca="false">IFERROR(VLOOKUP(Orders!D657,Products!$A$2:$F$61,3,FALSE()),"Not Found")</f>
        <v>Sports</v>
      </c>
      <c r="D657" s="46" t="str">
        <f aca="false">IFERROR(VLOOKUP(Orders!C657,Customers!$A$2:$F$301,5,FALSE()),"Not Found")</f>
        <v>Corporate</v>
      </c>
      <c r="E657" s="46" t="n">
        <f aca="false">IFERROR(VLOOKUP(Orders!C657,Customers!$A$2:$F$301,3,FALSE()),"Not Found")</f>
        <v>22</v>
      </c>
      <c r="F657" s="46" t="str">
        <f aca="false">IFERROR(VLOOKUP(Orders!E657,Sales_Reps!$A$2:$E$31,3,FALSE()),"Not Found")</f>
        <v>West</v>
      </c>
      <c r="G657" s="46" t="n">
        <f aca="false">IFERROR(VLOOKUP(Orders!D657,Products!$A$2:$F$61,4,FALSE()),"")</f>
        <v>1860</v>
      </c>
      <c r="H657" s="47" t="n">
        <f aca="false">IF(G657="","",(Orders!G657-G657)/Orders!G657)</f>
        <v>0.507936507936508</v>
      </c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</row>
    <row r="658" customFormat="false" ht="15" hidden="false" customHeight="false" outlineLevel="0" collapsed="false">
      <c r="A658" s="46" t="str">
        <f aca="false">Orders!A658</f>
        <v>ORD-00657</v>
      </c>
      <c r="B658" s="46" t="str">
        <f aca="false">PROPER(TRIM(Orders!K658))</f>
        <v>Chennai</v>
      </c>
      <c r="C658" s="46" t="str">
        <f aca="false">IFERROR(VLOOKUP(Orders!D658,Products!$A$2:$F$61,3,FALSE()),"Not Found")</f>
        <v>Beauty</v>
      </c>
      <c r="D658" s="46" t="str">
        <f aca="false">IFERROR(VLOOKUP(Orders!C658,Customers!$A$2:$F$301,5,FALSE()),"Not Found")</f>
        <v>Corporate</v>
      </c>
      <c r="E658" s="46" t="n">
        <f aca="false">IFERROR(VLOOKUP(Orders!C658,Customers!$A$2:$F$301,3,FALSE()),"Not Found")</f>
        <v>44</v>
      </c>
      <c r="F658" s="46" t="str">
        <f aca="false">IFERROR(VLOOKUP(Orders!E658,Sales_Reps!$A$2:$E$31,3,FALSE()),"Not Found")</f>
        <v>South</v>
      </c>
      <c r="G658" s="46" t="n">
        <f aca="false">IFERROR(VLOOKUP(Orders!D658,Products!$A$2:$F$61,4,FALSE()),"")</f>
        <v>2237</v>
      </c>
      <c r="H658" s="47" t="n">
        <f aca="false">IF(G658="","",(Orders!G658-G658)/Orders!G658)</f>
        <v>0.561372549019608</v>
      </c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</row>
    <row r="659" customFormat="false" ht="15" hidden="false" customHeight="false" outlineLevel="0" collapsed="false">
      <c r="A659" s="46" t="str">
        <f aca="false">Orders!A659</f>
        <v>ORD-00658</v>
      </c>
      <c r="B659" s="46" t="str">
        <f aca="false">PROPER(TRIM(Orders!K659))</f>
        <v>Bengaluru</v>
      </c>
      <c r="C659" s="46" t="str">
        <f aca="false">IFERROR(VLOOKUP(Orders!D659,Products!$A$2:$F$61,3,FALSE()),"Not Found")</f>
        <v>Apparel</v>
      </c>
      <c r="D659" s="46" t="str">
        <f aca="false">IFERROR(VLOOKUP(Orders!C659,Customers!$A$2:$F$301,5,FALSE()),"Not Found")</f>
        <v>SMB</v>
      </c>
      <c r="E659" s="46" t="n">
        <f aca="false">IFERROR(VLOOKUP(Orders!C659,Customers!$A$2:$F$301,3,FALSE()),"Not Found")</f>
        <v>26</v>
      </c>
      <c r="F659" s="46" t="str">
        <f aca="false">IFERROR(VLOOKUP(Orders!E659,Sales_Reps!$A$2:$E$31,3,FALSE()),"Not Found")</f>
        <v>East</v>
      </c>
      <c r="G659" s="46" t="n">
        <f aca="false">IFERROR(VLOOKUP(Orders!D659,Products!$A$2:$F$61,4,FALSE()),"")</f>
        <v>1173</v>
      </c>
      <c r="H659" s="47" t="n">
        <f aca="false">IF(G659="","",(Orders!G659-G659)/Orders!G659)</f>
        <v>0.527016129032258</v>
      </c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</row>
    <row r="660" customFormat="false" ht="15" hidden="false" customHeight="false" outlineLevel="0" collapsed="false">
      <c r="A660" s="46" t="str">
        <f aca="false">Orders!A660</f>
        <v>ORD-00659</v>
      </c>
      <c r="B660" s="46" t="str">
        <f aca="false">PROPER(TRIM(Orders!K660))</f>
        <v>Mumbai</v>
      </c>
      <c r="C660" s="46" t="str">
        <f aca="false">IFERROR(VLOOKUP(Orders!D660,Products!$A$2:$F$61,3,FALSE()),"Not Found")</f>
        <v>Home</v>
      </c>
      <c r="D660" s="46" t="str">
        <f aca="false">IFERROR(VLOOKUP(Orders!C660,Customers!$A$2:$F$301,5,FALSE()),"Not Found")</f>
        <v>Corporate</v>
      </c>
      <c r="E660" s="46" t="n">
        <f aca="false">IFERROR(VLOOKUP(Orders!C660,Customers!$A$2:$F$301,3,FALSE()),"Not Found")</f>
        <v>46</v>
      </c>
      <c r="F660" s="46" t="str">
        <f aca="false">IFERROR(VLOOKUP(Orders!E660,Sales_Reps!$A$2:$E$31,3,FALSE()),"Not Found")</f>
        <v>East</v>
      </c>
      <c r="G660" s="46" t="n">
        <f aca="false">IFERROR(VLOOKUP(Orders!D660,Products!$A$2:$F$61,4,FALSE()),"")</f>
        <v>519</v>
      </c>
      <c r="H660" s="47" t="n">
        <f aca="false">IF(G660="","",(Orders!G660-G660)/Orders!G660)</f>
        <v>0.519444444444445</v>
      </c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</row>
    <row r="661" customFormat="false" ht="15" hidden="false" customHeight="false" outlineLevel="0" collapsed="false">
      <c r="A661" s="46" t="str">
        <f aca="false">Orders!A661</f>
        <v>ORD-00660</v>
      </c>
      <c r="B661" s="46" t="str">
        <f aca="false">PROPER(TRIM(Orders!K661))</f>
        <v>Delhi</v>
      </c>
      <c r="C661" s="46" t="str">
        <f aca="false">IFERROR(VLOOKUP(Orders!D661,Products!$A$2:$F$61,3,FALSE()),"Not Found")</f>
        <v>Electronics</v>
      </c>
      <c r="D661" s="46" t="str">
        <f aca="false">IFERROR(VLOOKUP(Orders!C661,Customers!$A$2:$F$301,5,FALSE()),"Not Found")</f>
        <v>Retail</v>
      </c>
      <c r="E661" s="46" t="n">
        <f aca="false">IFERROR(VLOOKUP(Orders!C661,Customers!$A$2:$F$301,3,FALSE()),"Not Found")</f>
        <v>40</v>
      </c>
      <c r="F661" s="46" t="str">
        <f aca="false">IFERROR(VLOOKUP(Orders!E661,Sales_Reps!$A$2:$E$31,3,FALSE()),"Not Found")</f>
        <v>West</v>
      </c>
      <c r="G661" s="46" t="n">
        <f aca="false">IFERROR(VLOOKUP(Orders!D661,Products!$A$2:$F$61,4,FALSE()),"")</f>
        <v>1052</v>
      </c>
      <c r="H661" s="47" t="n">
        <f aca="false">IF(G661="","",(Orders!G661-G661)/Orders!G661)</f>
        <v>0.595384615384615</v>
      </c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</row>
    <row r="662" customFormat="false" ht="15" hidden="false" customHeight="false" outlineLevel="0" collapsed="false">
      <c r="A662" s="46" t="str">
        <f aca="false">Orders!A662</f>
        <v>ORD-00661</v>
      </c>
      <c r="B662" s="46" t="str">
        <f aca="false">PROPER(TRIM(Orders!K662))</f>
        <v>Chennai</v>
      </c>
      <c r="C662" s="46" t="str">
        <f aca="false">IFERROR(VLOOKUP(Orders!D662,Products!$A$2:$F$61,3,FALSE()),"Not Found")</f>
        <v>Electronics</v>
      </c>
      <c r="D662" s="46" t="str">
        <f aca="false">IFERROR(VLOOKUP(Orders!C662,Customers!$A$2:$F$301,5,FALSE()),"Not Found")</f>
        <v>Retail</v>
      </c>
      <c r="E662" s="46" t="n">
        <f aca="false">IFERROR(VLOOKUP(Orders!C662,Customers!$A$2:$F$301,3,FALSE()),"Not Found")</f>
        <v>36</v>
      </c>
      <c r="F662" s="46" t="str">
        <f aca="false">IFERROR(VLOOKUP(Orders!E662,Sales_Reps!$A$2:$E$31,3,FALSE()),"Not Found")</f>
        <v>South</v>
      </c>
      <c r="G662" s="46" t="n">
        <f aca="false">IFERROR(VLOOKUP(Orders!D662,Products!$A$2:$F$61,4,FALSE()),"")</f>
        <v>1052</v>
      </c>
      <c r="H662" s="47" t="n">
        <f aca="false">IF(G662="","",(Orders!G662-G662)/Orders!G662)</f>
        <v>0.595384615384615</v>
      </c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</row>
    <row r="663" customFormat="false" ht="15" hidden="false" customHeight="false" outlineLevel="0" collapsed="false">
      <c r="A663" s="46" t="str">
        <f aca="false">Orders!A663</f>
        <v>ORD-00662</v>
      </c>
      <c r="B663" s="46" t="str">
        <f aca="false">PROPER(TRIM(Orders!K663))</f>
        <v>Delhi</v>
      </c>
      <c r="C663" s="46" t="str">
        <f aca="false">IFERROR(VLOOKUP(Orders!D663,Products!$A$2:$F$61,3,FALSE()),"Not Found")</f>
        <v>Apparel</v>
      </c>
      <c r="D663" s="46" t="str">
        <f aca="false">IFERROR(VLOOKUP(Orders!C663,Customers!$A$2:$F$301,5,FALSE()),"Not Found")</f>
        <v>SMB</v>
      </c>
      <c r="E663" s="46" t="n">
        <f aca="false">IFERROR(VLOOKUP(Orders!C663,Customers!$A$2:$F$301,3,FALSE()),"Not Found")</f>
        <v>50</v>
      </c>
      <c r="F663" s="46" t="str">
        <f aca="false">IFERROR(VLOOKUP(Orders!E663,Sales_Reps!$A$2:$E$31,3,FALSE()),"Not Found")</f>
        <v>East</v>
      </c>
      <c r="G663" s="46" t="n">
        <f aca="false">IFERROR(VLOOKUP(Orders!D663,Products!$A$2:$F$61,4,FALSE()),"")</f>
        <v>391</v>
      </c>
      <c r="H663" s="47" t="n">
        <f aca="false">IF(G663="","",(Orders!G663-G663)/Orders!G663)</f>
        <v>0.523170731707317</v>
      </c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</row>
    <row r="664" customFormat="false" ht="15" hidden="false" customHeight="false" outlineLevel="0" collapsed="false">
      <c r="A664" s="46" t="str">
        <f aca="false">Orders!A664</f>
        <v>ORD-00663</v>
      </c>
      <c r="B664" s="46" t="str">
        <f aca="false">PROPER(TRIM(Orders!K664))</f>
        <v>Pune</v>
      </c>
      <c r="C664" s="46" t="str">
        <f aca="false">IFERROR(VLOOKUP(Orders!D664,Products!$A$2:$F$61,3,FALSE()),"Not Found")</f>
        <v>Sports</v>
      </c>
      <c r="D664" s="46" t="str">
        <f aca="false">IFERROR(VLOOKUP(Orders!C664,Customers!$A$2:$F$301,5,FALSE()),"Not Found")</f>
        <v>Retail</v>
      </c>
      <c r="E664" s="46" t="n">
        <f aca="false">IFERROR(VLOOKUP(Orders!C664,Customers!$A$2:$F$301,3,FALSE()),"Not Found")</f>
        <v>49</v>
      </c>
      <c r="F664" s="46" t="str">
        <f aca="false">IFERROR(VLOOKUP(Orders!E664,Sales_Reps!$A$2:$E$31,3,FALSE()),"Not Found")</f>
        <v>South</v>
      </c>
      <c r="G664" s="46" t="n">
        <f aca="false">IFERROR(VLOOKUP(Orders!D664,Products!$A$2:$F$61,4,FALSE()),"")</f>
        <v>705</v>
      </c>
      <c r="H664" s="47" t="n">
        <f aca="false">IF(G664="","",(Orders!G664-G664)/Orders!G664)</f>
        <v>0.265625</v>
      </c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</row>
    <row r="665" customFormat="false" ht="15" hidden="false" customHeight="false" outlineLevel="0" collapsed="false">
      <c r="A665" s="46" t="str">
        <f aca="false">Orders!A665</f>
        <v>ORD-00664</v>
      </c>
      <c r="B665" s="46" t="str">
        <f aca="false">PROPER(TRIM(Orders!K665))</f>
        <v>Delhi</v>
      </c>
      <c r="C665" s="46" t="str">
        <f aca="false">IFERROR(VLOOKUP(Orders!D665,Products!$A$2:$F$61,3,FALSE()),"Not Found")</f>
        <v>Beauty</v>
      </c>
      <c r="D665" s="46" t="str">
        <f aca="false">IFERROR(VLOOKUP(Orders!C665,Customers!$A$2:$F$301,5,FALSE()),"Not Found")</f>
        <v>Corporate</v>
      </c>
      <c r="E665" s="46" t="n">
        <f aca="false">IFERROR(VLOOKUP(Orders!C665,Customers!$A$2:$F$301,3,FALSE()),"Not Found")</f>
        <v>55</v>
      </c>
      <c r="F665" s="46" t="str">
        <f aca="false">IFERROR(VLOOKUP(Orders!E665,Sales_Reps!$A$2:$E$31,3,FALSE()),"Not Found")</f>
        <v>East</v>
      </c>
      <c r="G665" s="46" t="n">
        <f aca="false">IFERROR(VLOOKUP(Orders!D665,Products!$A$2:$F$61,4,FALSE()),"")</f>
        <v>647</v>
      </c>
      <c r="H665" s="47" t="n">
        <f aca="false">IF(G665="","",(Orders!G665-G665)/Orders!G665)</f>
        <v>0.57987012987013</v>
      </c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</row>
    <row r="666" customFormat="false" ht="15" hidden="false" customHeight="false" outlineLevel="0" collapsed="false">
      <c r="A666" s="46" t="str">
        <f aca="false">Orders!A666</f>
        <v>ORD-00665</v>
      </c>
      <c r="B666" s="46" t="str">
        <f aca="false">PROPER(TRIM(Orders!K666))</f>
        <v>Bengaluru</v>
      </c>
      <c r="C666" s="46" t="str">
        <f aca="false">IFERROR(VLOOKUP(Orders!D666,Products!$A$2:$F$61,3,FALSE()),"Not Found")</f>
        <v>Sports</v>
      </c>
      <c r="D666" s="46" t="str">
        <f aca="false">IFERROR(VLOOKUP(Orders!C666,Customers!$A$2:$F$301,5,FALSE()),"Not Found")</f>
        <v>SMB</v>
      </c>
      <c r="E666" s="46" t="n">
        <f aca="false">IFERROR(VLOOKUP(Orders!C666,Customers!$A$2:$F$301,3,FALSE()),"Not Found")</f>
        <v>44</v>
      </c>
      <c r="F666" s="46" t="str">
        <f aca="false">IFERROR(VLOOKUP(Orders!E666,Sales_Reps!$A$2:$E$31,3,FALSE()),"Not Found")</f>
        <v>West</v>
      </c>
      <c r="G666" s="46" t="n">
        <f aca="false">IFERROR(VLOOKUP(Orders!D666,Products!$A$2:$F$61,4,FALSE()),"")</f>
        <v>2827</v>
      </c>
      <c r="H666" s="47" t="n">
        <f aca="false">IF(G666="","",(Orders!G666-G666)/Orders!G666)</f>
        <v>0.592651296829971</v>
      </c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</row>
    <row r="667" customFormat="false" ht="15" hidden="false" customHeight="false" outlineLevel="0" collapsed="false">
      <c r="A667" s="46" t="str">
        <f aca="false">Orders!A667</f>
        <v>ORD-00666</v>
      </c>
      <c r="B667" s="46" t="str">
        <f aca="false">PROPER(TRIM(Orders!K667))</f>
        <v>Chennai</v>
      </c>
      <c r="C667" s="46" t="str">
        <f aca="false">IFERROR(VLOOKUP(Orders!D667,Products!$A$2:$F$61,3,FALSE()),"Not Found")</f>
        <v>Beauty</v>
      </c>
      <c r="D667" s="46" t="str">
        <f aca="false">IFERROR(VLOOKUP(Orders!C667,Customers!$A$2:$F$301,5,FALSE()),"Not Found")</f>
        <v>SMB</v>
      </c>
      <c r="E667" s="46" t="n">
        <f aca="false">IFERROR(VLOOKUP(Orders!C667,Customers!$A$2:$F$301,3,FALSE()),"Not Found")</f>
        <v>53</v>
      </c>
      <c r="F667" s="46" t="str">
        <f aca="false">IFERROR(VLOOKUP(Orders!E667,Sales_Reps!$A$2:$E$31,3,FALSE()),"Not Found")</f>
        <v>South</v>
      </c>
      <c r="G667" s="46" t="n">
        <f aca="false">IFERROR(VLOOKUP(Orders!D667,Products!$A$2:$F$61,4,FALSE()),"")</f>
        <v>647</v>
      </c>
      <c r="H667" s="47" t="n">
        <f aca="false">IF(G667="","",(Orders!G667-G667)/Orders!G667)</f>
        <v>0.57987012987013</v>
      </c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</row>
    <row r="668" customFormat="false" ht="15" hidden="false" customHeight="false" outlineLevel="0" collapsed="false">
      <c r="A668" s="46" t="str">
        <f aca="false">Orders!A668</f>
        <v>ORD-00667</v>
      </c>
      <c r="B668" s="46" t="str">
        <f aca="false">PROPER(TRIM(Orders!K668))</f>
        <v>Delhi</v>
      </c>
      <c r="C668" s="46" t="str">
        <f aca="false">IFERROR(VLOOKUP(Orders!D668,Products!$A$2:$F$61,3,FALSE()),"Not Found")</f>
        <v>Home</v>
      </c>
      <c r="D668" s="46" t="str">
        <f aca="false">IFERROR(VLOOKUP(Orders!C668,Customers!$A$2:$F$301,5,FALSE()),"Not Found")</f>
        <v>Retail</v>
      </c>
      <c r="E668" s="46" t="n">
        <f aca="false">IFERROR(VLOOKUP(Orders!C668,Customers!$A$2:$F$301,3,FALSE()),"Not Found")</f>
        <v>53</v>
      </c>
      <c r="F668" s="46" t="str">
        <f aca="false">IFERROR(VLOOKUP(Orders!E668,Sales_Reps!$A$2:$E$31,3,FALSE()),"Not Found")</f>
        <v>South</v>
      </c>
      <c r="G668" s="46" t="n">
        <f aca="false">IFERROR(VLOOKUP(Orders!D668,Products!$A$2:$F$61,4,FALSE()),"")</f>
        <v>2135</v>
      </c>
      <c r="H668" s="47" t="n">
        <f aca="false">IF(G668="","",(Orders!G668-G668)/Orders!G668)</f>
        <v>0.427613941018767</v>
      </c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</row>
    <row r="669" customFormat="false" ht="15" hidden="false" customHeight="false" outlineLevel="0" collapsed="false">
      <c r="A669" s="46" t="str">
        <f aca="false">Orders!A669</f>
        <v>ORD-00668</v>
      </c>
      <c r="B669" s="46" t="str">
        <f aca="false">PROPER(TRIM(Orders!K669))</f>
        <v>Bengaluru</v>
      </c>
      <c r="C669" s="46" t="str">
        <f aca="false">IFERROR(VLOOKUP(Orders!D669,Products!$A$2:$F$61,3,FALSE()),"Not Found")</f>
        <v>Grocery</v>
      </c>
      <c r="D669" s="46" t="str">
        <f aca="false">IFERROR(VLOOKUP(Orders!C669,Customers!$A$2:$F$301,5,FALSE()),"Not Found")</f>
        <v>Retail</v>
      </c>
      <c r="E669" s="46" t="n">
        <f aca="false">IFERROR(VLOOKUP(Orders!C669,Customers!$A$2:$F$301,3,FALSE()),"Not Found")</f>
        <v>34</v>
      </c>
      <c r="F669" s="46" t="str">
        <f aca="false">IFERROR(VLOOKUP(Orders!E669,Sales_Reps!$A$2:$E$31,3,FALSE()),"Not Found")</f>
        <v>East</v>
      </c>
      <c r="G669" s="46" t="n">
        <f aca="false">IFERROR(VLOOKUP(Orders!D669,Products!$A$2:$F$61,4,FALSE()),"")</f>
        <v>1435</v>
      </c>
      <c r="H669" s="47" t="n">
        <f aca="false">IF(G669="","",(Orders!G669-G669)/Orders!G669)</f>
        <v>0.480072463768116</v>
      </c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</row>
    <row r="670" customFormat="false" ht="15" hidden="false" customHeight="false" outlineLevel="0" collapsed="false">
      <c r="A670" s="46" t="str">
        <f aca="false">Orders!A670</f>
        <v>ORD-00669</v>
      </c>
      <c r="B670" s="46" t="str">
        <f aca="false">PROPER(TRIM(Orders!K670))</f>
        <v>Chennai</v>
      </c>
      <c r="C670" s="46" t="str">
        <f aca="false">IFERROR(VLOOKUP(Orders!D670,Products!$A$2:$F$61,3,FALSE()),"Not Found")</f>
        <v>Electronics</v>
      </c>
      <c r="D670" s="46" t="str">
        <f aca="false">IFERROR(VLOOKUP(Orders!C670,Customers!$A$2:$F$301,5,FALSE()),"Not Found")</f>
        <v>Corporate</v>
      </c>
      <c r="E670" s="46" t="n">
        <f aca="false">IFERROR(VLOOKUP(Orders!C670,Customers!$A$2:$F$301,3,FALSE()),"Not Found")</f>
        <v>51</v>
      </c>
      <c r="F670" s="46" t="str">
        <f aca="false">IFERROR(VLOOKUP(Orders!E670,Sales_Reps!$A$2:$E$31,3,FALSE()),"Not Found")</f>
        <v>East</v>
      </c>
      <c r="G670" s="46" t="n">
        <f aca="false">IFERROR(VLOOKUP(Orders!D670,Products!$A$2:$F$61,4,FALSE()),"")</f>
        <v>2865</v>
      </c>
      <c r="H670" s="47" t="n">
        <f aca="false">IF(G670="","",(Orders!G670-G670)/Orders!G670)</f>
        <v>0.278337531486146</v>
      </c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</row>
    <row r="671" customFormat="false" ht="15" hidden="false" customHeight="false" outlineLevel="0" collapsed="false">
      <c r="A671" s="46" t="str">
        <f aca="false">Orders!A671</f>
        <v>ORD-00670</v>
      </c>
      <c r="B671" s="46" t="str">
        <f aca="false">PROPER(TRIM(Orders!K671))</f>
        <v>Bengaluru</v>
      </c>
      <c r="C671" s="46" t="str">
        <f aca="false">IFERROR(VLOOKUP(Orders!D671,Products!$A$2:$F$61,3,FALSE()),"Not Found")</f>
        <v>Grocery</v>
      </c>
      <c r="D671" s="46" t="str">
        <f aca="false">IFERROR(VLOOKUP(Orders!C671,Customers!$A$2:$F$301,5,FALSE()),"Not Found")</f>
        <v>SMB</v>
      </c>
      <c r="E671" s="46" t="n">
        <f aca="false">IFERROR(VLOOKUP(Orders!C671,Customers!$A$2:$F$301,3,FALSE()),"Not Found")</f>
        <v>28</v>
      </c>
      <c r="F671" s="46" t="str">
        <f aca="false">IFERROR(VLOOKUP(Orders!E671,Sales_Reps!$A$2:$E$31,3,FALSE()),"Not Found")</f>
        <v>East</v>
      </c>
      <c r="G671" s="46" t="n">
        <f aca="false">IFERROR(VLOOKUP(Orders!D671,Products!$A$2:$F$61,4,FALSE()),"")</f>
        <v>2436</v>
      </c>
      <c r="H671" s="47" t="n">
        <f aca="false">IF(G671="","",(Orders!G671-G671)/Orders!G671)</f>
        <v>0.355555555555556</v>
      </c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</row>
    <row r="672" customFormat="false" ht="15" hidden="false" customHeight="false" outlineLevel="0" collapsed="false">
      <c r="A672" s="46" t="str">
        <f aca="false">Orders!A672</f>
        <v>ORD-00671</v>
      </c>
      <c r="B672" s="46" t="str">
        <f aca="false">PROPER(TRIM(Orders!K672))</f>
        <v>Bengaluru</v>
      </c>
      <c r="C672" s="46" t="str">
        <f aca="false">IFERROR(VLOOKUP(Orders!D672,Products!$A$2:$F$61,3,FALSE()),"Not Found")</f>
        <v>Apparel</v>
      </c>
      <c r="D672" s="46" t="str">
        <f aca="false">IFERROR(VLOOKUP(Orders!C672,Customers!$A$2:$F$301,5,FALSE()),"Not Found")</f>
        <v>Retail</v>
      </c>
      <c r="E672" s="46" t="n">
        <f aca="false">IFERROR(VLOOKUP(Orders!C672,Customers!$A$2:$F$301,3,FALSE()),"Not Found")</f>
        <v>52</v>
      </c>
      <c r="F672" s="46" t="str">
        <f aca="false">IFERROR(VLOOKUP(Orders!E672,Sales_Reps!$A$2:$E$31,3,FALSE()),"Not Found")</f>
        <v>North</v>
      </c>
      <c r="G672" s="46" t="n">
        <f aca="false">IFERROR(VLOOKUP(Orders!D672,Products!$A$2:$F$61,4,FALSE()),"")</f>
        <v>1962</v>
      </c>
      <c r="H672" s="47" t="n">
        <f aca="false">IF(G672="","",(Orders!G672-G672)/Orders!G672)</f>
        <v>0.278676470588235</v>
      </c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</row>
    <row r="673" customFormat="false" ht="15" hidden="false" customHeight="false" outlineLevel="0" collapsed="false">
      <c r="A673" s="46" t="str">
        <f aca="false">Orders!A673</f>
        <v>ORD-00672</v>
      </c>
      <c r="B673" s="46" t="str">
        <f aca="false">PROPER(TRIM(Orders!K673))</f>
        <v>Mumbai</v>
      </c>
      <c r="C673" s="46" t="str">
        <f aca="false">IFERROR(VLOOKUP(Orders!D673,Products!$A$2:$F$61,3,FALSE()),"Not Found")</f>
        <v>Electronics</v>
      </c>
      <c r="D673" s="46" t="str">
        <f aca="false">IFERROR(VLOOKUP(Orders!C673,Customers!$A$2:$F$301,5,FALSE()),"Not Found")</f>
        <v>Retail</v>
      </c>
      <c r="E673" s="46" t="n">
        <f aca="false">IFERROR(VLOOKUP(Orders!C673,Customers!$A$2:$F$301,3,FALSE()),"Not Found")</f>
        <v>49</v>
      </c>
      <c r="F673" s="46" t="str">
        <f aca="false">IFERROR(VLOOKUP(Orders!E673,Sales_Reps!$A$2:$E$31,3,FALSE()),"Not Found")</f>
        <v>East</v>
      </c>
      <c r="G673" s="46" t="n">
        <f aca="false">IFERROR(VLOOKUP(Orders!D673,Products!$A$2:$F$61,4,FALSE()),"")</f>
        <v>2865</v>
      </c>
      <c r="H673" s="47" t="n">
        <f aca="false">IF(G673="","",(Orders!G673-G673)/Orders!G673)</f>
        <v>0.278337531486146</v>
      </c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</row>
    <row r="674" customFormat="false" ht="15" hidden="false" customHeight="false" outlineLevel="0" collapsed="false">
      <c r="A674" s="46" t="str">
        <f aca="false">Orders!A674</f>
        <v>ORD-00673</v>
      </c>
      <c r="B674" s="46" t="str">
        <f aca="false">PROPER(TRIM(Orders!K674))</f>
        <v>Pune</v>
      </c>
      <c r="C674" s="46" t="str">
        <f aca="false">IFERROR(VLOOKUP(Orders!D674,Products!$A$2:$F$61,3,FALSE()),"Not Found")</f>
        <v>Apparel</v>
      </c>
      <c r="D674" s="46" t="str">
        <f aca="false">IFERROR(VLOOKUP(Orders!C674,Customers!$A$2:$F$301,5,FALSE()),"Not Found")</f>
        <v>SMB</v>
      </c>
      <c r="E674" s="46" t="n">
        <f aca="false">IFERROR(VLOOKUP(Orders!C674,Customers!$A$2:$F$301,3,FALSE()),"Not Found")</f>
        <v>39</v>
      </c>
      <c r="F674" s="46" t="str">
        <f aca="false">IFERROR(VLOOKUP(Orders!E674,Sales_Reps!$A$2:$E$31,3,FALSE()),"Not Found")</f>
        <v>South</v>
      </c>
      <c r="G674" s="46" t="n">
        <f aca="false">IFERROR(VLOOKUP(Orders!D674,Products!$A$2:$F$61,4,FALSE()),"")</f>
        <v>391</v>
      </c>
      <c r="H674" s="47" t="n">
        <f aca="false">IF(G674="","",(Orders!G674-G674)/Orders!G674)</f>
        <v>0.523170731707317</v>
      </c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</row>
    <row r="675" customFormat="false" ht="15" hidden="false" customHeight="false" outlineLevel="0" collapsed="false">
      <c r="A675" s="46" t="str">
        <f aca="false">Orders!A675</f>
        <v>ORD-00674</v>
      </c>
      <c r="B675" s="46" t="str">
        <f aca="false">PROPER(TRIM(Orders!K675))</f>
        <v>Mumbai</v>
      </c>
      <c r="C675" s="46" t="str">
        <f aca="false">IFERROR(VLOOKUP(Orders!D675,Products!$A$2:$F$61,3,FALSE()),"Not Found")</f>
        <v>Apparel</v>
      </c>
      <c r="D675" s="46" t="str">
        <f aca="false">IFERROR(VLOOKUP(Orders!C675,Customers!$A$2:$F$301,5,FALSE()),"Not Found")</f>
        <v>Retail</v>
      </c>
      <c r="E675" s="46" t="n">
        <f aca="false">IFERROR(VLOOKUP(Orders!C675,Customers!$A$2:$F$301,3,FALSE()),"Not Found")</f>
        <v>37</v>
      </c>
      <c r="F675" s="46" t="str">
        <f aca="false">IFERROR(VLOOKUP(Orders!E675,Sales_Reps!$A$2:$E$31,3,FALSE()),"Not Found")</f>
        <v>South</v>
      </c>
      <c r="G675" s="46" t="n">
        <f aca="false">IFERROR(VLOOKUP(Orders!D675,Products!$A$2:$F$61,4,FALSE()),"")</f>
        <v>396</v>
      </c>
      <c r="H675" s="47" t="n">
        <f aca="false">IF(G675="","",(Orders!G675-G675)/Orders!G675)</f>
        <v>0.361290322580645</v>
      </c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</row>
    <row r="676" customFormat="false" ht="15" hidden="false" customHeight="false" outlineLevel="0" collapsed="false">
      <c r="A676" s="46" t="str">
        <f aca="false">Orders!A676</f>
        <v>ORD-00675</v>
      </c>
      <c r="B676" s="46" t="str">
        <f aca="false">PROPER(TRIM(Orders!K676))</f>
        <v>Hyderabad</v>
      </c>
      <c r="C676" s="46" t="str">
        <f aca="false">IFERROR(VLOOKUP(Orders!D676,Products!$A$2:$F$61,3,FALSE()),"Not Found")</f>
        <v>Beauty</v>
      </c>
      <c r="D676" s="46" t="str">
        <f aca="false">IFERROR(VLOOKUP(Orders!C676,Customers!$A$2:$F$301,5,FALSE()),"Not Found")</f>
        <v>Retail</v>
      </c>
      <c r="E676" s="46" t="n">
        <f aca="false">IFERROR(VLOOKUP(Orders!C676,Customers!$A$2:$F$301,3,FALSE()),"Not Found")</f>
        <v>31</v>
      </c>
      <c r="F676" s="46" t="str">
        <f aca="false">IFERROR(VLOOKUP(Orders!E676,Sales_Reps!$A$2:$E$31,3,FALSE()),"Not Found")</f>
        <v>West</v>
      </c>
      <c r="G676" s="46" t="n">
        <f aca="false">IFERROR(VLOOKUP(Orders!D676,Products!$A$2:$F$61,4,FALSE()),"")</f>
        <v>1219</v>
      </c>
      <c r="H676" s="47" t="n">
        <f aca="false">IF(G676="","",(Orders!G676-G676)/Orders!G676)</f>
        <v>0.467685589519651</v>
      </c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</row>
    <row r="677" customFormat="false" ht="15" hidden="false" customHeight="false" outlineLevel="0" collapsed="false">
      <c r="A677" s="46" t="str">
        <f aca="false">Orders!A677</f>
        <v>ORD-00676</v>
      </c>
      <c r="B677" s="46" t="str">
        <f aca="false">PROPER(TRIM(Orders!K677))</f>
        <v>Bengaluru</v>
      </c>
      <c r="C677" s="46" t="str">
        <f aca="false">IFERROR(VLOOKUP(Orders!D677,Products!$A$2:$F$61,3,FALSE()),"Not Found")</f>
        <v>Grocery</v>
      </c>
      <c r="D677" s="46" t="str">
        <f aca="false">IFERROR(VLOOKUP(Orders!C677,Customers!$A$2:$F$301,5,FALSE()),"Not Found")</f>
        <v>Corporate</v>
      </c>
      <c r="E677" s="46" t="n">
        <f aca="false">IFERROR(VLOOKUP(Orders!C677,Customers!$A$2:$F$301,3,FALSE()),"Not Found")</f>
        <v>41</v>
      </c>
      <c r="F677" s="46" t="str">
        <f aca="false">IFERROR(VLOOKUP(Orders!E677,Sales_Reps!$A$2:$E$31,3,FALSE()),"Not Found")</f>
        <v>West</v>
      </c>
      <c r="G677" s="46" t="n">
        <f aca="false">IFERROR(VLOOKUP(Orders!D677,Products!$A$2:$F$61,4,FALSE()),"")</f>
        <v>434</v>
      </c>
      <c r="H677" s="47" t="n">
        <f aca="false">IF(G677="","",(Orders!G677-G677)/Orders!G677)</f>
        <v>0.552577319587629</v>
      </c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</row>
    <row r="678" customFormat="false" ht="15" hidden="false" customHeight="false" outlineLevel="0" collapsed="false">
      <c r="A678" s="46" t="str">
        <f aca="false">Orders!A678</f>
        <v>ORD-00677</v>
      </c>
      <c r="B678" s="46" t="str">
        <f aca="false">PROPER(TRIM(Orders!K678))</f>
        <v>Delhi</v>
      </c>
      <c r="C678" s="46" t="str">
        <f aca="false">IFERROR(VLOOKUP(Orders!D678,Products!$A$2:$F$61,3,FALSE()),"Not Found")</f>
        <v>Home</v>
      </c>
      <c r="D678" s="46" t="str">
        <f aca="false">IFERROR(VLOOKUP(Orders!C678,Customers!$A$2:$F$301,5,FALSE()),"Not Found")</f>
        <v>Retail</v>
      </c>
      <c r="E678" s="46" t="n">
        <f aca="false">IFERROR(VLOOKUP(Orders!C678,Customers!$A$2:$F$301,3,FALSE()),"Not Found")</f>
        <v>47</v>
      </c>
      <c r="F678" s="46" t="str">
        <f aca="false">IFERROR(VLOOKUP(Orders!E678,Sales_Reps!$A$2:$E$31,3,FALSE()),"Not Found")</f>
        <v>South</v>
      </c>
      <c r="G678" s="46" t="n">
        <f aca="false">IFERROR(VLOOKUP(Orders!D678,Products!$A$2:$F$61,4,FALSE()),"")</f>
        <v>288</v>
      </c>
      <c r="H678" s="47" t="n">
        <f aca="false">IF(G678="","",(Orders!G678-G678)/Orders!G678)</f>
        <v>0.221621621621622</v>
      </c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</row>
    <row r="679" customFormat="false" ht="15" hidden="false" customHeight="false" outlineLevel="0" collapsed="false">
      <c r="A679" s="46" t="str">
        <f aca="false">Orders!A679</f>
        <v>ORD-00678</v>
      </c>
      <c r="B679" s="46" t="str">
        <f aca="false">PROPER(TRIM(Orders!K679))</f>
        <v>Delhi</v>
      </c>
      <c r="C679" s="46" t="str">
        <f aca="false">IFERROR(VLOOKUP(Orders!D679,Products!$A$2:$F$61,3,FALSE()),"Not Found")</f>
        <v>Electronics</v>
      </c>
      <c r="D679" s="46" t="str">
        <f aca="false">IFERROR(VLOOKUP(Orders!C679,Customers!$A$2:$F$301,5,FALSE()),"Not Found")</f>
        <v>SMB</v>
      </c>
      <c r="E679" s="46" t="n">
        <f aca="false">IFERROR(VLOOKUP(Orders!C679,Customers!$A$2:$F$301,3,FALSE()),"Not Found")</f>
        <v>26</v>
      </c>
      <c r="F679" s="46" t="str">
        <f aca="false">IFERROR(VLOOKUP(Orders!E679,Sales_Reps!$A$2:$E$31,3,FALSE()),"Not Found")</f>
        <v>North</v>
      </c>
      <c r="G679" s="46" t="n">
        <f aca="false">IFERROR(VLOOKUP(Orders!D679,Products!$A$2:$F$61,4,FALSE()),"")</f>
        <v>861</v>
      </c>
      <c r="H679" s="47" t="n">
        <f aca="false">IF(G679="","",(Orders!G679-G679)/Orders!G679)</f>
        <v>0.397902097902098</v>
      </c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</row>
    <row r="680" customFormat="false" ht="15" hidden="false" customHeight="false" outlineLevel="0" collapsed="false">
      <c r="A680" s="46" t="str">
        <f aca="false">Orders!A680</f>
        <v>ORD-00679</v>
      </c>
      <c r="B680" s="46" t="str">
        <f aca="false">PROPER(TRIM(Orders!K680))</f>
        <v>Bengaluru</v>
      </c>
      <c r="C680" s="46" t="str">
        <f aca="false">IFERROR(VLOOKUP(Orders!D680,Products!$A$2:$F$61,3,FALSE()),"Not Found")</f>
        <v>Sports</v>
      </c>
      <c r="D680" s="46" t="str">
        <f aca="false">IFERROR(VLOOKUP(Orders!C680,Customers!$A$2:$F$301,5,FALSE()),"Not Found")</f>
        <v>Retail</v>
      </c>
      <c r="E680" s="46" t="n">
        <f aca="false">IFERROR(VLOOKUP(Orders!C680,Customers!$A$2:$F$301,3,FALSE()),"Not Found")</f>
        <v>37</v>
      </c>
      <c r="F680" s="46" t="str">
        <f aca="false">IFERROR(VLOOKUP(Orders!E680,Sales_Reps!$A$2:$E$31,3,FALSE()),"Not Found")</f>
        <v>West</v>
      </c>
      <c r="G680" s="46" t="n">
        <f aca="false">IFERROR(VLOOKUP(Orders!D680,Products!$A$2:$F$61,4,FALSE()),"")</f>
        <v>974</v>
      </c>
      <c r="H680" s="47" t="n">
        <f aca="false">IF(G680="","",(Orders!G680-G680)/Orders!G680)</f>
        <v>0.594166666666667</v>
      </c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</row>
    <row r="681" customFormat="false" ht="15" hidden="false" customHeight="false" outlineLevel="0" collapsed="false">
      <c r="A681" s="46" t="str">
        <f aca="false">Orders!A681</f>
        <v>ORD-00680</v>
      </c>
      <c r="B681" s="46" t="str">
        <f aca="false">PROPER(TRIM(Orders!K681))</f>
        <v>Delhi</v>
      </c>
      <c r="C681" s="46" t="str">
        <f aca="false">IFERROR(VLOOKUP(Orders!D681,Products!$A$2:$F$61,3,FALSE()),"Not Found")</f>
        <v>Electronics</v>
      </c>
      <c r="D681" s="46" t="str">
        <f aca="false">IFERROR(VLOOKUP(Orders!C681,Customers!$A$2:$F$301,5,FALSE()),"Not Found")</f>
        <v>SMB</v>
      </c>
      <c r="E681" s="46" t="n">
        <f aca="false">IFERROR(VLOOKUP(Orders!C681,Customers!$A$2:$F$301,3,FALSE()),"Not Found")</f>
        <v>53</v>
      </c>
      <c r="F681" s="46" t="str">
        <f aca="false">IFERROR(VLOOKUP(Orders!E681,Sales_Reps!$A$2:$E$31,3,FALSE()),"Not Found")</f>
        <v>South</v>
      </c>
      <c r="G681" s="46" t="n">
        <f aca="false">IFERROR(VLOOKUP(Orders!D681,Products!$A$2:$F$61,4,FALSE()),"")</f>
        <v>861</v>
      </c>
      <c r="H681" s="47" t="n">
        <f aca="false">IF(G681="","",(Orders!G681-G681)/Orders!G681)</f>
        <v>0.397902097902098</v>
      </c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</row>
    <row r="682" customFormat="false" ht="15" hidden="false" customHeight="false" outlineLevel="0" collapsed="false">
      <c r="A682" s="46" t="str">
        <f aca="false">Orders!A682</f>
        <v>ORD-00681</v>
      </c>
      <c r="B682" s="46" t="str">
        <f aca="false">PROPER(TRIM(Orders!K682))</f>
        <v>Delhi</v>
      </c>
      <c r="C682" s="46" t="str">
        <f aca="false">IFERROR(VLOOKUP(Orders!D682,Products!$A$2:$F$61,3,FALSE()),"Not Found")</f>
        <v>Apparel</v>
      </c>
      <c r="D682" s="46" t="str">
        <f aca="false">IFERROR(VLOOKUP(Orders!C682,Customers!$A$2:$F$301,5,FALSE()),"Not Found")</f>
        <v>SMB</v>
      </c>
      <c r="E682" s="46" t="n">
        <f aca="false">IFERROR(VLOOKUP(Orders!C682,Customers!$A$2:$F$301,3,FALSE()),"Not Found")</f>
        <v>48</v>
      </c>
      <c r="F682" s="46" t="str">
        <f aca="false">IFERROR(VLOOKUP(Orders!E682,Sales_Reps!$A$2:$E$31,3,FALSE()),"Not Found")</f>
        <v>North</v>
      </c>
      <c r="G682" s="46" t="n">
        <f aca="false">IFERROR(VLOOKUP(Orders!D682,Products!$A$2:$F$61,4,FALSE()),"")</f>
        <v>1962</v>
      </c>
      <c r="H682" s="47" t="n">
        <f aca="false">IF(G682="","",(Orders!G682-G682)/Orders!G682)</f>
        <v>0.278676470588235</v>
      </c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</row>
    <row r="683" customFormat="false" ht="15" hidden="false" customHeight="false" outlineLevel="0" collapsed="false">
      <c r="A683" s="46" t="str">
        <f aca="false">Orders!A683</f>
        <v>ORD-00682</v>
      </c>
      <c r="B683" s="46" t="str">
        <f aca="false">PROPER(TRIM(Orders!K683))</f>
        <v>Chennai</v>
      </c>
      <c r="C683" s="46" t="str">
        <f aca="false">IFERROR(VLOOKUP(Orders!D683,Products!$A$2:$F$61,3,FALSE()),"Not Found")</f>
        <v>Sports</v>
      </c>
      <c r="D683" s="46" t="str">
        <f aca="false">IFERROR(VLOOKUP(Orders!C683,Customers!$A$2:$F$301,5,FALSE()),"Not Found")</f>
        <v>Retail</v>
      </c>
      <c r="E683" s="46" t="n">
        <f aca="false">IFERROR(VLOOKUP(Orders!C683,Customers!$A$2:$F$301,3,FALSE()),"Not Found")</f>
        <v>24</v>
      </c>
      <c r="F683" s="46" t="str">
        <f aca="false">IFERROR(VLOOKUP(Orders!E683,Sales_Reps!$A$2:$E$31,3,FALSE()),"Not Found")</f>
        <v>West</v>
      </c>
      <c r="G683" s="46" t="n">
        <f aca="false">IFERROR(VLOOKUP(Orders!D683,Products!$A$2:$F$61,4,FALSE()),"")</f>
        <v>2827</v>
      </c>
      <c r="H683" s="47" t="n">
        <f aca="false">IF(G683="","",(Orders!G683-G683)/Orders!G683)</f>
        <v>0.592651296829971</v>
      </c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</row>
    <row r="684" customFormat="false" ht="15" hidden="false" customHeight="false" outlineLevel="0" collapsed="false">
      <c r="A684" s="46" t="str">
        <f aca="false">Orders!A684</f>
        <v>ORD-00683</v>
      </c>
      <c r="B684" s="46" t="str">
        <f aca="false">PROPER(TRIM(Orders!K684))</f>
        <v>Pune</v>
      </c>
      <c r="C684" s="46" t="str">
        <f aca="false">IFERROR(VLOOKUP(Orders!D684,Products!$A$2:$F$61,3,FALSE()),"Not Found")</f>
        <v>Apparel</v>
      </c>
      <c r="D684" s="46" t="str">
        <f aca="false">IFERROR(VLOOKUP(Orders!C684,Customers!$A$2:$F$301,5,FALSE()),"Not Found")</f>
        <v>Corporate</v>
      </c>
      <c r="E684" s="46" t="n">
        <f aca="false">IFERROR(VLOOKUP(Orders!C684,Customers!$A$2:$F$301,3,FALSE()),"Not Found")</f>
        <v>42</v>
      </c>
      <c r="F684" s="46" t="str">
        <f aca="false">IFERROR(VLOOKUP(Orders!E684,Sales_Reps!$A$2:$E$31,3,FALSE()),"Not Found")</f>
        <v>North</v>
      </c>
      <c r="G684" s="46" t="n">
        <f aca="false">IFERROR(VLOOKUP(Orders!D684,Products!$A$2:$F$61,4,FALSE()),"")</f>
        <v>2509</v>
      </c>
      <c r="H684" s="47" t="n">
        <f aca="false">IF(G684="","",(Orders!G684-G684)/Orders!G684)</f>
        <v>0.306906077348066</v>
      </c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</row>
    <row r="685" customFormat="false" ht="15" hidden="false" customHeight="false" outlineLevel="0" collapsed="false">
      <c r="A685" s="46" t="str">
        <f aca="false">Orders!A685</f>
        <v>ORD-00684</v>
      </c>
      <c r="B685" s="46" t="str">
        <f aca="false">PROPER(TRIM(Orders!K685))</f>
        <v>Chennai</v>
      </c>
      <c r="C685" s="46" t="str">
        <f aca="false">IFERROR(VLOOKUP(Orders!D685,Products!$A$2:$F$61,3,FALSE()),"Not Found")</f>
        <v>Electronics</v>
      </c>
      <c r="D685" s="46" t="str">
        <f aca="false">IFERROR(VLOOKUP(Orders!C685,Customers!$A$2:$F$301,5,FALSE()),"Not Found")</f>
        <v>SMB</v>
      </c>
      <c r="E685" s="46" t="n">
        <f aca="false">IFERROR(VLOOKUP(Orders!C685,Customers!$A$2:$F$301,3,FALSE()),"Not Found")</f>
        <v>53</v>
      </c>
      <c r="F685" s="46" t="str">
        <f aca="false">IFERROR(VLOOKUP(Orders!E685,Sales_Reps!$A$2:$E$31,3,FALSE()),"Not Found")</f>
        <v>West</v>
      </c>
      <c r="G685" s="46" t="n">
        <f aca="false">IFERROR(VLOOKUP(Orders!D685,Products!$A$2:$F$61,4,FALSE()),"")</f>
        <v>1149</v>
      </c>
      <c r="H685" s="47" t="n">
        <f aca="false">IF(G685="","",(Orders!G685-G685)/Orders!G685)</f>
        <v>0.564772727272727</v>
      </c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</row>
    <row r="686" customFormat="false" ht="15" hidden="false" customHeight="false" outlineLevel="0" collapsed="false">
      <c r="A686" s="46" t="str">
        <f aca="false">Orders!A686</f>
        <v>ORD-00685</v>
      </c>
      <c r="B686" s="46" t="str">
        <f aca="false">PROPER(TRIM(Orders!K686))</f>
        <v>Mumbai</v>
      </c>
      <c r="C686" s="46" t="str">
        <f aca="false">IFERROR(VLOOKUP(Orders!D686,Products!$A$2:$F$61,3,FALSE()),"Not Found")</f>
        <v>Home</v>
      </c>
      <c r="D686" s="46" t="str">
        <f aca="false">IFERROR(VLOOKUP(Orders!C686,Customers!$A$2:$F$301,5,FALSE()),"Not Found")</f>
        <v>Retail</v>
      </c>
      <c r="E686" s="46" t="n">
        <f aca="false">IFERROR(VLOOKUP(Orders!C686,Customers!$A$2:$F$301,3,FALSE()),"Not Found")</f>
        <v>56</v>
      </c>
      <c r="F686" s="46" t="str">
        <f aca="false">IFERROR(VLOOKUP(Orders!E686,Sales_Reps!$A$2:$E$31,3,FALSE()),"Not Found")</f>
        <v>North</v>
      </c>
      <c r="G686" s="46" t="n">
        <f aca="false">IFERROR(VLOOKUP(Orders!D686,Products!$A$2:$F$61,4,FALSE()),"")</f>
        <v>2549</v>
      </c>
      <c r="H686" s="47" t="n">
        <f aca="false">IF(G686="","",(Orders!G686-G686)/Orders!G686)</f>
        <v>0.535701275045537</v>
      </c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</row>
    <row r="687" customFormat="false" ht="15" hidden="false" customHeight="false" outlineLevel="0" collapsed="false">
      <c r="A687" s="46" t="str">
        <f aca="false">Orders!A687</f>
        <v>ORD-00686</v>
      </c>
      <c r="B687" s="46" t="str">
        <f aca="false">PROPER(TRIM(Orders!K687))</f>
        <v>Pune</v>
      </c>
      <c r="C687" s="46" t="str">
        <f aca="false">IFERROR(VLOOKUP(Orders!D687,Products!$A$2:$F$61,3,FALSE()),"Not Found")</f>
        <v>Home</v>
      </c>
      <c r="D687" s="46" t="str">
        <f aca="false">IFERROR(VLOOKUP(Orders!C687,Customers!$A$2:$F$301,5,FALSE()),"Not Found")</f>
        <v>SMB</v>
      </c>
      <c r="E687" s="46" t="n">
        <f aca="false">IFERROR(VLOOKUP(Orders!C687,Customers!$A$2:$F$301,3,FALSE()),"Not Found")</f>
        <v>39</v>
      </c>
      <c r="F687" s="46" t="str">
        <f aca="false">IFERROR(VLOOKUP(Orders!E687,Sales_Reps!$A$2:$E$31,3,FALSE()),"Not Found")</f>
        <v>East</v>
      </c>
      <c r="G687" s="46" t="n">
        <f aca="false">IFERROR(VLOOKUP(Orders!D687,Products!$A$2:$F$61,4,FALSE()),"")</f>
        <v>2459</v>
      </c>
      <c r="H687" s="47" t="n">
        <f aca="false">IF(G687="","",(Orders!G687-G687)/Orders!G687)</f>
        <v>0.515944881889764</v>
      </c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</row>
    <row r="688" customFormat="false" ht="15" hidden="false" customHeight="false" outlineLevel="0" collapsed="false">
      <c r="A688" s="46" t="str">
        <f aca="false">Orders!A688</f>
        <v>ORD-00687</v>
      </c>
      <c r="B688" s="46" t="str">
        <f aca="false">PROPER(TRIM(Orders!K688))</f>
        <v>Bengaluru</v>
      </c>
      <c r="C688" s="46" t="str">
        <f aca="false">IFERROR(VLOOKUP(Orders!D688,Products!$A$2:$F$61,3,FALSE()),"Not Found")</f>
        <v>Beauty</v>
      </c>
      <c r="D688" s="46" t="str">
        <f aca="false">IFERROR(VLOOKUP(Orders!C688,Customers!$A$2:$F$301,5,FALSE()),"Not Found")</f>
        <v>SMB</v>
      </c>
      <c r="E688" s="46" t="n">
        <f aca="false">IFERROR(VLOOKUP(Orders!C688,Customers!$A$2:$F$301,3,FALSE()),"Not Found")</f>
        <v>28</v>
      </c>
      <c r="F688" s="46" t="str">
        <f aca="false">IFERROR(VLOOKUP(Orders!E688,Sales_Reps!$A$2:$E$31,3,FALSE()),"Not Found")</f>
        <v>West</v>
      </c>
      <c r="G688" s="46" t="n">
        <f aca="false">IFERROR(VLOOKUP(Orders!D688,Products!$A$2:$F$61,4,FALSE()),"")</f>
        <v>1219</v>
      </c>
      <c r="H688" s="47" t="n">
        <f aca="false">IF(G688="","",(Orders!G688-G688)/Orders!G688)</f>
        <v>0.467685589519651</v>
      </c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</row>
    <row r="689" customFormat="false" ht="15" hidden="false" customHeight="false" outlineLevel="0" collapsed="false">
      <c r="A689" s="46" t="str">
        <f aca="false">Orders!A689</f>
        <v>ORD-00688</v>
      </c>
      <c r="B689" s="46" t="str">
        <f aca="false">PROPER(TRIM(Orders!K689))</f>
        <v>Pune</v>
      </c>
      <c r="C689" s="46" t="str">
        <f aca="false">IFERROR(VLOOKUP(Orders!D689,Products!$A$2:$F$61,3,FALSE()),"Not Found")</f>
        <v>Home</v>
      </c>
      <c r="D689" s="46" t="str">
        <f aca="false">IFERROR(VLOOKUP(Orders!C689,Customers!$A$2:$F$301,5,FALSE()),"Not Found")</f>
        <v>Retail</v>
      </c>
      <c r="E689" s="46" t="n">
        <f aca="false">IFERROR(VLOOKUP(Orders!C689,Customers!$A$2:$F$301,3,FALSE()),"Not Found")</f>
        <v>22</v>
      </c>
      <c r="F689" s="46" t="str">
        <f aca="false">IFERROR(VLOOKUP(Orders!E689,Sales_Reps!$A$2:$E$31,3,FALSE()),"Not Found")</f>
        <v>South</v>
      </c>
      <c r="G689" s="46" t="n">
        <f aca="false">IFERROR(VLOOKUP(Orders!D689,Products!$A$2:$F$61,4,FALSE()),"")</f>
        <v>1143</v>
      </c>
      <c r="H689" s="47" t="n">
        <f aca="false">IF(G689="","",(Orders!G689-G689)/Orders!G689)</f>
        <v>0.436945812807882</v>
      </c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</row>
    <row r="690" customFormat="false" ht="15" hidden="false" customHeight="false" outlineLevel="0" collapsed="false">
      <c r="A690" s="46" t="str">
        <f aca="false">Orders!A690</f>
        <v>ORD-00689</v>
      </c>
      <c r="B690" s="46" t="str">
        <f aca="false">PROPER(TRIM(Orders!K690))</f>
        <v>Mumbai</v>
      </c>
      <c r="C690" s="46" t="str">
        <f aca="false">IFERROR(VLOOKUP(Orders!D690,Products!$A$2:$F$61,3,FALSE()),"Not Found")</f>
        <v>Electronics</v>
      </c>
      <c r="D690" s="46" t="str">
        <f aca="false">IFERROR(VLOOKUP(Orders!C690,Customers!$A$2:$F$301,5,FALSE()),"Not Found")</f>
        <v>SMB</v>
      </c>
      <c r="E690" s="46" t="n">
        <f aca="false">IFERROR(VLOOKUP(Orders!C690,Customers!$A$2:$F$301,3,FALSE()),"Not Found")</f>
        <v>61</v>
      </c>
      <c r="F690" s="46" t="str">
        <f aca="false">IFERROR(VLOOKUP(Orders!E690,Sales_Reps!$A$2:$E$31,3,FALSE()),"Not Found")</f>
        <v>South</v>
      </c>
      <c r="G690" s="46" t="n">
        <f aca="false">IFERROR(VLOOKUP(Orders!D690,Products!$A$2:$F$61,4,FALSE()),"")</f>
        <v>861</v>
      </c>
      <c r="H690" s="47" t="n">
        <f aca="false">IF(G690="","",(Orders!G690-G690)/Orders!G690)</f>
        <v>0.397902097902098</v>
      </c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</row>
    <row r="691" customFormat="false" ht="15" hidden="false" customHeight="false" outlineLevel="0" collapsed="false">
      <c r="A691" s="46" t="str">
        <f aca="false">Orders!A691</f>
        <v>ORD-00690</v>
      </c>
      <c r="B691" s="46" t="str">
        <f aca="false">PROPER(TRIM(Orders!K691))</f>
        <v>Mumbai</v>
      </c>
      <c r="C691" s="46" t="str">
        <f aca="false">IFERROR(VLOOKUP(Orders!D691,Products!$A$2:$F$61,3,FALSE()),"Not Found")</f>
        <v>Grocery</v>
      </c>
      <c r="D691" s="46" t="str">
        <f aca="false">IFERROR(VLOOKUP(Orders!C691,Customers!$A$2:$F$301,5,FALSE()),"Not Found")</f>
        <v>SMB</v>
      </c>
      <c r="E691" s="46" t="n">
        <f aca="false">IFERROR(VLOOKUP(Orders!C691,Customers!$A$2:$F$301,3,FALSE()),"Not Found")</f>
        <v>54</v>
      </c>
      <c r="F691" s="46" t="str">
        <f aca="false">IFERROR(VLOOKUP(Orders!E691,Sales_Reps!$A$2:$E$31,3,FALSE()),"Not Found")</f>
        <v>South</v>
      </c>
      <c r="G691" s="46" t="n">
        <f aca="false">IFERROR(VLOOKUP(Orders!D691,Products!$A$2:$F$61,4,FALSE()),"")</f>
        <v>2436</v>
      </c>
      <c r="H691" s="47" t="n">
        <f aca="false">IF(G691="","",(Orders!G691-G691)/Orders!G691)</f>
        <v>0.355555555555556</v>
      </c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</row>
    <row r="692" customFormat="false" ht="15" hidden="false" customHeight="false" outlineLevel="0" collapsed="false">
      <c r="A692" s="46" t="str">
        <f aca="false">Orders!A692</f>
        <v>ORD-00691</v>
      </c>
      <c r="B692" s="46" t="str">
        <f aca="false">PROPER(TRIM(Orders!K692))</f>
        <v>Mumbai</v>
      </c>
      <c r="C692" s="46" t="str">
        <f aca="false">IFERROR(VLOOKUP(Orders!D692,Products!$A$2:$F$61,3,FALSE()),"Not Found")</f>
        <v>Apparel</v>
      </c>
      <c r="D692" s="46" t="str">
        <f aca="false">IFERROR(VLOOKUP(Orders!C692,Customers!$A$2:$F$301,5,FALSE()),"Not Found")</f>
        <v>Retail</v>
      </c>
      <c r="E692" s="46" t="n">
        <f aca="false">IFERROR(VLOOKUP(Orders!C692,Customers!$A$2:$F$301,3,FALSE()),"Not Found")</f>
        <v>50</v>
      </c>
      <c r="F692" s="46" t="str">
        <f aca="false">IFERROR(VLOOKUP(Orders!E692,Sales_Reps!$A$2:$E$31,3,FALSE()),"Not Found")</f>
        <v>East</v>
      </c>
      <c r="G692" s="46" t="n">
        <f aca="false">IFERROR(VLOOKUP(Orders!D692,Products!$A$2:$F$61,4,FALSE()),"")</f>
        <v>1886</v>
      </c>
      <c r="H692" s="47" t="n">
        <f aca="false">IF(G692="","",(Orders!G692-G692)/Orders!G692)</f>
        <v>0.403164556962025</v>
      </c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</row>
    <row r="693" customFormat="false" ht="15" hidden="false" customHeight="false" outlineLevel="0" collapsed="false">
      <c r="A693" s="46" t="str">
        <f aca="false">Orders!A693</f>
        <v>ORD-00692</v>
      </c>
      <c r="B693" s="46" t="str">
        <f aca="false">PROPER(TRIM(Orders!K693))</f>
        <v>Pune</v>
      </c>
      <c r="C693" s="46" t="str">
        <f aca="false">IFERROR(VLOOKUP(Orders!D693,Products!$A$2:$F$61,3,FALSE()),"Not Found")</f>
        <v>Electronics</v>
      </c>
      <c r="D693" s="46" t="str">
        <f aca="false">IFERROR(VLOOKUP(Orders!C693,Customers!$A$2:$F$301,5,FALSE()),"Not Found")</f>
        <v>Retail</v>
      </c>
      <c r="E693" s="46" t="n">
        <f aca="false">IFERROR(VLOOKUP(Orders!C693,Customers!$A$2:$F$301,3,FALSE()),"Not Found")</f>
        <v>65</v>
      </c>
      <c r="F693" s="46" t="str">
        <f aca="false">IFERROR(VLOOKUP(Orders!E693,Sales_Reps!$A$2:$E$31,3,FALSE()),"Not Found")</f>
        <v>North</v>
      </c>
      <c r="G693" s="46" t="n">
        <f aca="false">IFERROR(VLOOKUP(Orders!D693,Products!$A$2:$F$61,4,FALSE()),"")</f>
        <v>861</v>
      </c>
      <c r="H693" s="47" t="n">
        <f aca="false">IF(G693="","",(Orders!G693-G693)/Orders!G693)</f>
        <v>0.397902097902098</v>
      </c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</row>
    <row r="694" customFormat="false" ht="15" hidden="false" customHeight="false" outlineLevel="0" collapsed="false">
      <c r="A694" s="46" t="str">
        <f aca="false">Orders!A694</f>
        <v>ORD-00693</v>
      </c>
      <c r="B694" s="46" t="str">
        <f aca="false">PROPER(TRIM(Orders!K694))</f>
        <v>Bengaluru</v>
      </c>
      <c r="C694" s="46" t="str">
        <f aca="false">IFERROR(VLOOKUP(Orders!D694,Products!$A$2:$F$61,3,FALSE()),"Not Found")</f>
        <v>Apparel</v>
      </c>
      <c r="D694" s="46" t="str">
        <f aca="false">IFERROR(VLOOKUP(Orders!C694,Customers!$A$2:$F$301,5,FALSE()),"Not Found")</f>
        <v>SMB</v>
      </c>
      <c r="E694" s="46" t="n">
        <f aca="false">IFERROR(VLOOKUP(Orders!C694,Customers!$A$2:$F$301,3,FALSE()),"Not Found")</f>
        <v>64</v>
      </c>
      <c r="F694" s="46" t="str">
        <f aca="false">IFERROR(VLOOKUP(Orders!E694,Sales_Reps!$A$2:$E$31,3,FALSE()),"Not Found")</f>
        <v>North</v>
      </c>
      <c r="G694" s="46" t="n">
        <f aca="false">IFERROR(VLOOKUP(Orders!D694,Products!$A$2:$F$61,4,FALSE()),"")</f>
        <v>1886</v>
      </c>
      <c r="H694" s="47" t="n">
        <f aca="false">IF(G694="","",(Orders!G694-G694)/Orders!G694)</f>
        <v>0.403164556962025</v>
      </c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</row>
    <row r="695" customFormat="false" ht="15" hidden="false" customHeight="false" outlineLevel="0" collapsed="false">
      <c r="A695" s="46" t="str">
        <f aca="false">Orders!A695</f>
        <v>ORD-00694</v>
      </c>
      <c r="B695" s="46" t="str">
        <f aca="false">PROPER(TRIM(Orders!K695))</f>
        <v>Pune</v>
      </c>
      <c r="C695" s="46" t="str">
        <f aca="false">IFERROR(VLOOKUP(Orders!D695,Products!$A$2:$F$61,3,FALSE()),"Not Found")</f>
        <v>Beauty</v>
      </c>
      <c r="D695" s="46" t="str">
        <f aca="false">IFERROR(VLOOKUP(Orders!C695,Customers!$A$2:$F$301,5,FALSE()),"Not Found")</f>
        <v>Retail</v>
      </c>
      <c r="E695" s="46" t="n">
        <f aca="false">IFERROR(VLOOKUP(Orders!C695,Customers!$A$2:$F$301,3,FALSE()),"Not Found")</f>
        <v>36</v>
      </c>
      <c r="F695" s="46" t="str">
        <f aca="false">IFERROR(VLOOKUP(Orders!E695,Sales_Reps!$A$2:$E$31,3,FALSE()),"Not Found")</f>
        <v>North</v>
      </c>
      <c r="G695" s="46" t="n">
        <f aca="false">IFERROR(VLOOKUP(Orders!D695,Products!$A$2:$F$61,4,FALSE()),"")</f>
        <v>1219</v>
      </c>
      <c r="H695" s="47" t="n">
        <f aca="false">IF(G695="","",(Orders!G695-G695)/Orders!G695)</f>
        <v>0.467685589519651</v>
      </c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</row>
    <row r="696" customFormat="false" ht="15" hidden="false" customHeight="false" outlineLevel="0" collapsed="false">
      <c r="A696" s="46" t="str">
        <f aca="false">Orders!A696</f>
        <v>ORD-00695</v>
      </c>
      <c r="B696" s="46" t="str">
        <f aca="false">PROPER(TRIM(Orders!K696))</f>
        <v>Pune</v>
      </c>
      <c r="C696" s="46" t="str">
        <f aca="false">IFERROR(VLOOKUP(Orders!D696,Products!$A$2:$F$61,3,FALSE()),"Not Found")</f>
        <v>Apparel</v>
      </c>
      <c r="D696" s="46" t="str">
        <f aca="false">IFERROR(VLOOKUP(Orders!C696,Customers!$A$2:$F$301,5,FALSE()),"Not Found")</f>
        <v>Retail</v>
      </c>
      <c r="E696" s="46" t="n">
        <f aca="false">IFERROR(VLOOKUP(Orders!C696,Customers!$A$2:$F$301,3,FALSE()),"Not Found")</f>
        <v>36</v>
      </c>
      <c r="F696" s="46" t="str">
        <f aca="false">IFERROR(VLOOKUP(Orders!E696,Sales_Reps!$A$2:$E$31,3,FALSE()),"Not Found")</f>
        <v>South</v>
      </c>
      <c r="G696" s="46" t="n">
        <f aca="false">IFERROR(VLOOKUP(Orders!D696,Products!$A$2:$F$61,4,FALSE()),"")</f>
        <v>1748</v>
      </c>
      <c r="H696" s="47" t="n">
        <f aca="false">IF(G696="","",(Orders!G696-G696)/Orders!G696)</f>
        <v>0.493333333333333</v>
      </c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</row>
    <row r="697" customFormat="false" ht="15" hidden="false" customHeight="false" outlineLevel="0" collapsed="false">
      <c r="A697" s="46" t="str">
        <f aca="false">Orders!A697</f>
        <v>ORD-00696</v>
      </c>
      <c r="B697" s="46" t="str">
        <f aca="false">PROPER(TRIM(Orders!K697))</f>
        <v>Chennai</v>
      </c>
      <c r="C697" s="46" t="str">
        <f aca="false">IFERROR(VLOOKUP(Orders!D697,Products!$A$2:$F$61,3,FALSE()),"Not Found")</f>
        <v>Apparel</v>
      </c>
      <c r="D697" s="46" t="str">
        <f aca="false">IFERROR(VLOOKUP(Orders!C697,Customers!$A$2:$F$301,5,FALSE()),"Not Found")</f>
        <v>Retail</v>
      </c>
      <c r="E697" s="46" t="n">
        <f aca="false">IFERROR(VLOOKUP(Orders!C697,Customers!$A$2:$F$301,3,FALSE()),"Not Found")</f>
        <v>51</v>
      </c>
      <c r="F697" s="46" t="str">
        <f aca="false">IFERROR(VLOOKUP(Orders!E697,Sales_Reps!$A$2:$E$31,3,FALSE()),"Not Found")</f>
        <v>North</v>
      </c>
      <c r="G697" s="46" t="n">
        <f aca="false">IFERROR(VLOOKUP(Orders!D697,Products!$A$2:$F$61,4,FALSE()),"")</f>
        <v>2629</v>
      </c>
      <c r="H697" s="47" t="n">
        <f aca="false">IF(G697="","",(Orders!G697-G697)/Orders!G697)</f>
        <v>0.261516853932584</v>
      </c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</row>
    <row r="698" customFormat="false" ht="15" hidden="false" customHeight="false" outlineLevel="0" collapsed="false">
      <c r="A698" s="46" t="str">
        <f aca="false">Orders!A698</f>
        <v>ORD-00697</v>
      </c>
      <c r="B698" s="46" t="str">
        <f aca="false">PROPER(TRIM(Orders!K698))</f>
        <v>Hyderabad</v>
      </c>
      <c r="C698" s="46" t="str">
        <f aca="false">IFERROR(VLOOKUP(Orders!D698,Products!$A$2:$F$61,3,FALSE()),"Not Found")</f>
        <v>Sports</v>
      </c>
      <c r="D698" s="46" t="str">
        <f aca="false">IFERROR(VLOOKUP(Orders!C698,Customers!$A$2:$F$301,5,FALSE()),"Not Found")</f>
        <v>Corporate</v>
      </c>
      <c r="E698" s="46" t="n">
        <f aca="false">IFERROR(VLOOKUP(Orders!C698,Customers!$A$2:$F$301,3,FALSE()),"Not Found")</f>
        <v>46</v>
      </c>
      <c r="F698" s="46" t="str">
        <f aca="false">IFERROR(VLOOKUP(Orders!E698,Sales_Reps!$A$2:$E$31,3,FALSE()),"Not Found")</f>
        <v>South</v>
      </c>
      <c r="G698" s="46" t="n">
        <f aca="false">IFERROR(VLOOKUP(Orders!D698,Products!$A$2:$F$61,4,FALSE()),"")</f>
        <v>974</v>
      </c>
      <c r="H698" s="47" t="n">
        <f aca="false">IF(G698="","",(Orders!G698-G698)/Orders!G698)</f>
        <v>0.594166666666667</v>
      </c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</row>
    <row r="699" customFormat="false" ht="15" hidden="false" customHeight="false" outlineLevel="0" collapsed="false">
      <c r="A699" s="46" t="str">
        <f aca="false">Orders!A699</f>
        <v>ORD-00698</v>
      </c>
      <c r="B699" s="46" t="str">
        <f aca="false">PROPER(TRIM(Orders!K699))</f>
        <v>Chennai</v>
      </c>
      <c r="C699" s="46" t="str">
        <f aca="false">IFERROR(VLOOKUP(Orders!D699,Products!$A$2:$F$61,3,FALSE()),"Not Found")</f>
        <v>Electronics</v>
      </c>
      <c r="D699" s="46" t="str">
        <f aca="false">IFERROR(VLOOKUP(Orders!C699,Customers!$A$2:$F$301,5,FALSE()),"Not Found")</f>
        <v>Retail</v>
      </c>
      <c r="E699" s="46" t="n">
        <f aca="false">IFERROR(VLOOKUP(Orders!C699,Customers!$A$2:$F$301,3,FALSE()),"Not Found")</f>
        <v>60</v>
      </c>
      <c r="F699" s="46" t="str">
        <f aca="false">IFERROR(VLOOKUP(Orders!E699,Sales_Reps!$A$2:$E$31,3,FALSE()),"Not Found")</f>
        <v>East</v>
      </c>
      <c r="G699" s="46" t="n">
        <f aca="false">IFERROR(VLOOKUP(Orders!D699,Products!$A$2:$F$61,4,FALSE()),"")</f>
        <v>1559</v>
      </c>
      <c r="H699" s="47" t="n">
        <f aca="false">IF(G699="","",(Orders!G699-G699)/Orders!G699)</f>
        <v>0.597157622739018</v>
      </c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</row>
    <row r="700" customFormat="false" ht="15" hidden="false" customHeight="false" outlineLevel="0" collapsed="false">
      <c r="A700" s="46" t="str">
        <f aca="false">Orders!A700</f>
        <v>ORD-00699</v>
      </c>
      <c r="B700" s="46" t="str">
        <f aca="false">PROPER(TRIM(Orders!K700))</f>
        <v>Delhi</v>
      </c>
      <c r="C700" s="46" t="str">
        <f aca="false">IFERROR(VLOOKUP(Orders!D700,Products!$A$2:$F$61,3,FALSE()),"Not Found")</f>
        <v>Grocery</v>
      </c>
      <c r="D700" s="46" t="str">
        <f aca="false">IFERROR(VLOOKUP(Orders!C700,Customers!$A$2:$F$301,5,FALSE()),"Not Found")</f>
        <v>Retail</v>
      </c>
      <c r="E700" s="46" t="n">
        <f aca="false">IFERROR(VLOOKUP(Orders!C700,Customers!$A$2:$F$301,3,FALSE()),"Not Found")</f>
        <v>53</v>
      </c>
      <c r="F700" s="46" t="str">
        <f aca="false">IFERROR(VLOOKUP(Orders!E700,Sales_Reps!$A$2:$E$31,3,FALSE()),"Not Found")</f>
        <v>East</v>
      </c>
      <c r="G700" s="46" t="n">
        <f aca="false">IFERROR(VLOOKUP(Orders!D700,Products!$A$2:$F$61,4,FALSE()),"")</f>
        <v>2214</v>
      </c>
      <c r="H700" s="47" t="n">
        <f aca="false">IF(G700="","",(Orders!G700-G700)/Orders!G700)</f>
        <v>0.395081967213115</v>
      </c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</row>
    <row r="701" customFormat="false" ht="15" hidden="false" customHeight="false" outlineLevel="0" collapsed="false">
      <c r="A701" s="46" t="str">
        <f aca="false">Orders!A701</f>
        <v>ORD-00700</v>
      </c>
      <c r="B701" s="46" t="str">
        <f aca="false">PROPER(TRIM(Orders!K701))</f>
        <v>Chennai</v>
      </c>
      <c r="C701" s="46" t="str">
        <f aca="false">IFERROR(VLOOKUP(Orders!D701,Products!$A$2:$F$61,3,FALSE()),"Not Found")</f>
        <v>Home</v>
      </c>
      <c r="D701" s="46" t="str">
        <f aca="false">IFERROR(VLOOKUP(Orders!C701,Customers!$A$2:$F$301,5,FALSE()),"Not Found")</f>
        <v>Corporate</v>
      </c>
      <c r="E701" s="46" t="n">
        <f aca="false">IFERROR(VLOOKUP(Orders!C701,Customers!$A$2:$F$301,3,FALSE()),"Not Found")</f>
        <v>24</v>
      </c>
      <c r="F701" s="46" t="str">
        <f aca="false">IFERROR(VLOOKUP(Orders!E701,Sales_Reps!$A$2:$E$31,3,FALSE()),"Not Found")</f>
        <v>West</v>
      </c>
      <c r="G701" s="46" t="n">
        <f aca="false">IFERROR(VLOOKUP(Orders!D701,Products!$A$2:$F$61,4,FALSE()),"")</f>
        <v>519</v>
      </c>
      <c r="H701" s="47" t="n">
        <f aca="false">IF(G701="","",(Orders!G701-G701)/Orders!G701)</f>
        <v>0.519444444444445</v>
      </c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</row>
    <row r="702" customFormat="false" ht="15" hidden="false" customHeight="false" outlineLevel="0" collapsed="false">
      <c r="A702" s="46" t="str">
        <f aca="false">Orders!A702</f>
        <v>ORD-01185</v>
      </c>
      <c r="B702" s="46" t="str">
        <f aca="false">PROPER(TRIM(Orders!K702))</f>
        <v>Bengaluru</v>
      </c>
      <c r="C702" s="46" t="str">
        <f aca="false">IFERROR(VLOOKUP(Orders!D702,Products!$A$2:$F$61,3,FALSE()),"Not Found")</f>
        <v>Sports</v>
      </c>
      <c r="D702" s="46" t="str">
        <f aca="false">IFERROR(VLOOKUP(Orders!C702,Customers!$A$2:$F$301,5,FALSE()),"Not Found")</f>
        <v>Retail</v>
      </c>
      <c r="E702" s="46" t="n">
        <f aca="false">IFERROR(VLOOKUP(Orders!C702,Customers!$A$2:$F$301,3,FALSE()),"Not Found")</f>
        <v>52</v>
      </c>
      <c r="F702" s="46" t="str">
        <f aca="false">IFERROR(VLOOKUP(Orders!E702,Sales_Reps!$A$2:$E$31,3,FALSE()),"Not Found")</f>
        <v>North</v>
      </c>
      <c r="G702" s="46" t="n">
        <f aca="false">IFERROR(VLOOKUP(Orders!D702,Products!$A$2:$F$61,4,FALSE()),"")</f>
        <v>1860</v>
      </c>
      <c r="H702" s="47" t="n">
        <f aca="false">IF(G702="","",(Orders!G702-G702)/Orders!G702)</f>
        <v>0.507936507936508</v>
      </c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</row>
    <row r="703" customFormat="false" ht="15" hidden="false" customHeight="false" outlineLevel="0" collapsed="false">
      <c r="A703" s="46" t="str">
        <f aca="false">Orders!A703</f>
        <v>ORD-00702</v>
      </c>
      <c r="B703" s="46" t="str">
        <f aca="false">PROPER(TRIM(Orders!K703))</f>
        <v>Mumbai</v>
      </c>
      <c r="C703" s="46" t="str">
        <f aca="false">IFERROR(VLOOKUP(Orders!D703,Products!$A$2:$F$61,3,FALSE()),"Not Found")</f>
        <v>Apparel</v>
      </c>
      <c r="D703" s="46" t="str">
        <f aca="false">IFERROR(VLOOKUP(Orders!C703,Customers!$A$2:$F$301,5,FALSE()),"Not Found")</f>
        <v>SMB</v>
      </c>
      <c r="E703" s="46" t="n">
        <f aca="false">IFERROR(VLOOKUP(Orders!C703,Customers!$A$2:$F$301,3,FALSE()),"Not Found")</f>
        <v>54</v>
      </c>
      <c r="F703" s="46" t="str">
        <f aca="false">IFERROR(VLOOKUP(Orders!E703,Sales_Reps!$A$2:$E$31,3,FALSE()),"Not Found")</f>
        <v>East</v>
      </c>
      <c r="G703" s="46" t="n">
        <f aca="false">IFERROR(VLOOKUP(Orders!D703,Products!$A$2:$F$61,4,FALSE()),"")</f>
        <v>1173</v>
      </c>
      <c r="H703" s="47" t="n">
        <f aca="false">IF(G703="","",(Orders!G703-G703)/Orders!G703)</f>
        <v>0.527016129032258</v>
      </c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</row>
    <row r="704" customFormat="false" ht="15" hidden="false" customHeight="false" outlineLevel="0" collapsed="false">
      <c r="A704" s="46" t="str">
        <f aca="false">Orders!A704</f>
        <v>ORD-00703</v>
      </c>
      <c r="B704" s="46" t="str">
        <f aca="false">PROPER(TRIM(Orders!K704))</f>
        <v>Pune</v>
      </c>
      <c r="C704" s="46" t="str">
        <f aca="false">IFERROR(VLOOKUP(Orders!D704,Products!$A$2:$F$61,3,FALSE()),"Not Found")</f>
        <v>Sports</v>
      </c>
      <c r="D704" s="46" t="str">
        <f aca="false">IFERROR(VLOOKUP(Orders!C704,Customers!$A$2:$F$301,5,FALSE()),"Not Found")</f>
        <v>SMB</v>
      </c>
      <c r="E704" s="46" t="n">
        <f aca="false">IFERROR(VLOOKUP(Orders!C704,Customers!$A$2:$F$301,3,FALSE()),"Not Found")</f>
        <v>54</v>
      </c>
      <c r="F704" s="46" t="str">
        <f aca="false">IFERROR(VLOOKUP(Orders!E704,Sales_Reps!$A$2:$E$31,3,FALSE()),"Not Found")</f>
        <v>South</v>
      </c>
      <c r="G704" s="46" t="n">
        <f aca="false">IFERROR(VLOOKUP(Orders!D704,Products!$A$2:$F$61,4,FALSE()),"")</f>
        <v>516</v>
      </c>
      <c r="H704" s="47" t="n">
        <f aca="false">IF(G704="","",(Orders!G704-G704)/Orders!G704)</f>
        <v>0.489108910891089</v>
      </c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</row>
    <row r="705" customFormat="false" ht="15" hidden="false" customHeight="false" outlineLevel="0" collapsed="false">
      <c r="A705" s="46" t="str">
        <f aca="false">Orders!A705</f>
        <v>ORD-00704</v>
      </c>
      <c r="B705" s="46" t="str">
        <f aca="false">PROPER(TRIM(Orders!K705))</f>
        <v>Pune</v>
      </c>
      <c r="C705" s="46" t="str">
        <f aca="false">IFERROR(VLOOKUP(Orders!D705,Products!$A$2:$F$61,3,FALSE()),"Not Found")</f>
        <v>Sports</v>
      </c>
      <c r="D705" s="46" t="str">
        <f aca="false">IFERROR(VLOOKUP(Orders!C705,Customers!$A$2:$F$301,5,FALSE()),"Not Found")</f>
        <v>Retail</v>
      </c>
      <c r="E705" s="46" t="n">
        <f aca="false">IFERROR(VLOOKUP(Orders!C705,Customers!$A$2:$F$301,3,FALSE()),"Not Found")</f>
        <v>63</v>
      </c>
      <c r="F705" s="46" t="str">
        <f aca="false">IFERROR(VLOOKUP(Orders!E705,Sales_Reps!$A$2:$E$31,3,FALSE()),"Not Found")</f>
        <v>South</v>
      </c>
      <c r="G705" s="46" t="n">
        <f aca="false">IFERROR(VLOOKUP(Orders!D705,Products!$A$2:$F$61,4,FALSE()),"")</f>
        <v>302</v>
      </c>
      <c r="H705" s="47" t="n">
        <f aca="false">IF(G705="","",(Orders!G705-G705)/Orders!G705)</f>
        <v>0.357446808510638</v>
      </c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</row>
    <row r="706" customFormat="false" ht="15" hidden="false" customHeight="false" outlineLevel="0" collapsed="false">
      <c r="A706" s="46" t="str">
        <f aca="false">Orders!A706</f>
        <v>ORD-00705</v>
      </c>
      <c r="B706" s="46" t="str">
        <f aca="false">PROPER(TRIM(Orders!K706))</f>
        <v>Delhi</v>
      </c>
      <c r="C706" s="46" t="str">
        <f aca="false">IFERROR(VLOOKUP(Orders!D706,Products!$A$2:$F$61,3,FALSE()),"Not Found")</f>
        <v>Grocery</v>
      </c>
      <c r="D706" s="46" t="str">
        <f aca="false">IFERROR(VLOOKUP(Orders!C706,Customers!$A$2:$F$301,5,FALSE()),"Not Found")</f>
        <v>Retail</v>
      </c>
      <c r="E706" s="46" t="n">
        <f aca="false">IFERROR(VLOOKUP(Orders!C706,Customers!$A$2:$F$301,3,FALSE()),"Not Found")</f>
        <v>24</v>
      </c>
      <c r="F706" s="46" t="str">
        <f aca="false">IFERROR(VLOOKUP(Orders!E706,Sales_Reps!$A$2:$E$31,3,FALSE()),"Not Found")</f>
        <v>East</v>
      </c>
      <c r="G706" s="46" t="n">
        <f aca="false">IFERROR(VLOOKUP(Orders!D706,Products!$A$2:$F$61,4,FALSE()),"")</f>
        <v>1203</v>
      </c>
      <c r="H706" s="47" t="n">
        <f aca="false">IF(G706="","",(Orders!G706-G706)/Orders!G706)</f>
        <v>0.470044052863436</v>
      </c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</row>
    <row r="707" customFormat="false" ht="15" hidden="false" customHeight="false" outlineLevel="0" collapsed="false">
      <c r="A707" s="46" t="str">
        <f aca="false">Orders!A707</f>
        <v>ORD-00706</v>
      </c>
      <c r="B707" s="46" t="str">
        <f aca="false">PROPER(TRIM(Orders!K707))</f>
        <v>Delhi</v>
      </c>
      <c r="C707" s="46" t="str">
        <f aca="false">IFERROR(VLOOKUP(Orders!D707,Products!$A$2:$F$61,3,FALSE()),"Not Found")</f>
        <v>Grocery</v>
      </c>
      <c r="D707" s="46" t="str">
        <f aca="false">IFERROR(VLOOKUP(Orders!C707,Customers!$A$2:$F$301,5,FALSE()),"Not Found")</f>
        <v>Retail</v>
      </c>
      <c r="E707" s="46" t="n">
        <f aca="false">IFERROR(VLOOKUP(Orders!C707,Customers!$A$2:$F$301,3,FALSE()),"Not Found")</f>
        <v>53</v>
      </c>
      <c r="F707" s="46" t="str">
        <f aca="false">IFERROR(VLOOKUP(Orders!E707,Sales_Reps!$A$2:$E$31,3,FALSE()),"Not Found")</f>
        <v>South</v>
      </c>
      <c r="G707" s="46" t="n">
        <f aca="false">IFERROR(VLOOKUP(Orders!D707,Products!$A$2:$F$61,4,FALSE()),"")</f>
        <v>1435</v>
      </c>
      <c r="H707" s="47" t="n">
        <f aca="false">IF(G707="","",(Orders!G707-G707)/Orders!G707)</f>
        <v>0.480072463768116</v>
      </c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</row>
    <row r="708" customFormat="false" ht="15" hidden="false" customHeight="false" outlineLevel="0" collapsed="false">
      <c r="A708" s="46" t="str">
        <f aca="false">Orders!A708</f>
        <v>ORD-00707</v>
      </c>
      <c r="B708" s="46" t="str">
        <f aca="false">PROPER(TRIM(Orders!K708))</f>
        <v>Hyderabad</v>
      </c>
      <c r="C708" s="46" t="str">
        <f aca="false">IFERROR(VLOOKUP(Orders!D708,Products!$A$2:$F$61,3,FALSE()),"Not Found")</f>
        <v>Sports</v>
      </c>
      <c r="D708" s="46" t="str">
        <f aca="false">IFERROR(VLOOKUP(Orders!C708,Customers!$A$2:$F$301,5,FALSE()),"Not Found")</f>
        <v>Retail</v>
      </c>
      <c r="E708" s="46" t="n">
        <f aca="false">IFERROR(VLOOKUP(Orders!C708,Customers!$A$2:$F$301,3,FALSE()),"Not Found")</f>
        <v>41</v>
      </c>
      <c r="F708" s="46" t="str">
        <f aca="false">IFERROR(VLOOKUP(Orders!E708,Sales_Reps!$A$2:$E$31,3,FALSE()),"Not Found")</f>
        <v>North</v>
      </c>
      <c r="G708" s="46" t="n">
        <f aca="false">IFERROR(VLOOKUP(Orders!D708,Products!$A$2:$F$61,4,FALSE()),"")</f>
        <v>2467</v>
      </c>
      <c r="H708" s="47" t="n">
        <f aca="false">IF(G708="","",(Orders!G708-G708)/Orders!G708)</f>
        <v>0.284927536231884</v>
      </c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</row>
    <row r="709" customFormat="false" ht="15" hidden="false" customHeight="false" outlineLevel="0" collapsed="false">
      <c r="A709" s="46" t="str">
        <f aca="false">Orders!A709</f>
        <v>ORD-00708</v>
      </c>
      <c r="B709" s="46" t="str">
        <f aca="false">PROPER(TRIM(Orders!K709))</f>
        <v>Hyderabad</v>
      </c>
      <c r="C709" s="46" t="str">
        <f aca="false">IFERROR(VLOOKUP(Orders!D709,Products!$A$2:$F$61,3,FALSE()),"Not Found")</f>
        <v>Grocery</v>
      </c>
      <c r="D709" s="46" t="str">
        <f aca="false">IFERROR(VLOOKUP(Orders!C709,Customers!$A$2:$F$301,5,FALSE()),"Not Found")</f>
        <v>Retail</v>
      </c>
      <c r="E709" s="46" t="n">
        <f aca="false">IFERROR(VLOOKUP(Orders!C709,Customers!$A$2:$F$301,3,FALSE()),"Not Found")</f>
        <v>22</v>
      </c>
      <c r="F709" s="46" t="str">
        <f aca="false">IFERROR(VLOOKUP(Orders!E709,Sales_Reps!$A$2:$E$31,3,FALSE()),"Not Found")</f>
        <v>North</v>
      </c>
      <c r="G709" s="46" t="n">
        <f aca="false">IFERROR(VLOOKUP(Orders!D709,Products!$A$2:$F$61,4,FALSE()),"")</f>
        <v>2214</v>
      </c>
      <c r="H709" s="47" t="n">
        <f aca="false">IF(G709="","",(Orders!G709-G709)/Orders!G709)</f>
        <v>0.395081967213115</v>
      </c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</row>
    <row r="710" customFormat="false" ht="15" hidden="false" customHeight="false" outlineLevel="0" collapsed="false">
      <c r="A710" s="46" t="str">
        <f aca="false">Orders!A710</f>
        <v>ORD-00709</v>
      </c>
      <c r="B710" s="46" t="str">
        <f aca="false">PROPER(TRIM(Orders!K710))</f>
        <v>Pune</v>
      </c>
      <c r="C710" s="46" t="str">
        <f aca="false">IFERROR(VLOOKUP(Orders!D710,Products!$A$2:$F$61,3,FALSE()),"Not Found")</f>
        <v>Electronics</v>
      </c>
      <c r="D710" s="46" t="str">
        <f aca="false">IFERROR(VLOOKUP(Orders!C710,Customers!$A$2:$F$301,5,FALSE()),"Not Found")</f>
        <v>Retail</v>
      </c>
      <c r="E710" s="46" t="n">
        <f aca="false">IFERROR(VLOOKUP(Orders!C710,Customers!$A$2:$F$301,3,FALSE()),"Not Found")</f>
        <v>39</v>
      </c>
      <c r="F710" s="46" t="str">
        <f aca="false">IFERROR(VLOOKUP(Orders!E710,Sales_Reps!$A$2:$E$31,3,FALSE()),"Not Found")</f>
        <v>West</v>
      </c>
      <c r="G710" s="46" t="n">
        <f aca="false">IFERROR(VLOOKUP(Orders!D710,Products!$A$2:$F$61,4,FALSE()),"")</f>
        <v>517</v>
      </c>
      <c r="H710" s="47" t="n">
        <f aca="false">IF(G710="","",(Orders!G710-G710)/Orders!G710)</f>
        <v>0.576229508196721</v>
      </c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</row>
    <row r="711" customFormat="false" ht="15" hidden="false" customHeight="false" outlineLevel="0" collapsed="false">
      <c r="A711" s="46" t="str">
        <f aca="false">Orders!A711</f>
        <v>ORD-00710</v>
      </c>
      <c r="B711" s="46" t="str">
        <f aca="false">PROPER(TRIM(Orders!K711))</f>
        <v>Hyderabad</v>
      </c>
      <c r="C711" s="46" t="str">
        <f aca="false">IFERROR(VLOOKUP(Orders!D711,Products!$A$2:$F$61,3,FALSE()),"Not Found")</f>
        <v>Sports</v>
      </c>
      <c r="D711" s="46" t="str">
        <f aca="false">IFERROR(VLOOKUP(Orders!C711,Customers!$A$2:$F$301,5,FALSE()),"Not Found")</f>
        <v>SMB</v>
      </c>
      <c r="E711" s="46" t="n">
        <f aca="false">IFERROR(VLOOKUP(Orders!C711,Customers!$A$2:$F$301,3,FALSE()),"Not Found")</f>
        <v>28</v>
      </c>
      <c r="F711" s="46" t="str">
        <f aca="false">IFERROR(VLOOKUP(Orders!E711,Sales_Reps!$A$2:$E$31,3,FALSE()),"Not Found")</f>
        <v>North</v>
      </c>
      <c r="G711" s="46" t="n">
        <f aca="false">IFERROR(VLOOKUP(Orders!D711,Products!$A$2:$F$61,4,FALSE()),"")</f>
        <v>2265</v>
      </c>
      <c r="H711" s="47" t="n">
        <f aca="false">IF(G711="","",(Orders!G711-G711)/Orders!G711)</f>
        <v>0.581330868761553</v>
      </c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</row>
    <row r="712" customFormat="false" ht="15" hidden="false" customHeight="false" outlineLevel="0" collapsed="false">
      <c r="A712" s="46" t="str">
        <f aca="false">Orders!A712</f>
        <v>ORD-00711</v>
      </c>
      <c r="B712" s="46" t="str">
        <f aca="false">PROPER(TRIM(Orders!K712))</f>
        <v>Pune</v>
      </c>
      <c r="C712" s="46" t="str">
        <f aca="false">IFERROR(VLOOKUP(Orders!D712,Products!$A$2:$F$61,3,FALSE()),"Not Found")</f>
        <v>Home</v>
      </c>
      <c r="D712" s="46" t="str">
        <f aca="false">IFERROR(VLOOKUP(Orders!C712,Customers!$A$2:$F$301,5,FALSE()),"Not Found")</f>
        <v>Retail</v>
      </c>
      <c r="E712" s="46" t="n">
        <f aca="false">IFERROR(VLOOKUP(Orders!C712,Customers!$A$2:$F$301,3,FALSE()),"Not Found")</f>
        <v>22</v>
      </c>
      <c r="F712" s="46" t="str">
        <f aca="false">IFERROR(VLOOKUP(Orders!E712,Sales_Reps!$A$2:$E$31,3,FALSE()),"Not Found")</f>
        <v>South</v>
      </c>
      <c r="G712" s="46" t="n">
        <f aca="false">IFERROR(VLOOKUP(Orders!D712,Products!$A$2:$F$61,4,FALSE()),"")</f>
        <v>1143</v>
      </c>
      <c r="H712" s="47" t="n">
        <f aca="false">IF(G712="","",(Orders!G712-G712)/Orders!G712)</f>
        <v>0.436945812807882</v>
      </c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</row>
    <row r="713" customFormat="false" ht="15" hidden="false" customHeight="false" outlineLevel="0" collapsed="false">
      <c r="A713" s="46" t="str">
        <f aca="false">Orders!A713</f>
        <v>ORD-00712</v>
      </c>
      <c r="B713" s="46" t="str">
        <f aca="false">PROPER(TRIM(Orders!K713))</f>
        <v>Chennai</v>
      </c>
      <c r="C713" s="46" t="str">
        <f aca="false">IFERROR(VLOOKUP(Orders!D713,Products!$A$2:$F$61,3,FALSE()),"Not Found")</f>
        <v>Electronics</v>
      </c>
      <c r="D713" s="46" t="str">
        <f aca="false">IFERROR(VLOOKUP(Orders!C713,Customers!$A$2:$F$301,5,FALSE()),"Not Found")</f>
        <v>Retail</v>
      </c>
      <c r="E713" s="46" t="n">
        <f aca="false">IFERROR(VLOOKUP(Orders!C713,Customers!$A$2:$F$301,3,FALSE()),"Not Found")</f>
        <v>26</v>
      </c>
      <c r="F713" s="46" t="str">
        <f aca="false">IFERROR(VLOOKUP(Orders!E713,Sales_Reps!$A$2:$E$31,3,FALSE()),"Not Found")</f>
        <v>South</v>
      </c>
      <c r="G713" s="46" t="n">
        <f aca="false">IFERROR(VLOOKUP(Orders!D713,Products!$A$2:$F$61,4,FALSE()),"")</f>
        <v>517</v>
      </c>
      <c r="H713" s="47" t="n">
        <f aca="false">IF(G713="","",(Orders!G713-G713)/Orders!G713)</f>
        <v>0.576229508196721</v>
      </c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</row>
    <row r="714" customFormat="false" ht="15" hidden="false" customHeight="false" outlineLevel="0" collapsed="false">
      <c r="A714" s="46" t="str">
        <f aca="false">Orders!A714</f>
        <v>ORD-00713</v>
      </c>
      <c r="B714" s="46" t="str">
        <f aca="false">PROPER(TRIM(Orders!K714))</f>
        <v>Mumbai</v>
      </c>
      <c r="C714" s="46" t="str">
        <f aca="false">IFERROR(VLOOKUP(Orders!D714,Products!$A$2:$F$61,3,FALSE()),"Not Found")</f>
        <v>Electronics</v>
      </c>
      <c r="D714" s="46" t="str">
        <f aca="false">IFERROR(VLOOKUP(Orders!C714,Customers!$A$2:$F$301,5,FALSE()),"Not Found")</f>
        <v>Corporate</v>
      </c>
      <c r="E714" s="46" t="n">
        <f aca="false">IFERROR(VLOOKUP(Orders!C714,Customers!$A$2:$F$301,3,FALSE()),"Not Found")</f>
        <v>55</v>
      </c>
      <c r="F714" s="46" t="str">
        <f aca="false">IFERROR(VLOOKUP(Orders!E714,Sales_Reps!$A$2:$E$31,3,FALSE()),"Not Found")</f>
        <v>North</v>
      </c>
      <c r="G714" s="46" t="n">
        <f aca="false">IFERROR(VLOOKUP(Orders!D714,Products!$A$2:$F$61,4,FALSE()),"")</f>
        <v>1259</v>
      </c>
      <c r="H714" s="47" t="n">
        <f aca="false">IF(G714="","",(Orders!G714-G714)/Orders!G714)</f>
        <v>0.526691729323308</v>
      </c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</row>
    <row r="715" customFormat="false" ht="15" hidden="false" customHeight="false" outlineLevel="0" collapsed="false">
      <c r="A715" s="46" t="str">
        <f aca="false">Orders!A715</f>
        <v>ORD-00714</v>
      </c>
      <c r="B715" s="46" t="str">
        <f aca="false">PROPER(TRIM(Orders!K715))</f>
        <v>Bengaluru</v>
      </c>
      <c r="C715" s="46" t="str">
        <f aca="false">IFERROR(VLOOKUP(Orders!D715,Products!$A$2:$F$61,3,FALSE()),"Not Found")</f>
        <v>Grocery</v>
      </c>
      <c r="D715" s="46" t="str">
        <f aca="false">IFERROR(VLOOKUP(Orders!C715,Customers!$A$2:$F$301,5,FALSE()),"Not Found")</f>
        <v>SMB</v>
      </c>
      <c r="E715" s="46" t="n">
        <f aca="false">IFERROR(VLOOKUP(Orders!C715,Customers!$A$2:$F$301,3,FALSE()),"Not Found")</f>
        <v>42</v>
      </c>
      <c r="F715" s="46" t="str">
        <f aca="false">IFERROR(VLOOKUP(Orders!E715,Sales_Reps!$A$2:$E$31,3,FALSE()),"Not Found")</f>
        <v>South</v>
      </c>
      <c r="G715" s="46" t="n">
        <f aca="false">IFERROR(VLOOKUP(Orders!D715,Products!$A$2:$F$61,4,FALSE()),"")</f>
        <v>2027</v>
      </c>
      <c r="H715" s="47" t="n">
        <f aca="false">IF(G715="","",(Orders!G715-G715)/Orders!G715)</f>
        <v>0.501965601965602</v>
      </c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</row>
    <row r="716" customFormat="false" ht="15" hidden="false" customHeight="false" outlineLevel="0" collapsed="false">
      <c r="A716" s="46" t="str">
        <f aca="false">Orders!A716</f>
        <v>ORD-00715</v>
      </c>
      <c r="B716" s="46" t="str">
        <f aca="false">PROPER(TRIM(Orders!K716))</f>
        <v>Hyderabad</v>
      </c>
      <c r="C716" s="46" t="str">
        <f aca="false">IFERROR(VLOOKUP(Orders!D716,Products!$A$2:$F$61,3,FALSE()),"Not Found")</f>
        <v>Beauty</v>
      </c>
      <c r="D716" s="46" t="str">
        <f aca="false">IFERROR(VLOOKUP(Orders!C716,Customers!$A$2:$F$301,5,FALSE()),"Not Found")</f>
        <v>Retail</v>
      </c>
      <c r="E716" s="46" t="n">
        <f aca="false">IFERROR(VLOOKUP(Orders!C716,Customers!$A$2:$F$301,3,FALSE()),"Not Found")</f>
        <v>31</v>
      </c>
      <c r="F716" s="46" t="str">
        <f aca="false">IFERROR(VLOOKUP(Orders!E716,Sales_Reps!$A$2:$E$31,3,FALSE()),"Not Found")</f>
        <v>South</v>
      </c>
      <c r="G716" s="46" t="n">
        <f aca="false">IFERROR(VLOOKUP(Orders!D716,Products!$A$2:$F$61,4,FALSE()),"")</f>
        <v>675</v>
      </c>
      <c r="H716" s="47" t="n">
        <f aca="false">IF(G716="","",(Orders!G716-G716)/Orders!G716)</f>
        <v>0.296875</v>
      </c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</row>
    <row r="717" customFormat="false" ht="15" hidden="false" customHeight="false" outlineLevel="0" collapsed="false">
      <c r="A717" s="46" t="str">
        <f aca="false">Orders!A717</f>
        <v>ORD-00716</v>
      </c>
      <c r="B717" s="46" t="str">
        <f aca="false">PROPER(TRIM(Orders!K717))</f>
        <v>Chennai</v>
      </c>
      <c r="C717" s="46" t="str">
        <f aca="false">IFERROR(VLOOKUP(Orders!D717,Products!$A$2:$F$61,3,FALSE()),"Not Found")</f>
        <v>Home</v>
      </c>
      <c r="D717" s="46" t="str">
        <f aca="false">IFERROR(VLOOKUP(Orders!C717,Customers!$A$2:$F$301,5,FALSE()),"Not Found")</f>
        <v>Corporate</v>
      </c>
      <c r="E717" s="46" t="n">
        <f aca="false">IFERROR(VLOOKUP(Orders!C717,Customers!$A$2:$F$301,3,FALSE()),"Not Found")</f>
        <v>49</v>
      </c>
      <c r="F717" s="46" t="str">
        <f aca="false">IFERROR(VLOOKUP(Orders!E717,Sales_Reps!$A$2:$E$31,3,FALSE()),"Not Found")</f>
        <v>West</v>
      </c>
      <c r="G717" s="46" t="n">
        <f aca="false">IFERROR(VLOOKUP(Orders!D717,Products!$A$2:$F$61,4,FALSE()),"")</f>
        <v>2135</v>
      </c>
      <c r="H717" s="47" t="n">
        <f aca="false">IF(G717="","",(Orders!G717-G717)/Orders!G717)</f>
        <v>0.427613941018767</v>
      </c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</row>
    <row r="718" customFormat="false" ht="15" hidden="false" customHeight="false" outlineLevel="0" collapsed="false">
      <c r="A718" s="46" t="str">
        <f aca="false">Orders!A718</f>
        <v>ORD-00717</v>
      </c>
      <c r="B718" s="46" t="str">
        <f aca="false">PROPER(TRIM(Orders!K718))</f>
        <v>Chennai</v>
      </c>
      <c r="C718" s="46" t="str">
        <f aca="false">IFERROR(VLOOKUP(Orders!D718,Products!$A$2:$F$61,3,FALSE()),"Not Found")</f>
        <v>Sports</v>
      </c>
      <c r="D718" s="46" t="str">
        <f aca="false">IFERROR(VLOOKUP(Orders!C718,Customers!$A$2:$F$301,5,FALSE()),"Not Found")</f>
        <v>SMB</v>
      </c>
      <c r="E718" s="46" t="n">
        <f aca="false">IFERROR(VLOOKUP(Orders!C718,Customers!$A$2:$F$301,3,FALSE()),"Not Found")</f>
        <v>62</v>
      </c>
      <c r="F718" s="46" t="str">
        <f aca="false">IFERROR(VLOOKUP(Orders!E718,Sales_Reps!$A$2:$E$31,3,FALSE()),"Not Found")</f>
        <v>North</v>
      </c>
      <c r="G718" s="46" t="n">
        <f aca="false">IFERROR(VLOOKUP(Orders!D718,Products!$A$2:$F$61,4,FALSE()),"")</f>
        <v>705</v>
      </c>
      <c r="H718" s="47" t="n">
        <f aca="false">IF(G718="","",(Orders!G718-G718)/Orders!G718)</f>
        <v>0.265625</v>
      </c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</row>
    <row r="719" customFormat="false" ht="15" hidden="false" customHeight="false" outlineLevel="0" collapsed="false">
      <c r="A719" s="46" t="str">
        <f aca="false">Orders!A719</f>
        <v>ORD-00718</v>
      </c>
      <c r="B719" s="46" t="str">
        <f aca="false">PROPER(TRIM(Orders!K719))</f>
        <v>Pune</v>
      </c>
      <c r="C719" s="46" t="str">
        <f aca="false">IFERROR(VLOOKUP(Orders!D719,Products!$A$2:$F$61,3,FALSE()),"Not Found")</f>
        <v>Apparel</v>
      </c>
      <c r="D719" s="46" t="str">
        <f aca="false">IFERROR(VLOOKUP(Orders!C719,Customers!$A$2:$F$301,5,FALSE()),"Not Found")</f>
        <v>Retail</v>
      </c>
      <c r="E719" s="46" t="n">
        <f aca="false">IFERROR(VLOOKUP(Orders!C719,Customers!$A$2:$F$301,3,FALSE()),"Not Found")</f>
        <v>38</v>
      </c>
      <c r="F719" s="46" t="str">
        <f aca="false">IFERROR(VLOOKUP(Orders!E719,Sales_Reps!$A$2:$E$31,3,FALSE()),"Not Found")</f>
        <v>North</v>
      </c>
      <c r="G719" s="46" t="n">
        <f aca="false">IFERROR(VLOOKUP(Orders!D719,Products!$A$2:$F$61,4,FALSE()),"")</f>
        <v>1748</v>
      </c>
      <c r="H719" s="47" t="n">
        <f aca="false">IF(G719="","",(Orders!G719-G719)/Orders!G719)</f>
        <v>0.493333333333333</v>
      </c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</row>
    <row r="720" customFormat="false" ht="15" hidden="false" customHeight="false" outlineLevel="0" collapsed="false">
      <c r="A720" s="46" t="str">
        <f aca="false">Orders!A720</f>
        <v>ORD-00719</v>
      </c>
      <c r="B720" s="46" t="str">
        <f aca="false">PROPER(TRIM(Orders!K720))</f>
        <v>Bengaluru</v>
      </c>
      <c r="C720" s="46" t="str">
        <f aca="false">IFERROR(VLOOKUP(Orders!D720,Products!$A$2:$F$61,3,FALSE()),"Not Found")</f>
        <v>Sports</v>
      </c>
      <c r="D720" s="46" t="str">
        <f aca="false">IFERROR(VLOOKUP(Orders!C720,Customers!$A$2:$F$301,5,FALSE()),"Not Found")</f>
        <v>Corporate</v>
      </c>
      <c r="E720" s="46" t="n">
        <f aca="false">IFERROR(VLOOKUP(Orders!C720,Customers!$A$2:$F$301,3,FALSE()),"Not Found")</f>
        <v>41</v>
      </c>
      <c r="F720" s="46" t="str">
        <f aca="false">IFERROR(VLOOKUP(Orders!E720,Sales_Reps!$A$2:$E$31,3,FALSE()),"Not Found")</f>
        <v>South</v>
      </c>
      <c r="G720" s="46" t="n">
        <f aca="false">IFERROR(VLOOKUP(Orders!D720,Products!$A$2:$F$61,4,FALSE()),"")</f>
        <v>2265</v>
      </c>
      <c r="H720" s="47" t="n">
        <f aca="false">IF(G720="","",(Orders!G720-G720)/Orders!G720)</f>
        <v>0.581330868761553</v>
      </c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</row>
    <row r="721" customFormat="false" ht="15" hidden="false" customHeight="false" outlineLevel="0" collapsed="false">
      <c r="A721" s="46" t="str">
        <f aca="false">Orders!A721</f>
        <v>ORD-00720</v>
      </c>
      <c r="B721" s="46" t="str">
        <f aca="false">PROPER(TRIM(Orders!K721))</f>
        <v>Hyderabad</v>
      </c>
      <c r="C721" s="46" t="str">
        <f aca="false">IFERROR(VLOOKUP(Orders!D721,Products!$A$2:$F$61,3,FALSE()),"Not Found")</f>
        <v>Beauty</v>
      </c>
      <c r="D721" s="46" t="str">
        <f aca="false">IFERROR(VLOOKUP(Orders!C721,Customers!$A$2:$F$301,5,FALSE()),"Not Found")</f>
        <v>SMB</v>
      </c>
      <c r="E721" s="46" t="n">
        <f aca="false">IFERROR(VLOOKUP(Orders!C721,Customers!$A$2:$F$301,3,FALSE()),"Not Found")</f>
        <v>65</v>
      </c>
      <c r="F721" s="46" t="str">
        <f aca="false">IFERROR(VLOOKUP(Orders!E721,Sales_Reps!$A$2:$E$31,3,FALSE()),"Not Found")</f>
        <v>East</v>
      </c>
      <c r="G721" s="46" t="n">
        <f aca="false">IFERROR(VLOOKUP(Orders!D721,Products!$A$2:$F$61,4,FALSE()),"")</f>
        <v>1728</v>
      </c>
      <c r="H721" s="47" t="n">
        <f aca="false">IF(G721="","",(Orders!G721-G721)/Orders!G721)</f>
        <v>0.484179104477612</v>
      </c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</row>
    <row r="722" customFormat="false" ht="15" hidden="false" customHeight="false" outlineLevel="0" collapsed="false">
      <c r="A722" s="46" t="str">
        <f aca="false">Orders!A722</f>
        <v>ORD-00721</v>
      </c>
      <c r="B722" s="46" t="str">
        <f aca="false">PROPER(TRIM(Orders!K722))</f>
        <v>Delhi</v>
      </c>
      <c r="C722" s="46" t="str">
        <f aca="false">IFERROR(VLOOKUP(Orders!D722,Products!$A$2:$F$61,3,FALSE()),"Not Found")</f>
        <v>Apparel</v>
      </c>
      <c r="D722" s="46" t="str">
        <f aca="false">IFERROR(VLOOKUP(Orders!C722,Customers!$A$2:$F$301,5,FALSE()),"Not Found")</f>
        <v>Retail</v>
      </c>
      <c r="E722" s="46" t="n">
        <f aca="false">IFERROR(VLOOKUP(Orders!C722,Customers!$A$2:$F$301,3,FALSE()),"Not Found")</f>
        <v>53</v>
      </c>
      <c r="F722" s="46" t="str">
        <f aca="false">IFERROR(VLOOKUP(Orders!E722,Sales_Reps!$A$2:$E$31,3,FALSE()),"Not Found")</f>
        <v>North</v>
      </c>
      <c r="G722" s="46" t="n">
        <f aca="false">IFERROR(VLOOKUP(Orders!D722,Products!$A$2:$F$61,4,FALSE()),"")</f>
        <v>1962</v>
      </c>
      <c r="H722" s="47" t="n">
        <f aca="false">IF(G722="","",(Orders!G722-G722)/Orders!G722)</f>
        <v>0.278676470588235</v>
      </c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</row>
    <row r="723" customFormat="false" ht="15" hidden="false" customHeight="false" outlineLevel="0" collapsed="false">
      <c r="A723" s="46" t="str">
        <f aca="false">Orders!A723</f>
        <v>ORD-00722</v>
      </c>
      <c r="B723" s="46" t="str">
        <f aca="false">PROPER(TRIM(Orders!K723))</f>
        <v>Bengaluru</v>
      </c>
      <c r="C723" s="46" t="str">
        <f aca="false">IFERROR(VLOOKUP(Orders!D723,Products!$A$2:$F$61,3,FALSE()),"Not Found")</f>
        <v>Grocery</v>
      </c>
      <c r="D723" s="46" t="str">
        <f aca="false">IFERROR(VLOOKUP(Orders!C723,Customers!$A$2:$F$301,5,FALSE()),"Not Found")</f>
        <v>Retail</v>
      </c>
      <c r="E723" s="46" t="n">
        <f aca="false">IFERROR(VLOOKUP(Orders!C723,Customers!$A$2:$F$301,3,FALSE()),"Not Found")</f>
        <v>27</v>
      </c>
      <c r="F723" s="46" t="str">
        <f aca="false">IFERROR(VLOOKUP(Orders!E723,Sales_Reps!$A$2:$E$31,3,FALSE()),"Not Found")</f>
        <v>East</v>
      </c>
      <c r="G723" s="46" t="n">
        <f aca="false">IFERROR(VLOOKUP(Orders!D723,Products!$A$2:$F$61,4,FALSE()),"")</f>
        <v>2214</v>
      </c>
      <c r="H723" s="47" t="n">
        <f aca="false">IF(G723="","",(Orders!G723-G723)/Orders!G723)</f>
        <v>0.395081967213115</v>
      </c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</row>
    <row r="724" customFormat="false" ht="15" hidden="false" customHeight="false" outlineLevel="0" collapsed="false">
      <c r="A724" s="46" t="str">
        <f aca="false">Orders!A724</f>
        <v>ORD-00723</v>
      </c>
      <c r="B724" s="46" t="str">
        <f aca="false">PROPER(TRIM(Orders!K724))</f>
        <v>Chennai</v>
      </c>
      <c r="C724" s="46" t="str">
        <f aca="false">IFERROR(VLOOKUP(Orders!D724,Products!$A$2:$F$61,3,FALSE()),"Not Found")</f>
        <v>Electronics</v>
      </c>
      <c r="D724" s="46" t="str">
        <f aca="false">IFERROR(VLOOKUP(Orders!C724,Customers!$A$2:$F$301,5,FALSE()),"Not Found")</f>
        <v>SMB</v>
      </c>
      <c r="E724" s="46" t="n">
        <f aca="false">IFERROR(VLOOKUP(Orders!C724,Customers!$A$2:$F$301,3,FALSE()),"Not Found")</f>
        <v>59</v>
      </c>
      <c r="F724" s="46" t="str">
        <f aca="false">IFERROR(VLOOKUP(Orders!E724,Sales_Reps!$A$2:$E$31,3,FALSE()),"Not Found")</f>
        <v>South</v>
      </c>
      <c r="G724" s="46" t="n">
        <f aca="false">IFERROR(VLOOKUP(Orders!D724,Products!$A$2:$F$61,4,FALSE()),"")</f>
        <v>128</v>
      </c>
      <c r="H724" s="47" t="n">
        <f aca="false">IF(G724="","",(Orders!G724-G724)/Orders!G724)</f>
        <v>0.573333333333333</v>
      </c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</row>
    <row r="725" customFormat="false" ht="15" hidden="false" customHeight="false" outlineLevel="0" collapsed="false">
      <c r="A725" s="46" t="str">
        <f aca="false">Orders!A725</f>
        <v>ORD-00724</v>
      </c>
      <c r="B725" s="46" t="str">
        <f aca="false">PROPER(TRIM(Orders!K725))</f>
        <v>Chennai</v>
      </c>
      <c r="C725" s="46" t="str">
        <f aca="false">IFERROR(VLOOKUP(Orders!D725,Products!$A$2:$F$61,3,FALSE()),"Not Found")</f>
        <v>Beauty</v>
      </c>
      <c r="D725" s="46" t="str">
        <f aca="false">IFERROR(VLOOKUP(Orders!C725,Customers!$A$2:$F$301,5,FALSE()),"Not Found")</f>
        <v>Corporate</v>
      </c>
      <c r="E725" s="46" t="n">
        <f aca="false">IFERROR(VLOOKUP(Orders!C725,Customers!$A$2:$F$301,3,FALSE()),"Not Found")</f>
        <v>52</v>
      </c>
      <c r="F725" s="46" t="str">
        <f aca="false">IFERROR(VLOOKUP(Orders!E725,Sales_Reps!$A$2:$E$31,3,FALSE()),"Not Found")</f>
        <v>West</v>
      </c>
      <c r="G725" s="46" t="n">
        <f aca="false">IFERROR(VLOOKUP(Orders!D725,Products!$A$2:$F$61,4,FALSE()),"")</f>
        <v>1219</v>
      </c>
      <c r="H725" s="47" t="n">
        <f aca="false">IF(G725="","",(Orders!G725-G725)/Orders!G725)</f>
        <v>0.467685589519651</v>
      </c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</row>
    <row r="726" customFormat="false" ht="15" hidden="false" customHeight="false" outlineLevel="0" collapsed="false">
      <c r="A726" s="46" t="str">
        <f aca="false">Orders!A726</f>
        <v>ORD-00725</v>
      </c>
      <c r="B726" s="46" t="str">
        <f aca="false">PROPER(TRIM(Orders!K726))</f>
        <v>Chennai</v>
      </c>
      <c r="C726" s="46" t="str">
        <f aca="false">IFERROR(VLOOKUP(Orders!D726,Products!$A$2:$F$61,3,FALSE()),"Not Found")</f>
        <v>Beauty</v>
      </c>
      <c r="D726" s="46" t="str">
        <f aca="false">IFERROR(VLOOKUP(Orders!C726,Customers!$A$2:$F$301,5,FALSE()),"Not Found")</f>
        <v>Corporate</v>
      </c>
      <c r="E726" s="46" t="n">
        <f aca="false">IFERROR(VLOOKUP(Orders!C726,Customers!$A$2:$F$301,3,FALSE()),"Not Found")</f>
        <v>52</v>
      </c>
      <c r="F726" s="46" t="str">
        <f aca="false">IFERROR(VLOOKUP(Orders!E726,Sales_Reps!$A$2:$E$31,3,FALSE()),"Not Found")</f>
        <v>South</v>
      </c>
      <c r="G726" s="46" t="n">
        <f aca="false">IFERROR(VLOOKUP(Orders!D726,Products!$A$2:$F$61,4,FALSE()),"")</f>
        <v>2768</v>
      </c>
      <c r="H726" s="47" t="n">
        <f aca="false">IF(G726="","",(Orders!G726-G726)/Orders!G726)</f>
        <v>0.432786885245902</v>
      </c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</row>
    <row r="727" customFormat="false" ht="15" hidden="false" customHeight="false" outlineLevel="0" collapsed="false">
      <c r="A727" s="46" t="str">
        <f aca="false">Orders!A727</f>
        <v>ORD-00726</v>
      </c>
      <c r="B727" s="46" t="str">
        <f aca="false">PROPER(TRIM(Orders!K727))</f>
        <v>Bengaluru</v>
      </c>
      <c r="C727" s="46" t="str">
        <f aca="false">IFERROR(VLOOKUP(Orders!D727,Products!$A$2:$F$61,3,FALSE()),"Not Found")</f>
        <v>Electronics</v>
      </c>
      <c r="D727" s="46" t="str">
        <f aca="false">IFERROR(VLOOKUP(Orders!C727,Customers!$A$2:$F$301,5,FALSE()),"Not Found")</f>
        <v>Retail</v>
      </c>
      <c r="E727" s="46" t="n">
        <f aca="false">IFERROR(VLOOKUP(Orders!C727,Customers!$A$2:$F$301,3,FALSE()),"Not Found")</f>
        <v>36</v>
      </c>
      <c r="F727" s="46" t="str">
        <f aca="false">IFERROR(VLOOKUP(Orders!E727,Sales_Reps!$A$2:$E$31,3,FALSE()),"Not Found")</f>
        <v>North</v>
      </c>
      <c r="G727" s="46" t="n">
        <f aca="false">IFERROR(VLOOKUP(Orders!D727,Products!$A$2:$F$61,4,FALSE()),"")</f>
        <v>128</v>
      </c>
      <c r="H727" s="47" t="n">
        <f aca="false">IF(G727="","",(Orders!G727-G727)/Orders!G727)</f>
        <v>0.573333333333333</v>
      </c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</row>
    <row r="728" customFormat="false" ht="15" hidden="false" customHeight="false" outlineLevel="0" collapsed="false">
      <c r="A728" s="46" t="str">
        <f aca="false">Orders!A728</f>
        <v>ORD-00727</v>
      </c>
      <c r="B728" s="46" t="str">
        <f aca="false">PROPER(TRIM(Orders!K728))</f>
        <v>Hyderabad</v>
      </c>
      <c r="C728" s="46" t="str">
        <f aca="false">IFERROR(VLOOKUP(Orders!D728,Products!$A$2:$F$61,3,FALSE()),"Not Found")</f>
        <v>Electronics</v>
      </c>
      <c r="D728" s="46" t="str">
        <f aca="false">IFERROR(VLOOKUP(Orders!C728,Customers!$A$2:$F$301,5,FALSE()),"Not Found")</f>
        <v>SMB</v>
      </c>
      <c r="E728" s="46" t="n">
        <f aca="false">IFERROR(VLOOKUP(Orders!C728,Customers!$A$2:$F$301,3,FALSE()),"Not Found")</f>
        <v>25</v>
      </c>
      <c r="F728" s="46" t="str">
        <f aca="false">IFERROR(VLOOKUP(Orders!E728,Sales_Reps!$A$2:$E$31,3,FALSE()),"Not Found")</f>
        <v>West</v>
      </c>
      <c r="G728" s="46" t="n">
        <f aca="false">IFERROR(VLOOKUP(Orders!D728,Products!$A$2:$F$61,4,FALSE()),"")</f>
        <v>1259</v>
      </c>
      <c r="H728" s="47" t="n">
        <f aca="false">IF(G728="","",(Orders!G728-G728)/Orders!G728)</f>
        <v>0.526691729323308</v>
      </c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</row>
    <row r="729" customFormat="false" ht="15" hidden="false" customHeight="false" outlineLevel="0" collapsed="false">
      <c r="A729" s="46" t="str">
        <f aca="false">Orders!A729</f>
        <v>ORD-00728</v>
      </c>
      <c r="B729" s="46" t="str">
        <f aca="false">PROPER(TRIM(Orders!K729))</f>
        <v>Bengaluru</v>
      </c>
      <c r="C729" s="46" t="str">
        <f aca="false">IFERROR(VLOOKUP(Orders!D729,Products!$A$2:$F$61,3,FALSE()),"Not Found")</f>
        <v>Home</v>
      </c>
      <c r="D729" s="46" t="str">
        <f aca="false">IFERROR(VLOOKUP(Orders!C729,Customers!$A$2:$F$301,5,FALSE()),"Not Found")</f>
        <v>Retail</v>
      </c>
      <c r="E729" s="46" t="n">
        <f aca="false">IFERROR(VLOOKUP(Orders!C729,Customers!$A$2:$F$301,3,FALSE()),"Not Found")</f>
        <v>52</v>
      </c>
      <c r="F729" s="46" t="str">
        <f aca="false">IFERROR(VLOOKUP(Orders!E729,Sales_Reps!$A$2:$E$31,3,FALSE()),"Not Found")</f>
        <v>West</v>
      </c>
      <c r="G729" s="46" t="n">
        <f aca="false">IFERROR(VLOOKUP(Orders!D729,Products!$A$2:$F$61,4,FALSE()),"")</f>
        <v>464</v>
      </c>
      <c r="H729" s="47" t="n">
        <f aca="false">IF(G729="","",(Orders!G729-G729)/Orders!G729)</f>
        <v>0.574311926605505</v>
      </c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</row>
    <row r="730" customFormat="false" ht="15" hidden="false" customHeight="false" outlineLevel="0" collapsed="false">
      <c r="A730" s="46" t="str">
        <f aca="false">Orders!A730</f>
        <v>ORD-00729</v>
      </c>
      <c r="B730" s="46" t="str">
        <f aca="false">PROPER(TRIM(Orders!K730))</f>
        <v>Pune</v>
      </c>
      <c r="C730" s="46" t="str">
        <f aca="false">IFERROR(VLOOKUP(Orders!D730,Products!$A$2:$F$61,3,FALSE()),"Not Found")</f>
        <v>Electronics</v>
      </c>
      <c r="D730" s="46" t="str">
        <f aca="false">IFERROR(VLOOKUP(Orders!C730,Customers!$A$2:$F$301,5,FALSE()),"Not Found")</f>
        <v>Corporate</v>
      </c>
      <c r="E730" s="46" t="n">
        <f aca="false">IFERROR(VLOOKUP(Orders!C730,Customers!$A$2:$F$301,3,FALSE()),"Not Found")</f>
        <v>29</v>
      </c>
      <c r="F730" s="46" t="str">
        <f aca="false">IFERROR(VLOOKUP(Orders!E730,Sales_Reps!$A$2:$E$31,3,FALSE()),"Not Found")</f>
        <v>South</v>
      </c>
      <c r="G730" s="46" t="n">
        <f aca="false">IFERROR(VLOOKUP(Orders!D730,Products!$A$2:$F$61,4,FALSE()),"")</f>
        <v>861</v>
      </c>
      <c r="H730" s="47" t="n">
        <f aca="false">IF(G730="","",(Orders!G730-G730)/Orders!G730)</f>
        <v>0.397902097902098</v>
      </c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</row>
    <row r="731" customFormat="false" ht="15" hidden="false" customHeight="false" outlineLevel="0" collapsed="false">
      <c r="A731" s="46" t="str">
        <f aca="false">Orders!A731</f>
        <v>ORD-00730</v>
      </c>
      <c r="B731" s="46" t="str">
        <f aca="false">PROPER(TRIM(Orders!K731))</f>
        <v>Chennai</v>
      </c>
      <c r="C731" s="46" t="str">
        <f aca="false">IFERROR(VLOOKUP(Orders!D731,Products!$A$2:$F$61,3,FALSE()),"Not Found")</f>
        <v>Electronics</v>
      </c>
      <c r="D731" s="46" t="str">
        <f aca="false">IFERROR(VLOOKUP(Orders!C731,Customers!$A$2:$F$301,5,FALSE()),"Not Found")</f>
        <v>Retail</v>
      </c>
      <c r="E731" s="46" t="n">
        <f aca="false">IFERROR(VLOOKUP(Orders!C731,Customers!$A$2:$F$301,3,FALSE()),"Not Found")</f>
        <v>37</v>
      </c>
      <c r="F731" s="46" t="str">
        <f aca="false">IFERROR(VLOOKUP(Orders!E731,Sales_Reps!$A$2:$E$31,3,FALSE()),"Not Found")</f>
        <v>North</v>
      </c>
      <c r="G731" s="46" t="n">
        <f aca="false">IFERROR(VLOOKUP(Orders!D731,Products!$A$2:$F$61,4,FALSE()),"")</f>
        <v>1149</v>
      </c>
      <c r="H731" s="47" t="n">
        <f aca="false">IF(G731="","",(Orders!G731-G731)/Orders!G731)</f>
        <v>0.564772727272727</v>
      </c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</row>
    <row r="732" customFormat="false" ht="15" hidden="false" customHeight="false" outlineLevel="0" collapsed="false">
      <c r="A732" s="46" t="str">
        <f aca="false">Orders!A732</f>
        <v>ORD-00731</v>
      </c>
      <c r="B732" s="46" t="str">
        <f aca="false">PROPER(TRIM(Orders!K732))</f>
        <v>Pune</v>
      </c>
      <c r="C732" s="46" t="str">
        <f aca="false">IFERROR(VLOOKUP(Orders!D732,Products!$A$2:$F$61,3,FALSE()),"Not Found")</f>
        <v>Apparel</v>
      </c>
      <c r="D732" s="46" t="str">
        <f aca="false">IFERROR(VLOOKUP(Orders!C732,Customers!$A$2:$F$301,5,FALSE()),"Not Found")</f>
        <v>Corporate</v>
      </c>
      <c r="E732" s="46" t="n">
        <f aca="false">IFERROR(VLOOKUP(Orders!C732,Customers!$A$2:$F$301,3,FALSE()),"Not Found")</f>
        <v>52</v>
      </c>
      <c r="F732" s="46" t="str">
        <f aca="false">IFERROR(VLOOKUP(Orders!E732,Sales_Reps!$A$2:$E$31,3,FALSE()),"Not Found")</f>
        <v>North</v>
      </c>
      <c r="G732" s="46" t="n">
        <f aca="false">IFERROR(VLOOKUP(Orders!D732,Products!$A$2:$F$61,4,FALSE()),"")</f>
        <v>1962</v>
      </c>
      <c r="H732" s="47" t="n">
        <f aca="false">IF(G732="","",(Orders!G732-G732)/Orders!G732)</f>
        <v>0.278676470588235</v>
      </c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</row>
    <row r="733" customFormat="false" ht="15" hidden="false" customHeight="false" outlineLevel="0" collapsed="false">
      <c r="A733" s="46" t="str">
        <f aca="false">Orders!A733</f>
        <v>ORD-00732</v>
      </c>
      <c r="B733" s="46" t="str">
        <f aca="false">PROPER(TRIM(Orders!K733))</f>
        <v>Hyderabad</v>
      </c>
      <c r="C733" s="46" t="str">
        <f aca="false">IFERROR(VLOOKUP(Orders!D733,Products!$A$2:$F$61,3,FALSE()),"Not Found")</f>
        <v>Apparel</v>
      </c>
      <c r="D733" s="46" t="str">
        <f aca="false">IFERROR(VLOOKUP(Orders!C733,Customers!$A$2:$F$301,5,FALSE()),"Not Found")</f>
        <v>Corporate</v>
      </c>
      <c r="E733" s="46" t="n">
        <f aca="false">IFERROR(VLOOKUP(Orders!C733,Customers!$A$2:$F$301,3,FALSE()),"Not Found")</f>
        <v>52</v>
      </c>
      <c r="F733" s="46" t="str">
        <f aca="false">IFERROR(VLOOKUP(Orders!E733,Sales_Reps!$A$2:$E$31,3,FALSE()),"Not Found")</f>
        <v>South</v>
      </c>
      <c r="G733" s="46" t="n">
        <f aca="false">IFERROR(VLOOKUP(Orders!D733,Products!$A$2:$F$61,4,FALSE()),"")</f>
        <v>2611</v>
      </c>
      <c r="H733" s="47" t="n">
        <f aca="false">IF(G733="","",(Orders!G733-G733)/Orders!G733)</f>
        <v>0.282692307692308</v>
      </c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</row>
    <row r="734" customFormat="false" ht="15" hidden="false" customHeight="false" outlineLevel="0" collapsed="false">
      <c r="A734" s="46" t="str">
        <f aca="false">Orders!A734</f>
        <v>ORD-00733</v>
      </c>
      <c r="B734" s="46" t="str">
        <f aca="false">PROPER(TRIM(Orders!K734))</f>
        <v>Mumbai</v>
      </c>
      <c r="C734" s="46" t="str">
        <f aca="false">IFERROR(VLOOKUP(Orders!D734,Products!$A$2:$F$61,3,FALSE()),"Not Found")</f>
        <v>Beauty</v>
      </c>
      <c r="D734" s="46" t="str">
        <f aca="false">IFERROR(VLOOKUP(Orders!C734,Customers!$A$2:$F$301,5,FALSE()),"Not Found")</f>
        <v>Not Found</v>
      </c>
      <c r="E734" s="46" t="str">
        <f aca="false">IFERROR(VLOOKUP(Orders!C734,Customers!$A$2:$F$301,3,FALSE()),"Not Found")</f>
        <v>Not Found</v>
      </c>
      <c r="F734" s="46" t="str">
        <f aca="false">IFERROR(VLOOKUP(Orders!E734,Sales_Reps!$A$2:$E$31,3,FALSE()),"Not Found")</f>
        <v>East</v>
      </c>
      <c r="G734" s="46" t="n">
        <f aca="false">IFERROR(VLOOKUP(Orders!D734,Products!$A$2:$F$61,4,FALSE()),"")</f>
        <v>2617</v>
      </c>
      <c r="H734" s="47" t="n">
        <f aca="false">IF(G734="","",(Orders!G734-G734)/Orders!G734)</f>
        <v>0.569572368421053</v>
      </c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</row>
    <row r="735" customFormat="false" ht="15" hidden="false" customHeight="false" outlineLevel="0" collapsed="false">
      <c r="A735" s="46" t="str">
        <f aca="false">Orders!A735</f>
        <v>ORD-00734</v>
      </c>
      <c r="B735" s="46" t="str">
        <f aca="false">PROPER(TRIM(Orders!K735))</f>
        <v>Chennai</v>
      </c>
      <c r="C735" s="46" t="str">
        <f aca="false">IFERROR(VLOOKUP(Orders!D735,Products!$A$2:$F$61,3,FALSE()),"Not Found")</f>
        <v>Electronics</v>
      </c>
      <c r="D735" s="46" t="str">
        <f aca="false">IFERROR(VLOOKUP(Orders!C735,Customers!$A$2:$F$301,5,FALSE()),"Not Found")</f>
        <v>Corporate</v>
      </c>
      <c r="E735" s="46" t="n">
        <f aca="false">IFERROR(VLOOKUP(Orders!C735,Customers!$A$2:$F$301,3,FALSE()),"Not Found")</f>
        <v>41</v>
      </c>
      <c r="F735" s="46" t="str">
        <f aca="false">IFERROR(VLOOKUP(Orders!E735,Sales_Reps!$A$2:$E$31,3,FALSE()),"Not Found")</f>
        <v>South</v>
      </c>
      <c r="G735" s="46" t="n">
        <f aca="false">IFERROR(VLOOKUP(Orders!D735,Products!$A$2:$F$61,4,FALSE()),"")</f>
        <v>2405</v>
      </c>
      <c r="H735" s="47" t="n">
        <f aca="false">IF(G735="","",(Orders!G735-G735)/Orders!G735)</f>
        <v>0.548780487804878</v>
      </c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</row>
    <row r="736" customFormat="false" ht="15" hidden="false" customHeight="false" outlineLevel="0" collapsed="false">
      <c r="A736" s="46" t="str">
        <f aca="false">Orders!A736</f>
        <v>ORD-00735</v>
      </c>
      <c r="B736" s="46" t="str">
        <f aca="false">PROPER(TRIM(Orders!K736))</f>
        <v>Hyderabad</v>
      </c>
      <c r="C736" s="46" t="str">
        <f aca="false">IFERROR(VLOOKUP(Orders!D736,Products!$A$2:$F$61,3,FALSE()),"Not Found")</f>
        <v>Home</v>
      </c>
      <c r="D736" s="46" t="str">
        <f aca="false">IFERROR(VLOOKUP(Orders!C736,Customers!$A$2:$F$301,5,FALSE()),"Not Found")</f>
        <v>Retail</v>
      </c>
      <c r="E736" s="46" t="n">
        <f aca="false">IFERROR(VLOOKUP(Orders!C736,Customers!$A$2:$F$301,3,FALSE()),"Not Found")</f>
        <v>61</v>
      </c>
      <c r="F736" s="46" t="str">
        <f aca="false">IFERROR(VLOOKUP(Orders!E736,Sales_Reps!$A$2:$E$31,3,FALSE()),"Not Found")</f>
        <v>West</v>
      </c>
      <c r="G736" s="46" t="n">
        <f aca="false">IFERROR(VLOOKUP(Orders!D736,Products!$A$2:$F$61,4,FALSE()),"")</f>
        <v>1850</v>
      </c>
      <c r="H736" s="47" t="n">
        <f aca="false">IF(G736="","",(Orders!G736-G736)/Orders!G736)</f>
        <v>0.598698481561822</v>
      </c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</row>
    <row r="737" customFormat="false" ht="15" hidden="false" customHeight="false" outlineLevel="0" collapsed="false">
      <c r="A737" s="46" t="str">
        <f aca="false">Orders!A737</f>
        <v>ORD-00736</v>
      </c>
      <c r="B737" s="46" t="str">
        <f aca="false">PROPER(TRIM(Orders!K737))</f>
        <v>Pune</v>
      </c>
      <c r="C737" s="46" t="str">
        <f aca="false">IFERROR(VLOOKUP(Orders!D737,Products!$A$2:$F$61,3,FALSE()),"Not Found")</f>
        <v>Electronics</v>
      </c>
      <c r="D737" s="46" t="str">
        <f aca="false">IFERROR(VLOOKUP(Orders!C737,Customers!$A$2:$F$301,5,FALSE()),"Not Found")</f>
        <v>Retail</v>
      </c>
      <c r="E737" s="46" t="n">
        <f aca="false">IFERROR(VLOOKUP(Orders!C737,Customers!$A$2:$F$301,3,FALSE()),"Not Found")</f>
        <v>36</v>
      </c>
      <c r="F737" s="46" t="str">
        <f aca="false">IFERROR(VLOOKUP(Orders!E737,Sales_Reps!$A$2:$E$31,3,FALSE()),"Not Found")</f>
        <v>West</v>
      </c>
      <c r="G737" s="46" t="n">
        <f aca="false">IFERROR(VLOOKUP(Orders!D737,Products!$A$2:$F$61,4,FALSE()),"")</f>
        <v>2405</v>
      </c>
      <c r="H737" s="47" t="n">
        <f aca="false">IF(G737="","",(Orders!G737-G737)/Orders!G737)</f>
        <v>0.548780487804878</v>
      </c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</row>
    <row r="738" customFormat="false" ht="15" hidden="false" customHeight="false" outlineLevel="0" collapsed="false">
      <c r="A738" s="46" t="str">
        <f aca="false">Orders!A738</f>
        <v>ORD-00737</v>
      </c>
      <c r="B738" s="46" t="str">
        <f aca="false">PROPER(TRIM(Orders!K738))</f>
        <v>Pune</v>
      </c>
      <c r="C738" s="46" t="str">
        <f aca="false">IFERROR(VLOOKUP(Orders!D738,Products!$A$2:$F$61,3,FALSE()),"Not Found")</f>
        <v>Beauty</v>
      </c>
      <c r="D738" s="46" t="str">
        <f aca="false">IFERROR(VLOOKUP(Orders!C738,Customers!$A$2:$F$301,5,FALSE()),"Not Found")</f>
        <v>Retail</v>
      </c>
      <c r="E738" s="46" t="n">
        <f aca="false">IFERROR(VLOOKUP(Orders!C738,Customers!$A$2:$F$301,3,FALSE()),"Not Found")</f>
        <v>49</v>
      </c>
      <c r="F738" s="46" t="str">
        <f aca="false">IFERROR(VLOOKUP(Orders!E738,Sales_Reps!$A$2:$E$31,3,FALSE()),"Not Found")</f>
        <v>East</v>
      </c>
      <c r="G738" s="46" t="n">
        <f aca="false">IFERROR(VLOOKUP(Orders!D738,Products!$A$2:$F$61,4,FALSE()),"")</f>
        <v>2617</v>
      </c>
      <c r="H738" s="47" t="n">
        <f aca="false">IF(G738="","",(Orders!G738-G738)/Orders!G738)</f>
        <v>0.569572368421053</v>
      </c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</row>
    <row r="739" customFormat="false" ht="15" hidden="false" customHeight="false" outlineLevel="0" collapsed="false">
      <c r="A739" s="46" t="str">
        <f aca="false">Orders!A739</f>
        <v>ORD-00738</v>
      </c>
      <c r="B739" s="46" t="str">
        <f aca="false">PROPER(TRIM(Orders!K739))</f>
        <v>Mumbai</v>
      </c>
      <c r="C739" s="46" t="str">
        <f aca="false">IFERROR(VLOOKUP(Orders!D739,Products!$A$2:$F$61,3,FALSE()),"Not Found")</f>
        <v>Apparel</v>
      </c>
      <c r="D739" s="46" t="str">
        <f aca="false">IFERROR(VLOOKUP(Orders!C739,Customers!$A$2:$F$301,5,FALSE()),"Not Found")</f>
        <v>Corporate</v>
      </c>
      <c r="E739" s="46" t="n">
        <f aca="false">IFERROR(VLOOKUP(Orders!C739,Customers!$A$2:$F$301,3,FALSE()),"Not Found")</f>
        <v>51</v>
      </c>
      <c r="F739" s="46" t="str">
        <f aca="false">IFERROR(VLOOKUP(Orders!E739,Sales_Reps!$A$2:$E$31,3,FALSE()),"Not Found")</f>
        <v>East</v>
      </c>
      <c r="G739" s="46" t="n">
        <f aca="false">IFERROR(VLOOKUP(Orders!D739,Products!$A$2:$F$61,4,FALSE()),"")</f>
        <v>2611</v>
      </c>
      <c r="H739" s="47" t="n">
        <f aca="false">IF(G739="","",(Orders!G739-G739)/Orders!G739)</f>
        <v>0.282692307692308</v>
      </c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</row>
    <row r="740" customFormat="false" ht="15" hidden="false" customHeight="false" outlineLevel="0" collapsed="false">
      <c r="A740" s="46" t="str">
        <f aca="false">Orders!A740</f>
        <v>ORD-00739</v>
      </c>
      <c r="B740" s="46" t="str">
        <f aca="false">PROPER(TRIM(Orders!K740))</f>
        <v>Chennai</v>
      </c>
      <c r="C740" s="46" t="str">
        <f aca="false">IFERROR(VLOOKUP(Orders!D740,Products!$A$2:$F$61,3,FALSE()),"Not Found")</f>
        <v>Electronics</v>
      </c>
      <c r="D740" s="46" t="str">
        <f aca="false">IFERROR(VLOOKUP(Orders!C740,Customers!$A$2:$F$301,5,FALSE()),"Not Found")</f>
        <v>Corporate</v>
      </c>
      <c r="E740" s="46" t="n">
        <f aca="false">IFERROR(VLOOKUP(Orders!C740,Customers!$A$2:$F$301,3,FALSE()),"Not Found")</f>
        <v>35</v>
      </c>
      <c r="F740" s="46" t="str">
        <f aca="false">IFERROR(VLOOKUP(Orders!E740,Sales_Reps!$A$2:$E$31,3,FALSE()),"Not Found")</f>
        <v>South</v>
      </c>
      <c r="G740" s="46" t="n">
        <f aca="false">IFERROR(VLOOKUP(Orders!D740,Products!$A$2:$F$61,4,FALSE()),"")</f>
        <v>1259</v>
      </c>
      <c r="H740" s="47" t="n">
        <f aca="false">IF(G740="","",(Orders!G740-G740)/Orders!G740)</f>
        <v>0.526691729323308</v>
      </c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</row>
    <row r="741" customFormat="false" ht="15" hidden="false" customHeight="false" outlineLevel="0" collapsed="false">
      <c r="A741" s="46" t="str">
        <f aca="false">Orders!A741</f>
        <v>ORD-00740</v>
      </c>
      <c r="B741" s="46" t="str">
        <f aca="false">PROPER(TRIM(Orders!K741))</f>
        <v>Pune</v>
      </c>
      <c r="C741" s="46" t="str">
        <f aca="false">IFERROR(VLOOKUP(Orders!D741,Products!$A$2:$F$61,3,FALSE()),"Not Found")</f>
        <v>Beauty</v>
      </c>
      <c r="D741" s="46" t="str">
        <f aca="false">IFERROR(VLOOKUP(Orders!C741,Customers!$A$2:$F$301,5,FALSE()),"Not Found")</f>
        <v>SMB</v>
      </c>
      <c r="E741" s="46" t="n">
        <f aca="false">IFERROR(VLOOKUP(Orders!C741,Customers!$A$2:$F$301,3,FALSE()),"Not Found")</f>
        <v>29</v>
      </c>
      <c r="F741" s="46" t="str">
        <f aca="false">IFERROR(VLOOKUP(Orders!E741,Sales_Reps!$A$2:$E$31,3,FALSE()),"Not Found")</f>
        <v>South</v>
      </c>
      <c r="G741" s="46" t="n">
        <f aca="false">IFERROR(VLOOKUP(Orders!D741,Products!$A$2:$F$61,4,FALSE()),"")</f>
        <v>1728</v>
      </c>
      <c r="H741" s="47" t="n">
        <f aca="false">IF(G741="","",(Orders!G741-G741)/Orders!G741)</f>
        <v>0.484179104477612</v>
      </c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</row>
    <row r="742" customFormat="false" ht="15" hidden="false" customHeight="false" outlineLevel="0" collapsed="false">
      <c r="A742" s="46" t="str">
        <f aca="false">Orders!A742</f>
        <v>ORD-00741</v>
      </c>
      <c r="B742" s="46" t="str">
        <f aca="false">PROPER(TRIM(Orders!K742))</f>
        <v>Pune</v>
      </c>
      <c r="C742" s="46" t="str">
        <f aca="false">IFERROR(VLOOKUP(Orders!D742,Products!$A$2:$F$61,3,FALSE()),"Not Found")</f>
        <v>Home</v>
      </c>
      <c r="D742" s="46" t="str">
        <f aca="false">IFERROR(VLOOKUP(Orders!C742,Customers!$A$2:$F$301,5,FALSE()),"Not Found")</f>
        <v>SMB</v>
      </c>
      <c r="E742" s="46" t="n">
        <f aca="false">IFERROR(VLOOKUP(Orders!C742,Customers!$A$2:$F$301,3,FALSE()),"Not Found")</f>
        <v>44</v>
      </c>
      <c r="F742" s="46" t="str">
        <f aca="false">IFERROR(VLOOKUP(Orders!E742,Sales_Reps!$A$2:$E$31,3,FALSE()),"Not Found")</f>
        <v>East</v>
      </c>
      <c r="G742" s="46" t="n">
        <f aca="false">IFERROR(VLOOKUP(Orders!D742,Products!$A$2:$F$61,4,FALSE()),"")</f>
        <v>1850</v>
      </c>
      <c r="H742" s="47" t="n">
        <f aca="false">IF(G742="","",(Orders!G742-G742)/Orders!G742)</f>
        <v>0.598698481561822</v>
      </c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</row>
    <row r="743" customFormat="false" ht="15" hidden="false" customHeight="false" outlineLevel="0" collapsed="false">
      <c r="A743" s="46" t="str">
        <f aca="false">Orders!A743</f>
        <v>ORD-00742</v>
      </c>
      <c r="B743" s="46" t="str">
        <f aca="false">PROPER(TRIM(Orders!K743))</f>
        <v>Pune</v>
      </c>
      <c r="C743" s="46" t="str">
        <f aca="false">IFERROR(VLOOKUP(Orders!D743,Products!$A$2:$F$61,3,FALSE()),"Not Found")</f>
        <v>Sports</v>
      </c>
      <c r="D743" s="46" t="str">
        <f aca="false">IFERROR(VLOOKUP(Orders!C743,Customers!$A$2:$F$301,5,FALSE()),"Not Found")</f>
        <v>Corporate</v>
      </c>
      <c r="E743" s="46" t="n">
        <f aca="false">IFERROR(VLOOKUP(Orders!C743,Customers!$A$2:$F$301,3,FALSE()),"Not Found")</f>
        <v>40</v>
      </c>
      <c r="F743" s="46" t="str">
        <f aca="false">IFERROR(VLOOKUP(Orders!E743,Sales_Reps!$A$2:$E$31,3,FALSE()),"Not Found")</f>
        <v>South</v>
      </c>
      <c r="G743" s="46" t="n">
        <f aca="false">IFERROR(VLOOKUP(Orders!D743,Products!$A$2:$F$61,4,FALSE()),"")</f>
        <v>2028</v>
      </c>
      <c r="H743" s="47" t="n">
        <f aca="false">IF(G743="","",(Orders!G743-G743)/Orders!G743)</f>
        <v>0.290909090909091</v>
      </c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</row>
    <row r="744" customFormat="false" ht="15" hidden="false" customHeight="false" outlineLevel="0" collapsed="false">
      <c r="A744" s="46" t="str">
        <f aca="false">Orders!A744</f>
        <v>ORD-00743</v>
      </c>
      <c r="B744" s="46" t="str">
        <f aca="false">PROPER(TRIM(Orders!K744))</f>
        <v>Pune</v>
      </c>
      <c r="C744" s="46" t="str">
        <f aca="false">IFERROR(VLOOKUP(Orders!D744,Products!$A$2:$F$61,3,FALSE()),"Not Found")</f>
        <v>Beauty</v>
      </c>
      <c r="D744" s="46" t="str">
        <f aca="false">IFERROR(VLOOKUP(Orders!C744,Customers!$A$2:$F$301,5,FALSE()),"Not Found")</f>
        <v>Retail</v>
      </c>
      <c r="E744" s="46" t="n">
        <f aca="false">IFERROR(VLOOKUP(Orders!C744,Customers!$A$2:$F$301,3,FALSE()),"Not Found")</f>
        <v>36</v>
      </c>
      <c r="F744" s="46" t="str">
        <f aca="false">IFERROR(VLOOKUP(Orders!E744,Sales_Reps!$A$2:$E$31,3,FALSE()),"Not Found")</f>
        <v>South</v>
      </c>
      <c r="G744" s="46" t="n">
        <f aca="false">IFERROR(VLOOKUP(Orders!D744,Products!$A$2:$F$61,4,FALSE()),"")</f>
        <v>1728</v>
      </c>
      <c r="H744" s="47" t="n">
        <f aca="false">IF(G744="","",(Orders!G744-G744)/Orders!G744)</f>
        <v>0.484179104477612</v>
      </c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</row>
    <row r="745" customFormat="false" ht="15" hidden="false" customHeight="false" outlineLevel="0" collapsed="false">
      <c r="A745" s="46" t="str">
        <f aca="false">Orders!A745</f>
        <v>ORD-00744</v>
      </c>
      <c r="B745" s="46" t="str">
        <f aca="false">PROPER(TRIM(Orders!K745))</f>
        <v>Chennai</v>
      </c>
      <c r="C745" s="46" t="str">
        <f aca="false">IFERROR(VLOOKUP(Orders!D745,Products!$A$2:$F$61,3,FALSE()),"Not Found")</f>
        <v>Grocery</v>
      </c>
      <c r="D745" s="46" t="str">
        <f aca="false">IFERROR(VLOOKUP(Orders!C745,Customers!$A$2:$F$301,5,FALSE()),"Not Found")</f>
        <v>Retail</v>
      </c>
      <c r="E745" s="46" t="n">
        <f aca="false">IFERROR(VLOOKUP(Orders!C745,Customers!$A$2:$F$301,3,FALSE()),"Not Found")</f>
        <v>28</v>
      </c>
      <c r="F745" s="46" t="str">
        <f aca="false">IFERROR(VLOOKUP(Orders!E745,Sales_Reps!$A$2:$E$31,3,FALSE()),"Not Found")</f>
        <v>West</v>
      </c>
      <c r="G745" s="46" t="n">
        <f aca="false">IFERROR(VLOOKUP(Orders!D745,Products!$A$2:$F$61,4,FALSE()),"")</f>
        <v>1010</v>
      </c>
      <c r="H745" s="47" t="n">
        <f aca="false">IF(G745="","",(Orders!G745-G745)/Orders!G745)</f>
        <v>0.542986425339367</v>
      </c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</row>
    <row r="746" customFormat="false" ht="15" hidden="false" customHeight="false" outlineLevel="0" collapsed="false">
      <c r="A746" s="46" t="str">
        <f aca="false">Orders!A746</f>
        <v>ORD-00745</v>
      </c>
      <c r="B746" s="46" t="str">
        <f aca="false">PROPER(TRIM(Orders!K746))</f>
        <v>Pune</v>
      </c>
      <c r="C746" s="46" t="str">
        <f aca="false">IFERROR(VLOOKUP(Orders!D746,Products!$A$2:$F$61,3,FALSE()),"Not Found")</f>
        <v>Beauty</v>
      </c>
      <c r="D746" s="46" t="str">
        <f aca="false">IFERROR(VLOOKUP(Orders!C746,Customers!$A$2:$F$301,5,FALSE()),"Not Found")</f>
        <v>Corporate</v>
      </c>
      <c r="E746" s="46" t="n">
        <f aca="false">IFERROR(VLOOKUP(Orders!C746,Customers!$A$2:$F$301,3,FALSE()),"Not Found")</f>
        <v>37</v>
      </c>
      <c r="F746" s="46" t="str">
        <f aca="false">IFERROR(VLOOKUP(Orders!E746,Sales_Reps!$A$2:$E$31,3,FALSE()),"Not Found")</f>
        <v>South</v>
      </c>
      <c r="G746" s="46" t="n">
        <f aca="false">IFERROR(VLOOKUP(Orders!D746,Products!$A$2:$F$61,4,FALSE()),"")</f>
        <v>2420</v>
      </c>
      <c r="H746" s="47" t="n">
        <f aca="false">IF(G746="","",(Orders!G746-G746)/Orders!G746)</f>
        <v>0.298550724637681</v>
      </c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</row>
    <row r="747" customFormat="false" ht="15" hidden="false" customHeight="false" outlineLevel="0" collapsed="false">
      <c r="A747" s="46" t="str">
        <f aca="false">Orders!A747</f>
        <v>ORD-00746</v>
      </c>
      <c r="B747" s="46" t="str">
        <f aca="false">PROPER(TRIM(Orders!K747))</f>
        <v>Hyderabad</v>
      </c>
      <c r="C747" s="46" t="str">
        <f aca="false">IFERROR(VLOOKUP(Orders!D747,Products!$A$2:$F$61,3,FALSE()),"Not Found")</f>
        <v>Beauty</v>
      </c>
      <c r="D747" s="46" t="str">
        <f aca="false">IFERROR(VLOOKUP(Orders!C747,Customers!$A$2:$F$301,5,FALSE()),"Not Found")</f>
        <v>Retail</v>
      </c>
      <c r="E747" s="46" t="n">
        <f aca="false">IFERROR(VLOOKUP(Orders!C747,Customers!$A$2:$F$301,3,FALSE()),"Not Found")</f>
        <v>38</v>
      </c>
      <c r="F747" s="46" t="str">
        <f aca="false">IFERROR(VLOOKUP(Orders!E747,Sales_Reps!$A$2:$E$31,3,FALSE()),"Not Found")</f>
        <v>West</v>
      </c>
      <c r="G747" s="46" t="n">
        <f aca="false">IFERROR(VLOOKUP(Orders!D747,Products!$A$2:$F$61,4,FALSE()),"")</f>
        <v>2237</v>
      </c>
      <c r="H747" s="47" t="n">
        <f aca="false">IF(G747="","",(Orders!G747-G747)/Orders!G747)</f>
        <v>0.561372549019608</v>
      </c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</row>
    <row r="748" customFormat="false" ht="15" hidden="false" customHeight="false" outlineLevel="0" collapsed="false">
      <c r="A748" s="46" t="str">
        <f aca="false">Orders!A748</f>
        <v>ORD-00747</v>
      </c>
      <c r="B748" s="46" t="str">
        <f aca="false">PROPER(TRIM(Orders!K748))</f>
        <v>Hyderabad</v>
      </c>
      <c r="C748" s="46" t="str">
        <f aca="false">IFERROR(VLOOKUP(Orders!D748,Products!$A$2:$F$61,3,FALSE()),"Not Found")</f>
        <v>Beauty</v>
      </c>
      <c r="D748" s="46" t="str">
        <f aca="false">IFERROR(VLOOKUP(Orders!C748,Customers!$A$2:$F$301,5,FALSE()),"Not Found")</f>
        <v>Retail</v>
      </c>
      <c r="E748" s="46" t="n">
        <f aca="false">IFERROR(VLOOKUP(Orders!C748,Customers!$A$2:$F$301,3,FALSE()),"Not Found")</f>
        <v>29</v>
      </c>
      <c r="F748" s="46" t="str">
        <f aca="false">IFERROR(VLOOKUP(Orders!E748,Sales_Reps!$A$2:$E$31,3,FALSE()),"Not Found")</f>
        <v>North</v>
      </c>
      <c r="G748" s="46" t="n">
        <f aca="false">IFERROR(VLOOKUP(Orders!D748,Products!$A$2:$F$61,4,FALSE()),"")</f>
        <v>2237</v>
      </c>
      <c r="H748" s="47" t="n">
        <f aca="false">IF(G748="","",(Orders!G748-G748)/Orders!G748)</f>
        <v>0.561372549019608</v>
      </c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</row>
    <row r="749" customFormat="false" ht="15" hidden="false" customHeight="false" outlineLevel="0" collapsed="false">
      <c r="A749" s="46" t="str">
        <f aca="false">Orders!A749</f>
        <v>ORD-00748</v>
      </c>
      <c r="B749" s="46" t="str">
        <f aca="false">PROPER(TRIM(Orders!K749))</f>
        <v>Chennai</v>
      </c>
      <c r="C749" s="46" t="str">
        <f aca="false">IFERROR(VLOOKUP(Orders!D749,Products!$A$2:$F$61,3,FALSE()),"Not Found")</f>
        <v>Home</v>
      </c>
      <c r="D749" s="46" t="str">
        <f aca="false">IFERROR(VLOOKUP(Orders!C749,Customers!$A$2:$F$301,5,FALSE()),"Not Found")</f>
        <v>Retail</v>
      </c>
      <c r="E749" s="46" t="n">
        <f aca="false">IFERROR(VLOOKUP(Orders!C749,Customers!$A$2:$F$301,3,FALSE()),"Not Found")</f>
        <v>41</v>
      </c>
      <c r="F749" s="46" t="str">
        <f aca="false">IFERROR(VLOOKUP(Orders!E749,Sales_Reps!$A$2:$E$31,3,FALSE()),"Not Found")</f>
        <v>North</v>
      </c>
      <c r="G749" s="46" t="n">
        <f aca="false">IFERROR(VLOOKUP(Orders!D749,Products!$A$2:$F$61,4,FALSE()),"")</f>
        <v>329</v>
      </c>
      <c r="H749" s="47" t="n">
        <f aca="false">IF(G749="","",(Orders!G749-G749)/Orders!G749)</f>
        <v>0.501515151515152</v>
      </c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</row>
    <row r="750" customFormat="false" ht="15" hidden="false" customHeight="false" outlineLevel="0" collapsed="false">
      <c r="A750" s="46" t="str">
        <f aca="false">Orders!A750</f>
        <v>ORD-00749</v>
      </c>
      <c r="B750" s="46" t="str">
        <f aca="false">PROPER(TRIM(Orders!K750))</f>
        <v>Mumbai</v>
      </c>
      <c r="C750" s="46" t="str">
        <f aca="false">IFERROR(VLOOKUP(Orders!D750,Products!$A$2:$F$61,3,FALSE()),"Not Found")</f>
        <v>Grocery</v>
      </c>
      <c r="D750" s="46" t="str">
        <f aca="false">IFERROR(VLOOKUP(Orders!C750,Customers!$A$2:$F$301,5,FALSE()),"Not Found")</f>
        <v>Retail</v>
      </c>
      <c r="E750" s="46" t="n">
        <f aca="false">IFERROR(VLOOKUP(Orders!C750,Customers!$A$2:$F$301,3,FALSE()),"Not Found")</f>
        <v>44</v>
      </c>
      <c r="F750" s="46" t="str">
        <f aca="false">IFERROR(VLOOKUP(Orders!E750,Sales_Reps!$A$2:$E$31,3,FALSE()),"Not Found")</f>
        <v>North</v>
      </c>
      <c r="G750" s="46" t="n">
        <f aca="false">IFERROR(VLOOKUP(Orders!D750,Products!$A$2:$F$61,4,FALSE()),"")</f>
        <v>2027</v>
      </c>
      <c r="H750" s="47" t="n">
        <f aca="false">IF(G750="","",(Orders!G750-G750)/Orders!G750)</f>
        <v>0.501965601965602</v>
      </c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</row>
    <row r="751" customFormat="false" ht="15" hidden="false" customHeight="false" outlineLevel="0" collapsed="false">
      <c r="A751" s="46" t="str">
        <f aca="false">Orders!A751</f>
        <v>ORD-00750</v>
      </c>
      <c r="B751" s="46" t="str">
        <f aca="false">PROPER(TRIM(Orders!K751))</f>
        <v>Mumbai</v>
      </c>
      <c r="C751" s="46" t="str">
        <f aca="false">IFERROR(VLOOKUP(Orders!D751,Products!$A$2:$F$61,3,FALSE()),"Not Found")</f>
        <v>Apparel</v>
      </c>
      <c r="D751" s="46" t="str">
        <f aca="false">IFERROR(VLOOKUP(Orders!C751,Customers!$A$2:$F$301,5,FALSE()),"Not Found")</f>
        <v>SMB</v>
      </c>
      <c r="E751" s="46" t="n">
        <f aca="false">IFERROR(VLOOKUP(Orders!C751,Customers!$A$2:$F$301,3,FALSE()),"Not Found")</f>
        <v>22</v>
      </c>
      <c r="F751" s="46" t="str">
        <f aca="false">IFERROR(VLOOKUP(Orders!E751,Sales_Reps!$A$2:$E$31,3,FALSE()),"Not Found")</f>
        <v>North</v>
      </c>
      <c r="G751" s="46" t="n">
        <f aca="false">IFERROR(VLOOKUP(Orders!D751,Products!$A$2:$F$61,4,FALSE()),"")</f>
        <v>1075</v>
      </c>
      <c r="H751" s="47" t="n">
        <f aca="false">IF(G751="","",(Orders!G751-G751)/Orders!G751)</f>
        <v>0.571713147410359</v>
      </c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</row>
    <row r="752" customFormat="false" ht="15" hidden="false" customHeight="false" outlineLevel="0" collapsed="false">
      <c r="A752" s="46" t="str">
        <f aca="false">Orders!A752</f>
        <v>ORD-00751</v>
      </c>
      <c r="B752" s="46" t="str">
        <f aca="false">PROPER(TRIM(Orders!K752))</f>
        <v>Pune</v>
      </c>
      <c r="C752" s="46" t="str">
        <f aca="false">IFERROR(VLOOKUP(Orders!D752,Products!$A$2:$F$61,3,FALSE()),"Not Found")</f>
        <v>Home</v>
      </c>
      <c r="D752" s="46" t="str">
        <f aca="false">IFERROR(VLOOKUP(Orders!C752,Customers!$A$2:$F$301,5,FALSE()),"Not Found")</f>
        <v>SMB</v>
      </c>
      <c r="E752" s="46" t="n">
        <f aca="false">IFERROR(VLOOKUP(Orders!C752,Customers!$A$2:$F$301,3,FALSE()),"Not Found")</f>
        <v>29</v>
      </c>
      <c r="F752" s="46" t="str">
        <f aca="false">IFERROR(VLOOKUP(Orders!E752,Sales_Reps!$A$2:$E$31,3,FALSE()),"Not Found")</f>
        <v>West</v>
      </c>
      <c r="G752" s="46" t="n">
        <f aca="false">IFERROR(VLOOKUP(Orders!D752,Products!$A$2:$F$61,4,FALSE()),"")</f>
        <v>1556</v>
      </c>
      <c r="H752" s="47" t="n">
        <f aca="false">IF(G752="","",(Orders!G752-G752)/Orders!G752)</f>
        <v>0.521230769230769</v>
      </c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</row>
    <row r="753" customFormat="false" ht="15" hidden="false" customHeight="false" outlineLevel="0" collapsed="false">
      <c r="A753" s="46" t="str">
        <f aca="false">Orders!A753</f>
        <v>ORD-00752</v>
      </c>
      <c r="B753" s="46" t="str">
        <f aca="false">PROPER(TRIM(Orders!K753))</f>
        <v>Bengaluru</v>
      </c>
      <c r="C753" s="46" t="str">
        <f aca="false">IFERROR(VLOOKUP(Orders!D753,Products!$A$2:$F$61,3,FALSE()),"Not Found")</f>
        <v>Home</v>
      </c>
      <c r="D753" s="46" t="str">
        <f aca="false">IFERROR(VLOOKUP(Orders!C753,Customers!$A$2:$F$301,5,FALSE()),"Not Found")</f>
        <v>Corporate</v>
      </c>
      <c r="E753" s="46" t="n">
        <f aca="false">IFERROR(VLOOKUP(Orders!C753,Customers!$A$2:$F$301,3,FALSE()),"Not Found")</f>
        <v>26</v>
      </c>
      <c r="F753" s="46" t="str">
        <f aca="false">IFERROR(VLOOKUP(Orders!E753,Sales_Reps!$A$2:$E$31,3,FALSE()),"Not Found")</f>
        <v>North</v>
      </c>
      <c r="G753" s="46" t="n">
        <f aca="false">IFERROR(VLOOKUP(Orders!D753,Products!$A$2:$F$61,4,FALSE()),"")</f>
        <v>288</v>
      </c>
      <c r="H753" s="47" t="n">
        <f aca="false">IF(G753="","",(Orders!G753-G753)/Orders!G753)</f>
        <v>0.221621621621622</v>
      </c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</row>
    <row r="754" customFormat="false" ht="15" hidden="false" customHeight="false" outlineLevel="0" collapsed="false">
      <c r="A754" s="46" t="str">
        <f aca="false">Orders!A754</f>
        <v>ORD-00753</v>
      </c>
      <c r="B754" s="46" t="str">
        <f aca="false">PROPER(TRIM(Orders!K754))</f>
        <v>Pune</v>
      </c>
      <c r="C754" s="46" t="str">
        <f aca="false">IFERROR(VLOOKUP(Orders!D754,Products!$A$2:$F$61,3,FALSE()),"Not Found")</f>
        <v>Apparel</v>
      </c>
      <c r="D754" s="46" t="str">
        <f aca="false">IFERROR(VLOOKUP(Orders!C754,Customers!$A$2:$F$301,5,FALSE()),"Not Found")</f>
        <v>Corporate</v>
      </c>
      <c r="E754" s="46" t="n">
        <f aca="false">IFERROR(VLOOKUP(Orders!C754,Customers!$A$2:$F$301,3,FALSE()),"Not Found")</f>
        <v>29</v>
      </c>
      <c r="F754" s="46" t="str">
        <f aca="false">IFERROR(VLOOKUP(Orders!E754,Sales_Reps!$A$2:$E$31,3,FALSE()),"Not Found")</f>
        <v>North</v>
      </c>
      <c r="G754" s="46" t="n">
        <f aca="false">IFERROR(VLOOKUP(Orders!D754,Products!$A$2:$F$61,4,FALSE()),"")</f>
        <v>391</v>
      </c>
      <c r="H754" s="47" t="n">
        <f aca="false">IF(G754="","",(Orders!G754-G754)/Orders!G754)</f>
        <v>0.523170731707317</v>
      </c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</row>
    <row r="755" customFormat="false" ht="15" hidden="false" customHeight="false" outlineLevel="0" collapsed="false">
      <c r="A755" s="46" t="str">
        <f aca="false">Orders!A755</f>
        <v>ORD-00754</v>
      </c>
      <c r="B755" s="46" t="str">
        <f aca="false">PROPER(TRIM(Orders!K755))</f>
        <v>Bengaluru</v>
      </c>
      <c r="C755" s="46" t="str">
        <f aca="false">IFERROR(VLOOKUP(Orders!D755,Products!$A$2:$F$61,3,FALSE()),"Not Found")</f>
        <v>Grocery</v>
      </c>
      <c r="D755" s="46" t="str">
        <f aca="false">IFERROR(VLOOKUP(Orders!C755,Customers!$A$2:$F$301,5,FALSE()),"Not Found")</f>
        <v>Retail</v>
      </c>
      <c r="E755" s="46" t="n">
        <f aca="false">IFERROR(VLOOKUP(Orders!C755,Customers!$A$2:$F$301,3,FALSE()),"Not Found")</f>
        <v>55</v>
      </c>
      <c r="F755" s="46" t="str">
        <f aca="false">IFERROR(VLOOKUP(Orders!E755,Sales_Reps!$A$2:$E$31,3,FALSE()),"Not Found")</f>
        <v>West</v>
      </c>
      <c r="G755" s="46" t="n">
        <f aca="false">IFERROR(VLOOKUP(Orders!D755,Products!$A$2:$F$61,4,FALSE()),"")</f>
        <v>2027</v>
      </c>
      <c r="H755" s="47" t="n">
        <f aca="false">IF(G755="","",(Orders!G755-G755)/Orders!G755)</f>
        <v>0.501965601965602</v>
      </c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</row>
    <row r="756" customFormat="false" ht="15" hidden="false" customHeight="false" outlineLevel="0" collapsed="false">
      <c r="A756" s="46" t="str">
        <f aca="false">Orders!A756</f>
        <v>ORD-00755</v>
      </c>
      <c r="B756" s="46" t="str">
        <f aca="false">PROPER(TRIM(Orders!K756))</f>
        <v>Bengaluru</v>
      </c>
      <c r="C756" s="46" t="str">
        <f aca="false">IFERROR(VLOOKUP(Orders!D756,Products!$A$2:$F$61,3,FALSE()),"Not Found")</f>
        <v>Grocery</v>
      </c>
      <c r="D756" s="46" t="str">
        <f aca="false">IFERROR(VLOOKUP(Orders!C756,Customers!$A$2:$F$301,5,FALSE()),"Not Found")</f>
        <v>Retail</v>
      </c>
      <c r="E756" s="46" t="n">
        <f aca="false">IFERROR(VLOOKUP(Orders!C756,Customers!$A$2:$F$301,3,FALSE()),"Not Found")</f>
        <v>29</v>
      </c>
      <c r="F756" s="46" t="str">
        <f aca="false">IFERROR(VLOOKUP(Orders!E756,Sales_Reps!$A$2:$E$31,3,FALSE()),"Not Found")</f>
        <v>South</v>
      </c>
      <c r="G756" s="46" t="n">
        <f aca="false">IFERROR(VLOOKUP(Orders!D756,Products!$A$2:$F$61,4,FALSE()),"")</f>
        <v>1182</v>
      </c>
      <c r="H756" s="47" t="n">
        <f aca="false">IF(G756="","",(Orders!G756-G756)/Orders!G756)</f>
        <v>0.503361344537815</v>
      </c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</row>
    <row r="757" customFormat="false" ht="15" hidden="false" customHeight="false" outlineLevel="0" collapsed="false">
      <c r="A757" s="46" t="str">
        <f aca="false">Orders!A757</f>
        <v>ORD-00756</v>
      </c>
      <c r="B757" s="46" t="str">
        <f aca="false">PROPER(TRIM(Orders!K757))</f>
        <v>Pune</v>
      </c>
      <c r="C757" s="46" t="str">
        <f aca="false">IFERROR(VLOOKUP(Orders!D757,Products!$A$2:$F$61,3,FALSE()),"Not Found")</f>
        <v>Home</v>
      </c>
      <c r="D757" s="46" t="str">
        <f aca="false">IFERROR(VLOOKUP(Orders!C757,Customers!$A$2:$F$301,5,FALSE()),"Not Found")</f>
        <v>Retail</v>
      </c>
      <c r="E757" s="46" t="n">
        <f aca="false">IFERROR(VLOOKUP(Orders!C757,Customers!$A$2:$F$301,3,FALSE()),"Not Found")</f>
        <v>65</v>
      </c>
      <c r="F757" s="46" t="str">
        <f aca="false">IFERROR(VLOOKUP(Orders!E757,Sales_Reps!$A$2:$E$31,3,FALSE()),"Not Found")</f>
        <v>West</v>
      </c>
      <c r="G757" s="46" t="n">
        <f aca="false">IFERROR(VLOOKUP(Orders!D757,Products!$A$2:$F$61,4,FALSE()),"")</f>
        <v>2549</v>
      </c>
      <c r="H757" s="47" t="n">
        <f aca="false">IF(G757="","",(Orders!G757-G757)/Orders!G757)</f>
        <v>0.535701275045537</v>
      </c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</row>
    <row r="758" customFormat="false" ht="15" hidden="false" customHeight="false" outlineLevel="0" collapsed="false">
      <c r="A758" s="46" t="str">
        <f aca="false">Orders!A758</f>
        <v>ORD-00757</v>
      </c>
      <c r="B758" s="46" t="str">
        <f aca="false">PROPER(TRIM(Orders!K758))</f>
        <v>Mumbai</v>
      </c>
      <c r="C758" s="46" t="str">
        <f aca="false">IFERROR(VLOOKUP(Orders!D758,Products!$A$2:$F$61,3,FALSE()),"Not Found")</f>
        <v>Apparel</v>
      </c>
      <c r="D758" s="46" t="str">
        <f aca="false">IFERROR(VLOOKUP(Orders!C758,Customers!$A$2:$F$301,5,FALSE()),"Not Found")</f>
        <v>Retail</v>
      </c>
      <c r="E758" s="46" t="n">
        <f aca="false">IFERROR(VLOOKUP(Orders!C758,Customers!$A$2:$F$301,3,FALSE()),"Not Found")</f>
        <v>49</v>
      </c>
      <c r="F758" s="46" t="str">
        <f aca="false">IFERROR(VLOOKUP(Orders!E758,Sales_Reps!$A$2:$E$31,3,FALSE()),"Not Found")</f>
        <v>West</v>
      </c>
      <c r="G758" s="46" t="n">
        <f aca="false">IFERROR(VLOOKUP(Orders!D758,Products!$A$2:$F$61,4,FALSE()),"")</f>
        <v>2611</v>
      </c>
      <c r="H758" s="47" t="n">
        <f aca="false">IF(G758="","",(Orders!G758-G758)/Orders!G758)</f>
        <v>0.282692307692308</v>
      </c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</row>
    <row r="759" customFormat="false" ht="15" hidden="false" customHeight="false" outlineLevel="0" collapsed="false">
      <c r="A759" s="46" t="str">
        <f aca="false">Orders!A759</f>
        <v>ORD-00758</v>
      </c>
      <c r="B759" s="46" t="str">
        <f aca="false">PROPER(TRIM(Orders!K759))</f>
        <v>Chennai</v>
      </c>
      <c r="C759" s="46" t="str">
        <f aca="false">IFERROR(VLOOKUP(Orders!D759,Products!$A$2:$F$61,3,FALSE()),"Not Found")</f>
        <v>Home</v>
      </c>
      <c r="D759" s="46" t="str">
        <f aca="false">IFERROR(VLOOKUP(Orders!C759,Customers!$A$2:$F$301,5,FALSE()),"Not Found")</f>
        <v>Corporate</v>
      </c>
      <c r="E759" s="46" t="n">
        <f aca="false">IFERROR(VLOOKUP(Orders!C759,Customers!$A$2:$F$301,3,FALSE()),"Not Found")</f>
        <v>24</v>
      </c>
      <c r="F759" s="46" t="str">
        <f aca="false">IFERROR(VLOOKUP(Orders!E759,Sales_Reps!$A$2:$E$31,3,FALSE()),"Not Found")</f>
        <v>East</v>
      </c>
      <c r="G759" s="46" t="n">
        <f aca="false">IFERROR(VLOOKUP(Orders!D759,Products!$A$2:$F$61,4,FALSE()),"")</f>
        <v>1850</v>
      </c>
      <c r="H759" s="47" t="n">
        <f aca="false">IF(G759="","",(Orders!G759-G759)/Orders!G759)</f>
        <v>0.598698481561822</v>
      </c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</row>
    <row r="760" customFormat="false" ht="15" hidden="false" customHeight="false" outlineLevel="0" collapsed="false">
      <c r="A760" s="46" t="str">
        <f aca="false">Orders!A760</f>
        <v>ORD-00759</v>
      </c>
      <c r="B760" s="46" t="str">
        <f aca="false">PROPER(TRIM(Orders!K760))</f>
        <v>Pune</v>
      </c>
      <c r="C760" s="46" t="str">
        <f aca="false">IFERROR(VLOOKUP(Orders!D760,Products!$A$2:$F$61,3,FALSE()),"Not Found")</f>
        <v>Sports</v>
      </c>
      <c r="D760" s="46" t="str">
        <f aca="false">IFERROR(VLOOKUP(Orders!C760,Customers!$A$2:$F$301,5,FALSE()),"Not Found")</f>
        <v>Retail</v>
      </c>
      <c r="E760" s="46" t="n">
        <f aca="false">IFERROR(VLOOKUP(Orders!C760,Customers!$A$2:$F$301,3,FALSE()),"Not Found")</f>
        <v>59</v>
      </c>
      <c r="F760" s="46" t="str">
        <f aca="false">IFERROR(VLOOKUP(Orders!E760,Sales_Reps!$A$2:$E$31,3,FALSE()),"Not Found")</f>
        <v>North</v>
      </c>
      <c r="G760" s="46" t="n">
        <f aca="false">IFERROR(VLOOKUP(Orders!D760,Products!$A$2:$F$61,4,FALSE()),"")</f>
        <v>974</v>
      </c>
      <c r="H760" s="47" t="n">
        <f aca="false">IF(G760="","",(Orders!G760-G760)/Orders!G760)</f>
        <v>0.594166666666667</v>
      </c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</row>
    <row r="761" customFormat="false" ht="15" hidden="false" customHeight="false" outlineLevel="0" collapsed="false">
      <c r="A761" s="46" t="str">
        <f aca="false">Orders!A761</f>
        <v>ORD-00760</v>
      </c>
      <c r="B761" s="46" t="str">
        <f aca="false">PROPER(TRIM(Orders!K761))</f>
        <v>Delhi</v>
      </c>
      <c r="C761" s="46" t="str">
        <f aca="false">IFERROR(VLOOKUP(Orders!D761,Products!$A$2:$F$61,3,FALSE()),"Not Found")</f>
        <v>Beauty</v>
      </c>
      <c r="D761" s="46" t="str">
        <f aca="false">IFERROR(VLOOKUP(Orders!C761,Customers!$A$2:$F$301,5,FALSE()),"Not Found")</f>
        <v>Retail</v>
      </c>
      <c r="E761" s="46" t="n">
        <f aca="false">IFERROR(VLOOKUP(Orders!C761,Customers!$A$2:$F$301,3,FALSE()),"Not Found")</f>
        <v>30</v>
      </c>
      <c r="F761" s="46" t="str">
        <f aca="false">IFERROR(VLOOKUP(Orders!E761,Sales_Reps!$A$2:$E$31,3,FALSE()),"Not Found")</f>
        <v>North</v>
      </c>
      <c r="G761" s="46" t="n">
        <f aca="false">IFERROR(VLOOKUP(Orders!D761,Products!$A$2:$F$61,4,FALSE()),"")</f>
        <v>1728</v>
      </c>
      <c r="H761" s="47" t="n">
        <f aca="false">IF(G761="","",(Orders!G761-G761)/Orders!G761)</f>
        <v>0.484179104477612</v>
      </c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</row>
    <row r="762" customFormat="false" ht="15" hidden="false" customHeight="false" outlineLevel="0" collapsed="false">
      <c r="A762" s="46" t="str">
        <f aca="false">Orders!A762</f>
        <v>ORD-00761</v>
      </c>
      <c r="B762" s="46" t="str">
        <f aca="false">PROPER(TRIM(Orders!K762))</f>
        <v>Hyderabad</v>
      </c>
      <c r="C762" s="46" t="str">
        <f aca="false">IFERROR(VLOOKUP(Orders!D762,Products!$A$2:$F$61,3,FALSE()),"Not Found")</f>
        <v>Apparel</v>
      </c>
      <c r="D762" s="46" t="str">
        <f aca="false">IFERROR(VLOOKUP(Orders!C762,Customers!$A$2:$F$301,5,FALSE()),"Not Found")</f>
        <v>Retail</v>
      </c>
      <c r="E762" s="46" t="n">
        <f aca="false">IFERROR(VLOOKUP(Orders!C762,Customers!$A$2:$F$301,3,FALSE()),"Not Found")</f>
        <v>27</v>
      </c>
      <c r="F762" s="46" t="str">
        <f aca="false">IFERROR(VLOOKUP(Orders!E762,Sales_Reps!$A$2:$E$31,3,FALSE()),"Not Found")</f>
        <v>South</v>
      </c>
      <c r="G762" s="46" t="n">
        <f aca="false">IFERROR(VLOOKUP(Orders!D762,Products!$A$2:$F$61,4,FALSE()),"")</f>
        <v>2611</v>
      </c>
      <c r="H762" s="47" t="n">
        <f aca="false">IF(G762="","",(Orders!G762-G762)/Orders!G762)</f>
        <v>0.282692307692308</v>
      </c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</row>
    <row r="763" customFormat="false" ht="15" hidden="false" customHeight="false" outlineLevel="0" collapsed="false">
      <c r="A763" s="46" t="str">
        <f aca="false">Orders!A763</f>
        <v>ORD-00762</v>
      </c>
      <c r="B763" s="46" t="str">
        <f aca="false">PROPER(TRIM(Orders!K763))</f>
        <v>Pune</v>
      </c>
      <c r="C763" s="46" t="str">
        <f aca="false">IFERROR(VLOOKUP(Orders!D763,Products!$A$2:$F$61,3,FALSE()),"Not Found")</f>
        <v>Apparel</v>
      </c>
      <c r="D763" s="46" t="str">
        <f aca="false">IFERROR(VLOOKUP(Orders!C763,Customers!$A$2:$F$301,5,FALSE()),"Not Found")</f>
        <v>Retail</v>
      </c>
      <c r="E763" s="46" t="n">
        <f aca="false">IFERROR(VLOOKUP(Orders!C763,Customers!$A$2:$F$301,3,FALSE()),"Not Found")</f>
        <v>42</v>
      </c>
      <c r="F763" s="46" t="str">
        <f aca="false">IFERROR(VLOOKUP(Orders!E763,Sales_Reps!$A$2:$E$31,3,FALSE()),"Not Found")</f>
        <v>West</v>
      </c>
      <c r="G763" s="46" t="n">
        <f aca="false">IFERROR(VLOOKUP(Orders!D763,Products!$A$2:$F$61,4,FALSE()),"")</f>
        <v>2611</v>
      </c>
      <c r="H763" s="47" t="n">
        <f aca="false">IF(G763="","",(Orders!G763-G763)/Orders!G763)</f>
        <v>0.282692307692308</v>
      </c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</row>
    <row r="764" customFormat="false" ht="15" hidden="false" customHeight="false" outlineLevel="0" collapsed="false">
      <c r="A764" s="46" t="str">
        <f aca="false">Orders!A764</f>
        <v>ORD-00763</v>
      </c>
      <c r="B764" s="46" t="str">
        <f aca="false">PROPER(TRIM(Orders!K764))</f>
        <v>Pune</v>
      </c>
      <c r="C764" s="46" t="str">
        <f aca="false">IFERROR(VLOOKUP(Orders!D764,Products!$A$2:$F$61,3,FALSE()),"Not Found")</f>
        <v>Home</v>
      </c>
      <c r="D764" s="46" t="str">
        <f aca="false">IFERROR(VLOOKUP(Orders!C764,Customers!$A$2:$F$301,5,FALSE()),"Not Found")</f>
        <v>Retail</v>
      </c>
      <c r="E764" s="46" t="n">
        <f aca="false">IFERROR(VLOOKUP(Orders!C764,Customers!$A$2:$F$301,3,FALSE()),"Not Found")</f>
        <v>50</v>
      </c>
      <c r="F764" s="46" t="str">
        <f aca="false">IFERROR(VLOOKUP(Orders!E764,Sales_Reps!$A$2:$E$31,3,FALSE()),"Not Found")</f>
        <v>South</v>
      </c>
      <c r="G764" s="46" t="n">
        <f aca="false">IFERROR(VLOOKUP(Orders!D764,Products!$A$2:$F$61,4,FALSE()),"")</f>
        <v>1143</v>
      </c>
      <c r="H764" s="47" t="n">
        <f aca="false">IF(G764="","",(Orders!G764-G764)/Orders!G764)</f>
        <v>0.436945812807882</v>
      </c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</row>
    <row r="765" customFormat="false" ht="15" hidden="false" customHeight="false" outlineLevel="0" collapsed="false">
      <c r="A765" s="46" t="str">
        <f aca="false">Orders!A765</f>
        <v>ORD-00764</v>
      </c>
      <c r="B765" s="46" t="str">
        <f aca="false">PROPER(TRIM(Orders!K765))</f>
        <v>Mumbai</v>
      </c>
      <c r="C765" s="46" t="str">
        <f aca="false">IFERROR(VLOOKUP(Orders!D765,Products!$A$2:$F$61,3,FALSE()),"Not Found")</f>
        <v>Apparel</v>
      </c>
      <c r="D765" s="46" t="str">
        <f aca="false">IFERROR(VLOOKUP(Orders!C765,Customers!$A$2:$F$301,5,FALSE()),"Not Found")</f>
        <v>Retail</v>
      </c>
      <c r="E765" s="46" t="n">
        <f aca="false">IFERROR(VLOOKUP(Orders!C765,Customers!$A$2:$F$301,3,FALSE()),"Not Found")</f>
        <v>29</v>
      </c>
      <c r="F765" s="46" t="str">
        <f aca="false">IFERROR(VLOOKUP(Orders!E765,Sales_Reps!$A$2:$E$31,3,FALSE()),"Not Found")</f>
        <v>North</v>
      </c>
      <c r="G765" s="46" t="n">
        <f aca="false">IFERROR(VLOOKUP(Orders!D765,Products!$A$2:$F$61,4,FALSE()),"")</f>
        <v>1886</v>
      </c>
      <c r="H765" s="47" t="n">
        <f aca="false">IF(G765="","",(Orders!G765-G765)/Orders!G765)</f>
        <v>0.403164556962025</v>
      </c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</row>
    <row r="766" customFormat="false" ht="15" hidden="false" customHeight="false" outlineLevel="0" collapsed="false">
      <c r="A766" s="46" t="str">
        <f aca="false">Orders!A766</f>
        <v>ORD-00765</v>
      </c>
      <c r="B766" s="46" t="str">
        <f aca="false">PROPER(TRIM(Orders!K766))</f>
        <v>Chennai</v>
      </c>
      <c r="C766" s="46" t="str">
        <f aca="false">IFERROR(VLOOKUP(Orders!D766,Products!$A$2:$F$61,3,FALSE()),"Not Found")</f>
        <v>Grocery</v>
      </c>
      <c r="D766" s="46" t="str">
        <f aca="false">IFERROR(VLOOKUP(Orders!C766,Customers!$A$2:$F$301,5,FALSE()),"Not Found")</f>
        <v>SMB</v>
      </c>
      <c r="E766" s="46" t="n">
        <f aca="false">IFERROR(VLOOKUP(Orders!C766,Customers!$A$2:$F$301,3,FALSE()),"Not Found")</f>
        <v>26</v>
      </c>
      <c r="F766" s="46" t="str">
        <f aca="false">IFERROR(VLOOKUP(Orders!E766,Sales_Reps!$A$2:$E$31,3,FALSE()),"Not Found")</f>
        <v>West</v>
      </c>
      <c r="G766" s="46" t="n">
        <f aca="false">IFERROR(VLOOKUP(Orders!D766,Products!$A$2:$F$61,4,FALSE()),"")</f>
        <v>2027</v>
      </c>
      <c r="H766" s="47" t="n">
        <f aca="false">IF(G766="","",(Orders!G766-G766)/Orders!G766)</f>
        <v>0.501965601965602</v>
      </c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</row>
    <row r="767" customFormat="false" ht="15" hidden="false" customHeight="false" outlineLevel="0" collapsed="false">
      <c r="A767" s="46" t="str">
        <f aca="false">Orders!A767</f>
        <v>ORD-00766</v>
      </c>
      <c r="B767" s="46" t="str">
        <f aca="false">PROPER(TRIM(Orders!K767))</f>
        <v>Delhi</v>
      </c>
      <c r="C767" s="46" t="str">
        <f aca="false">IFERROR(VLOOKUP(Orders!D767,Products!$A$2:$F$61,3,FALSE()),"Not Found")</f>
        <v>Grocery</v>
      </c>
      <c r="D767" s="46" t="str">
        <f aca="false">IFERROR(VLOOKUP(Orders!C767,Customers!$A$2:$F$301,5,FALSE()),"Not Found")</f>
        <v>Retail</v>
      </c>
      <c r="E767" s="46" t="n">
        <f aca="false">IFERROR(VLOOKUP(Orders!C767,Customers!$A$2:$F$301,3,FALSE()),"Not Found")</f>
        <v>40</v>
      </c>
      <c r="F767" s="46" t="str">
        <f aca="false">IFERROR(VLOOKUP(Orders!E767,Sales_Reps!$A$2:$E$31,3,FALSE()),"Not Found")</f>
        <v>West</v>
      </c>
      <c r="G767" s="46" t="n">
        <f aca="false">IFERROR(VLOOKUP(Orders!D767,Products!$A$2:$F$61,4,FALSE()),"")</f>
        <v>2911</v>
      </c>
      <c r="H767" s="47" t="n">
        <f aca="false">IF(G767="","",(Orders!G767-G767)/Orders!G767)</f>
        <v>0.283004926108374</v>
      </c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</row>
    <row r="768" customFormat="false" ht="15" hidden="false" customHeight="false" outlineLevel="0" collapsed="false">
      <c r="A768" s="46" t="str">
        <f aca="false">Orders!A768</f>
        <v>ORD-00767</v>
      </c>
      <c r="B768" s="46" t="str">
        <f aca="false">PROPER(TRIM(Orders!K768))</f>
        <v>Mumbai</v>
      </c>
      <c r="C768" s="46" t="str">
        <f aca="false">IFERROR(VLOOKUP(Orders!D768,Products!$A$2:$F$61,3,FALSE()),"Not Found")</f>
        <v>Sports</v>
      </c>
      <c r="D768" s="46" t="str">
        <f aca="false">IFERROR(VLOOKUP(Orders!C768,Customers!$A$2:$F$301,5,FALSE()),"Not Found")</f>
        <v>Retail</v>
      </c>
      <c r="E768" s="46" t="n">
        <f aca="false">IFERROR(VLOOKUP(Orders!C768,Customers!$A$2:$F$301,3,FALSE()),"Not Found")</f>
        <v>56</v>
      </c>
      <c r="F768" s="46" t="str">
        <f aca="false">IFERROR(VLOOKUP(Orders!E768,Sales_Reps!$A$2:$E$31,3,FALSE()),"Not Found")</f>
        <v>East</v>
      </c>
      <c r="G768" s="46" t="n">
        <f aca="false">IFERROR(VLOOKUP(Orders!D768,Products!$A$2:$F$61,4,FALSE()),"")</f>
        <v>705</v>
      </c>
      <c r="H768" s="47" t="n">
        <f aca="false">IF(G768="","",(Orders!G768-G768)/Orders!G768)</f>
        <v>0.265625</v>
      </c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</row>
    <row r="769" customFormat="false" ht="15" hidden="false" customHeight="false" outlineLevel="0" collapsed="false">
      <c r="A769" s="46" t="str">
        <f aca="false">Orders!A769</f>
        <v>ORD-00768</v>
      </c>
      <c r="B769" s="46" t="str">
        <f aca="false">PROPER(TRIM(Orders!K769))</f>
        <v>Pune</v>
      </c>
      <c r="C769" s="46" t="str">
        <f aca="false">IFERROR(VLOOKUP(Orders!D769,Products!$A$2:$F$61,3,FALSE()),"Not Found")</f>
        <v>Grocery</v>
      </c>
      <c r="D769" s="46" t="str">
        <f aca="false">IFERROR(VLOOKUP(Orders!C769,Customers!$A$2:$F$301,5,FALSE()),"Not Found")</f>
        <v>SMB</v>
      </c>
      <c r="E769" s="46" t="n">
        <f aca="false">IFERROR(VLOOKUP(Orders!C769,Customers!$A$2:$F$301,3,FALSE()),"Not Found")</f>
        <v>35</v>
      </c>
      <c r="F769" s="46" t="str">
        <f aca="false">IFERROR(VLOOKUP(Orders!E769,Sales_Reps!$A$2:$E$31,3,FALSE()),"Not Found")</f>
        <v>West</v>
      </c>
      <c r="G769" s="46" t="n">
        <f aca="false">IFERROR(VLOOKUP(Orders!D769,Products!$A$2:$F$61,4,FALSE()),"")</f>
        <v>1412</v>
      </c>
      <c r="H769" s="47" t="n">
        <f aca="false">IF(G769="","",(Orders!G769-G769)/Orders!G769)</f>
        <v>0.377973568281938</v>
      </c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</row>
    <row r="770" customFormat="false" ht="15" hidden="false" customHeight="false" outlineLevel="0" collapsed="false">
      <c r="A770" s="46" t="str">
        <f aca="false">Orders!A770</f>
        <v>ORD-00769</v>
      </c>
      <c r="B770" s="46" t="str">
        <f aca="false">PROPER(TRIM(Orders!K770))</f>
        <v>Hyderabad</v>
      </c>
      <c r="C770" s="46" t="str">
        <f aca="false">IFERROR(VLOOKUP(Orders!D770,Products!$A$2:$F$61,3,FALSE()),"Not Found")</f>
        <v>Grocery</v>
      </c>
      <c r="D770" s="46" t="str">
        <f aca="false">IFERROR(VLOOKUP(Orders!C770,Customers!$A$2:$F$301,5,FALSE()),"Not Found")</f>
        <v>Retail</v>
      </c>
      <c r="E770" s="46" t="n">
        <f aca="false">IFERROR(VLOOKUP(Orders!C770,Customers!$A$2:$F$301,3,FALSE()),"Not Found")</f>
        <v>29</v>
      </c>
      <c r="F770" s="46" t="str">
        <f aca="false">IFERROR(VLOOKUP(Orders!E770,Sales_Reps!$A$2:$E$31,3,FALSE()),"Not Found")</f>
        <v>North</v>
      </c>
      <c r="G770" s="46" t="n">
        <f aca="false">IFERROR(VLOOKUP(Orders!D770,Products!$A$2:$F$61,4,FALSE()),"")</f>
        <v>2436</v>
      </c>
      <c r="H770" s="47" t="n">
        <f aca="false">IF(G770="","",(Orders!G770-G770)/Orders!G770)</f>
        <v>0.355555555555556</v>
      </c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</row>
    <row r="771" customFormat="false" ht="15" hidden="false" customHeight="false" outlineLevel="0" collapsed="false">
      <c r="A771" s="46" t="str">
        <f aca="false">Orders!A771</f>
        <v>ORD-00770</v>
      </c>
      <c r="B771" s="46" t="str">
        <f aca="false">PROPER(TRIM(Orders!K771))</f>
        <v>Mumbai</v>
      </c>
      <c r="C771" s="46" t="str">
        <f aca="false">IFERROR(VLOOKUP(Orders!D771,Products!$A$2:$F$61,3,FALSE()),"Not Found")</f>
        <v>Beauty</v>
      </c>
      <c r="D771" s="46" t="str">
        <f aca="false">IFERROR(VLOOKUP(Orders!C771,Customers!$A$2:$F$301,5,FALSE()),"Not Found")</f>
        <v>Retail</v>
      </c>
      <c r="E771" s="46" t="n">
        <f aca="false">IFERROR(VLOOKUP(Orders!C771,Customers!$A$2:$F$301,3,FALSE()),"Not Found")</f>
        <v>57</v>
      </c>
      <c r="F771" s="46" t="str">
        <f aca="false">IFERROR(VLOOKUP(Orders!E771,Sales_Reps!$A$2:$E$31,3,FALSE()),"Not Found")</f>
        <v>West</v>
      </c>
      <c r="G771" s="46" t="n">
        <f aca="false">IFERROR(VLOOKUP(Orders!D771,Products!$A$2:$F$61,4,FALSE()),"")</f>
        <v>1219</v>
      </c>
      <c r="H771" s="47" t="n">
        <f aca="false">IF(G771="","",(Orders!G771-G771)/Orders!G771)</f>
        <v>0.467685589519651</v>
      </c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</row>
    <row r="772" customFormat="false" ht="15" hidden="false" customHeight="false" outlineLevel="0" collapsed="false">
      <c r="A772" s="46" t="str">
        <f aca="false">Orders!A772</f>
        <v>ORD-00771</v>
      </c>
      <c r="B772" s="46" t="str">
        <f aca="false">PROPER(TRIM(Orders!K772))</f>
        <v>Pune</v>
      </c>
      <c r="C772" s="46" t="str">
        <f aca="false">IFERROR(VLOOKUP(Orders!D772,Products!$A$2:$F$61,3,FALSE()),"Not Found")</f>
        <v>Beauty</v>
      </c>
      <c r="D772" s="46" t="str">
        <f aca="false">IFERROR(VLOOKUP(Orders!C772,Customers!$A$2:$F$301,5,FALSE()),"Not Found")</f>
        <v>Retail</v>
      </c>
      <c r="E772" s="46" t="n">
        <f aca="false">IFERROR(VLOOKUP(Orders!C772,Customers!$A$2:$F$301,3,FALSE()),"Not Found")</f>
        <v>42</v>
      </c>
      <c r="F772" s="46" t="str">
        <f aca="false">IFERROR(VLOOKUP(Orders!E772,Sales_Reps!$A$2:$E$31,3,FALSE()),"Not Found")</f>
        <v>East</v>
      </c>
      <c r="G772" s="46" t="n">
        <f aca="false">IFERROR(VLOOKUP(Orders!D772,Products!$A$2:$F$61,4,FALSE()),"")</f>
        <v>1728</v>
      </c>
      <c r="H772" s="47" t="n">
        <f aca="false">IF(G772="","",(Orders!G772-G772)/Orders!G772)</f>
        <v>0.484179104477612</v>
      </c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</row>
    <row r="773" customFormat="false" ht="15" hidden="false" customHeight="false" outlineLevel="0" collapsed="false">
      <c r="A773" s="46" t="str">
        <f aca="false">Orders!A773</f>
        <v>ORD-00772</v>
      </c>
      <c r="B773" s="46" t="str">
        <f aca="false">PROPER(TRIM(Orders!K773))</f>
        <v>Pune</v>
      </c>
      <c r="C773" s="46" t="str">
        <f aca="false">IFERROR(VLOOKUP(Orders!D773,Products!$A$2:$F$61,3,FALSE()),"Not Found")</f>
        <v>Apparel</v>
      </c>
      <c r="D773" s="46" t="str">
        <f aca="false">IFERROR(VLOOKUP(Orders!C773,Customers!$A$2:$F$301,5,FALSE()),"Not Found")</f>
        <v>SMB</v>
      </c>
      <c r="E773" s="46" t="n">
        <f aca="false">IFERROR(VLOOKUP(Orders!C773,Customers!$A$2:$F$301,3,FALSE()),"Not Found")</f>
        <v>54</v>
      </c>
      <c r="F773" s="46" t="str">
        <f aca="false">IFERROR(VLOOKUP(Orders!E773,Sales_Reps!$A$2:$E$31,3,FALSE()),"Not Found")</f>
        <v>East</v>
      </c>
      <c r="G773" s="46" t="n">
        <f aca="false">IFERROR(VLOOKUP(Orders!D773,Products!$A$2:$F$61,4,FALSE()),"")</f>
        <v>1075</v>
      </c>
      <c r="H773" s="47" t="n">
        <f aca="false">IF(G773="","",(Orders!G773-G773)/Orders!G773)</f>
        <v>0.571713147410359</v>
      </c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</row>
    <row r="774" customFormat="false" ht="15" hidden="false" customHeight="false" outlineLevel="0" collapsed="false">
      <c r="A774" s="46" t="str">
        <f aca="false">Orders!A774</f>
        <v>ORD-00773</v>
      </c>
      <c r="B774" s="46" t="str">
        <f aca="false">PROPER(TRIM(Orders!K774))</f>
        <v>Chennai</v>
      </c>
      <c r="C774" s="46" t="str">
        <f aca="false">IFERROR(VLOOKUP(Orders!D774,Products!$A$2:$F$61,3,FALSE()),"Not Found")</f>
        <v>Electronics</v>
      </c>
      <c r="D774" s="46" t="str">
        <f aca="false">IFERROR(VLOOKUP(Orders!C774,Customers!$A$2:$F$301,5,FALSE()),"Not Found")</f>
        <v>Retail</v>
      </c>
      <c r="E774" s="46" t="n">
        <f aca="false">IFERROR(VLOOKUP(Orders!C774,Customers!$A$2:$F$301,3,FALSE()),"Not Found")</f>
        <v>49</v>
      </c>
      <c r="F774" s="46" t="str">
        <f aca="false">IFERROR(VLOOKUP(Orders!E774,Sales_Reps!$A$2:$E$31,3,FALSE()),"Not Found")</f>
        <v>East</v>
      </c>
      <c r="G774" s="46" t="n">
        <f aca="false">IFERROR(VLOOKUP(Orders!D774,Products!$A$2:$F$61,4,FALSE()),"")</f>
        <v>1052</v>
      </c>
      <c r="H774" s="47" t="n">
        <f aca="false">IF(G774="","",(Orders!G774-G774)/Orders!G774)</f>
        <v>0.595384615384615</v>
      </c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</row>
    <row r="775" customFormat="false" ht="15" hidden="false" customHeight="false" outlineLevel="0" collapsed="false">
      <c r="A775" s="46" t="str">
        <f aca="false">Orders!A775</f>
        <v>ORD-00774</v>
      </c>
      <c r="B775" s="46" t="str">
        <f aca="false">PROPER(TRIM(Orders!K775))</f>
        <v>Bengaluru</v>
      </c>
      <c r="C775" s="46" t="str">
        <f aca="false">IFERROR(VLOOKUP(Orders!D775,Products!$A$2:$F$61,3,FALSE()),"Not Found")</f>
        <v>Sports</v>
      </c>
      <c r="D775" s="46" t="str">
        <f aca="false">IFERROR(VLOOKUP(Orders!C775,Customers!$A$2:$F$301,5,FALSE()),"Not Found")</f>
        <v>Retail</v>
      </c>
      <c r="E775" s="46" t="n">
        <f aca="false">IFERROR(VLOOKUP(Orders!C775,Customers!$A$2:$F$301,3,FALSE()),"Not Found")</f>
        <v>55</v>
      </c>
      <c r="F775" s="46" t="str">
        <f aca="false">IFERROR(VLOOKUP(Orders!E775,Sales_Reps!$A$2:$E$31,3,FALSE()),"Not Found")</f>
        <v>North</v>
      </c>
      <c r="G775" s="46" t="n">
        <f aca="false">IFERROR(VLOOKUP(Orders!D775,Products!$A$2:$F$61,4,FALSE()),"")</f>
        <v>302</v>
      </c>
      <c r="H775" s="47" t="n">
        <f aca="false">IF(G775="","",(Orders!G775-G775)/Orders!G775)</f>
        <v>0.357446808510638</v>
      </c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</row>
    <row r="776" customFormat="false" ht="15" hidden="false" customHeight="false" outlineLevel="0" collapsed="false">
      <c r="A776" s="46" t="str">
        <f aca="false">Orders!A776</f>
        <v>ORD-00775</v>
      </c>
      <c r="B776" s="46" t="str">
        <f aca="false">PROPER(TRIM(Orders!K776))</f>
        <v>Pune</v>
      </c>
      <c r="C776" s="46" t="str">
        <f aca="false">IFERROR(VLOOKUP(Orders!D776,Products!$A$2:$F$61,3,FALSE()),"Not Found")</f>
        <v>Home</v>
      </c>
      <c r="D776" s="46" t="str">
        <f aca="false">IFERROR(VLOOKUP(Orders!C776,Customers!$A$2:$F$301,5,FALSE()),"Not Found")</f>
        <v>Corporate</v>
      </c>
      <c r="E776" s="46" t="n">
        <f aca="false">IFERROR(VLOOKUP(Orders!C776,Customers!$A$2:$F$301,3,FALSE()),"Not Found")</f>
        <v>47</v>
      </c>
      <c r="F776" s="46" t="str">
        <f aca="false">IFERROR(VLOOKUP(Orders!E776,Sales_Reps!$A$2:$E$31,3,FALSE()),"Not Found")</f>
        <v>South</v>
      </c>
      <c r="G776" s="46" t="n">
        <f aca="false">IFERROR(VLOOKUP(Orders!D776,Products!$A$2:$F$61,4,FALSE()),"")</f>
        <v>519</v>
      </c>
      <c r="H776" s="47" t="n">
        <f aca="false">IF(G776="","",(Orders!G776-G776)/Orders!G776)</f>
        <v>0.519444444444445</v>
      </c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</row>
    <row r="777" customFormat="false" ht="15" hidden="false" customHeight="false" outlineLevel="0" collapsed="false">
      <c r="A777" s="46" t="str">
        <f aca="false">Orders!A777</f>
        <v>ORD-00776</v>
      </c>
      <c r="B777" s="46" t="str">
        <f aca="false">PROPER(TRIM(Orders!K777))</f>
        <v>Pune</v>
      </c>
      <c r="C777" s="46" t="str">
        <f aca="false">IFERROR(VLOOKUP(Orders!D777,Products!$A$2:$F$61,3,FALSE()),"Not Found")</f>
        <v>Sports</v>
      </c>
      <c r="D777" s="46" t="str">
        <f aca="false">IFERROR(VLOOKUP(Orders!C777,Customers!$A$2:$F$301,5,FALSE()),"Not Found")</f>
        <v>SMB</v>
      </c>
      <c r="E777" s="46" t="n">
        <f aca="false">IFERROR(VLOOKUP(Orders!C777,Customers!$A$2:$F$301,3,FALSE()),"Not Found")</f>
        <v>44</v>
      </c>
      <c r="F777" s="46" t="str">
        <f aca="false">IFERROR(VLOOKUP(Orders!E777,Sales_Reps!$A$2:$E$31,3,FALSE()),"Not Found")</f>
        <v>East</v>
      </c>
      <c r="G777" s="46" t="n">
        <f aca="false">IFERROR(VLOOKUP(Orders!D777,Products!$A$2:$F$61,4,FALSE()),"")</f>
        <v>516</v>
      </c>
      <c r="H777" s="47" t="n">
        <f aca="false">IF(G777="","",(Orders!G777-G777)/Orders!G777)</f>
        <v>0.489108910891089</v>
      </c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</row>
    <row r="778" customFormat="false" ht="15" hidden="false" customHeight="false" outlineLevel="0" collapsed="false">
      <c r="A778" s="46" t="str">
        <f aca="false">Orders!A778</f>
        <v>ORD-00777</v>
      </c>
      <c r="B778" s="46" t="str">
        <f aca="false">PROPER(TRIM(Orders!K778))</f>
        <v>Delhi</v>
      </c>
      <c r="C778" s="46" t="str">
        <f aca="false">IFERROR(VLOOKUP(Orders!D778,Products!$A$2:$F$61,3,FALSE()),"Not Found")</f>
        <v>Electronics</v>
      </c>
      <c r="D778" s="46" t="str">
        <f aca="false">IFERROR(VLOOKUP(Orders!C778,Customers!$A$2:$F$301,5,FALSE()),"Not Found")</f>
        <v>SMB</v>
      </c>
      <c r="E778" s="46" t="n">
        <f aca="false">IFERROR(VLOOKUP(Orders!C778,Customers!$A$2:$F$301,3,FALSE()),"Not Found")</f>
        <v>26</v>
      </c>
      <c r="F778" s="46" t="str">
        <f aca="false">IFERROR(VLOOKUP(Orders!E778,Sales_Reps!$A$2:$E$31,3,FALSE()),"Not Found")</f>
        <v>North</v>
      </c>
      <c r="G778" s="46" t="n">
        <f aca="false">IFERROR(VLOOKUP(Orders!D778,Products!$A$2:$F$61,4,FALSE()),"")</f>
        <v>1559</v>
      </c>
      <c r="H778" s="47" t="n">
        <f aca="false">IF(G778="","",(Orders!G778-G778)/Orders!G778)</f>
        <v>0.597157622739018</v>
      </c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</row>
    <row r="779" customFormat="false" ht="15" hidden="false" customHeight="false" outlineLevel="0" collapsed="false">
      <c r="A779" s="46" t="str">
        <f aca="false">Orders!A779</f>
        <v>ORD-00778</v>
      </c>
      <c r="B779" s="46" t="str">
        <f aca="false">PROPER(TRIM(Orders!K779))</f>
        <v>Mumbai</v>
      </c>
      <c r="C779" s="46" t="str">
        <f aca="false">IFERROR(VLOOKUP(Orders!D779,Products!$A$2:$F$61,3,FALSE()),"Not Found")</f>
        <v>Home</v>
      </c>
      <c r="D779" s="46" t="str">
        <f aca="false">IFERROR(VLOOKUP(Orders!C779,Customers!$A$2:$F$301,5,FALSE()),"Not Found")</f>
        <v>Retail</v>
      </c>
      <c r="E779" s="46" t="n">
        <f aca="false">IFERROR(VLOOKUP(Orders!C779,Customers!$A$2:$F$301,3,FALSE()),"Not Found")</f>
        <v>44</v>
      </c>
      <c r="F779" s="46" t="str">
        <f aca="false">IFERROR(VLOOKUP(Orders!E779,Sales_Reps!$A$2:$E$31,3,FALSE()),"Not Found")</f>
        <v>West</v>
      </c>
      <c r="G779" s="46" t="n">
        <f aca="false">IFERROR(VLOOKUP(Orders!D779,Products!$A$2:$F$61,4,FALSE()),"")</f>
        <v>1143</v>
      </c>
      <c r="H779" s="47" t="n">
        <f aca="false">IF(G779="","",(Orders!G779-G779)/Orders!G779)</f>
        <v>0.436945812807882</v>
      </c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</row>
    <row r="780" customFormat="false" ht="15" hidden="false" customHeight="false" outlineLevel="0" collapsed="false">
      <c r="A780" s="46" t="str">
        <f aca="false">Orders!A780</f>
        <v>ORD-00779</v>
      </c>
      <c r="B780" s="46" t="str">
        <f aca="false">PROPER(TRIM(Orders!K780))</f>
        <v>Pune</v>
      </c>
      <c r="C780" s="46" t="str">
        <f aca="false">IFERROR(VLOOKUP(Orders!D780,Products!$A$2:$F$61,3,FALSE()),"Not Found")</f>
        <v>Home</v>
      </c>
      <c r="D780" s="46" t="str">
        <f aca="false">IFERROR(VLOOKUP(Orders!C780,Customers!$A$2:$F$301,5,FALSE()),"Not Found")</f>
        <v>Retail</v>
      </c>
      <c r="E780" s="46" t="n">
        <f aca="false">IFERROR(VLOOKUP(Orders!C780,Customers!$A$2:$F$301,3,FALSE()),"Not Found")</f>
        <v>44</v>
      </c>
      <c r="F780" s="46" t="str">
        <f aca="false">IFERROR(VLOOKUP(Orders!E780,Sales_Reps!$A$2:$E$31,3,FALSE()),"Not Found")</f>
        <v>West</v>
      </c>
      <c r="G780" s="46" t="n">
        <f aca="false">IFERROR(VLOOKUP(Orders!D780,Products!$A$2:$F$61,4,FALSE()),"")</f>
        <v>519</v>
      </c>
      <c r="H780" s="47" t="n">
        <f aca="false">IF(G780="","",(Orders!G780-G780)/Orders!G780)</f>
        <v>0.519444444444445</v>
      </c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</row>
    <row r="781" customFormat="false" ht="15" hidden="false" customHeight="false" outlineLevel="0" collapsed="false">
      <c r="A781" s="46" t="str">
        <f aca="false">Orders!A781</f>
        <v>ORD-00780</v>
      </c>
      <c r="B781" s="46" t="str">
        <f aca="false">PROPER(TRIM(Orders!K781))</f>
        <v>Chennai</v>
      </c>
      <c r="C781" s="46" t="str">
        <f aca="false">IFERROR(VLOOKUP(Orders!D781,Products!$A$2:$F$61,3,FALSE()),"Not Found")</f>
        <v>Home</v>
      </c>
      <c r="D781" s="46" t="str">
        <f aca="false">IFERROR(VLOOKUP(Orders!C781,Customers!$A$2:$F$301,5,FALSE()),"Not Found")</f>
        <v>Corporate</v>
      </c>
      <c r="E781" s="46" t="n">
        <f aca="false">IFERROR(VLOOKUP(Orders!C781,Customers!$A$2:$F$301,3,FALSE()),"Not Found")</f>
        <v>51</v>
      </c>
      <c r="F781" s="46" t="str">
        <f aca="false">IFERROR(VLOOKUP(Orders!E781,Sales_Reps!$A$2:$E$31,3,FALSE()),"Not Found")</f>
        <v>South</v>
      </c>
      <c r="G781" s="46" t="n">
        <f aca="false">IFERROR(VLOOKUP(Orders!D781,Products!$A$2:$F$61,4,FALSE()),"")</f>
        <v>464</v>
      </c>
      <c r="H781" s="47" t="n">
        <f aca="false">IF(G781="","",(Orders!G781-G781)/Orders!G781)</f>
        <v>0.574311926605505</v>
      </c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</row>
    <row r="782" customFormat="false" ht="15" hidden="false" customHeight="false" outlineLevel="0" collapsed="false">
      <c r="A782" s="46" t="str">
        <f aca="false">Orders!A782</f>
        <v>ORD-00781</v>
      </c>
      <c r="B782" s="46" t="str">
        <f aca="false">PROPER(TRIM(Orders!K782))</f>
        <v>Chennai</v>
      </c>
      <c r="C782" s="46" t="str">
        <f aca="false">IFERROR(VLOOKUP(Orders!D782,Products!$A$2:$F$61,3,FALSE()),"Not Found")</f>
        <v>Home</v>
      </c>
      <c r="D782" s="46" t="str">
        <f aca="false">IFERROR(VLOOKUP(Orders!C782,Customers!$A$2:$F$301,5,FALSE()),"Not Found")</f>
        <v>Retail</v>
      </c>
      <c r="E782" s="46" t="n">
        <f aca="false">IFERROR(VLOOKUP(Orders!C782,Customers!$A$2:$F$301,3,FALSE()),"Not Found")</f>
        <v>28</v>
      </c>
      <c r="F782" s="46" t="str">
        <f aca="false">IFERROR(VLOOKUP(Orders!E782,Sales_Reps!$A$2:$E$31,3,FALSE()),"Not Found")</f>
        <v>South</v>
      </c>
      <c r="G782" s="46" t="n">
        <f aca="false">IFERROR(VLOOKUP(Orders!D782,Products!$A$2:$F$61,4,FALSE()),"")</f>
        <v>288</v>
      </c>
      <c r="H782" s="47" t="n">
        <f aca="false">IF(G782="","",(Orders!G782-G782)/Orders!G782)</f>
        <v>0.221621621621622</v>
      </c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</row>
    <row r="783" customFormat="false" ht="15" hidden="false" customHeight="false" outlineLevel="0" collapsed="false">
      <c r="A783" s="46" t="str">
        <f aca="false">Orders!A783</f>
        <v>ORD-00782</v>
      </c>
      <c r="B783" s="46" t="str">
        <f aca="false">PROPER(TRIM(Orders!K783))</f>
        <v>Mumbai</v>
      </c>
      <c r="C783" s="46" t="str">
        <f aca="false">IFERROR(VLOOKUP(Orders!D783,Products!$A$2:$F$61,3,FALSE()),"Not Found")</f>
        <v>Apparel</v>
      </c>
      <c r="D783" s="46" t="str">
        <f aca="false">IFERROR(VLOOKUP(Orders!C783,Customers!$A$2:$F$301,5,FALSE()),"Not Found")</f>
        <v>Retail</v>
      </c>
      <c r="E783" s="46" t="n">
        <f aca="false">IFERROR(VLOOKUP(Orders!C783,Customers!$A$2:$F$301,3,FALSE()),"Not Found")</f>
        <v>54</v>
      </c>
      <c r="F783" s="46" t="str">
        <f aca="false">IFERROR(VLOOKUP(Orders!E783,Sales_Reps!$A$2:$E$31,3,FALSE()),"Not Found")</f>
        <v>East</v>
      </c>
      <c r="G783" s="46" t="n">
        <f aca="false">IFERROR(VLOOKUP(Orders!D783,Products!$A$2:$F$61,4,FALSE()),"")</f>
        <v>2629</v>
      </c>
      <c r="H783" s="47" t="n">
        <f aca="false">IF(G783="","",(Orders!G783-G783)/Orders!G783)</f>
        <v>0.261516853932584</v>
      </c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</row>
    <row r="784" customFormat="false" ht="15" hidden="false" customHeight="false" outlineLevel="0" collapsed="false">
      <c r="A784" s="46" t="str">
        <f aca="false">Orders!A784</f>
        <v>ORD-00783</v>
      </c>
      <c r="B784" s="46" t="str">
        <f aca="false">PROPER(TRIM(Orders!K784))</f>
        <v>Pune</v>
      </c>
      <c r="C784" s="46" t="str">
        <f aca="false">IFERROR(VLOOKUP(Orders!D784,Products!$A$2:$F$61,3,FALSE()),"Not Found")</f>
        <v>Beauty</v>
      </c>
      <c r="D784" s="46" t="str">
        <f aca="false">IFERROR(VLOOKUP(Orders!C784,Customers!$A$2:$F$301,5,FALSE()),"Not Found")</f>
        <v>Retail</v>
      </c>
      <c r="E784" s="46" t="n">
        <f aca="false">IFERROR(VLOOKUP(Orders!C784,Customers!$A$2:$F$301,3,FALSE()),"Not Found")</f>
        <v>62</v>
      </c>
      <c r="F784" s="46" t="str">
        <f aca="false">IFERROR(VLOOKUP(Orders!E784,Sales_Reps!$A$2:$E$31,3,FALSE()),"Not Found")</f>
        <v>South</v>
      </c>
      <c r="G784" s="46" t="n">
        <f aca="false">IFERROR(VLOOKUP(Orders!D784,Products!$A$2:$F$61,4,FALSE()),"")</f>
        <v>2617</v>
      </c>
      <c r="H784" s="47" t="n">
        <f aca="false">IF(G784="","",(Orders!G784-G784)/Orders!G784)</f>
        <v>0.569572368421053</v>
      </c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</row>
    <row r="785" customFormat="false" ht="15" hidden="false" customHeight="false" outlineLevel="0" collapsed="false">
      <c r="A785" s="46" t="str">
        <f aca="false">Orders!A785</f>
        <v>ORD-00784</v>
      </c>
      <c r="B785" s="46" t="str">
        <f aca="false">PROPER(TRIM(Orders!K785))</f>
        <v>Hyderabad</v>
      </c>
      <c r="C785" s="46" t="str">
        <f aca="false">IFERROR(VLOOKUP(Orders!D785,Products!$A$2:$F$61,3,FALSE()),"Not Found")</f>
        <v>Sports</v>
      </c>
      <c r="D785" s="46" t="str">
        <f aca="false">IFERROR(VLOOKUP(Orders!C785,Customers!$A$2:$F$301,5,FALSE()),"Not Found")</f>
        <v>Corporate</v>
      </c>
      <c r="E785" s="46" t="n">
        <f aca="false">IFERROR(VLOOKUP(Orders!C785,Customers!$A$2:$F$301,3,FALSE()),"Not Found")</f>
        <v>32</v>
      </c>
      <c r="F785" s="46" t="str">
        <f aca="false">IFERROR(VLOOKUP(Orders!E785,Sales_Reps!$A$2:$E$31,3,FALSE()),"Not Found")</f>
        <v>South</v>
      </c>
      <c r="G785" s="46" t="n">
        <f aca="false">IFERROR(VLOOKUP(Orders!D785,Products!$A$2:$F$61,4,FALSE()),"")</f>
        <v>2467</v>
      </c>
      <c r="H785" s="47" t="n">
        <f aca="false">IF(G785="","",(Orders!G785-G785)/Orders!G785)</f>
        <v>0.284927536231884</v>
      </c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</row>
    <row r="786" customFormat="false" ht="15" hidden="false" customHeight="false" outlineLevel="0" collapsed="false">
      <c r="A786" s="46" t="str">
        <f aca="false">Orders!A786</f>
        <v>ORD-00785</v>
      </c>
      <c r="B786" s="46" t="str">
        <f aca="false">PROPER(TRIM(Orders!K786))</f>
        <v>Chennai</v>
      </c>
      <c r="C786" s="46" t="str">
        <f aca="false">IFERROR(VLOOKUP(Orders!D786,Products!$A$2:$F$61,3,FALSE()),"Not Found")</f>
        <v>Home</v>
      </c>
      <c r="D786" s="46" t="str">
        <f aca="false">IFERROR(VLOOKUP(Orders!C786,Customers!$A$2:$F$301,5,FALSE()),"Not Found")</f>
        <v>Retail</v>
      </c>
      <c r="E786" s="46" t="n">
        <f aca="false">IFERROR(VLOOKUP(Orders!C786,Customers!$A$2:$F$301,3,FALSE()),"Not Found")</f>
        <v>51</v>
      </c>
      <c r="F786" s="46" t="str">
        <f aca="false">IFERROR(VLOOKUP(Orders!E786,Sales_Reps!$A$2:$E$31,3,FALSE()),"Not Found")</f>
        <v>South</v>
      </c>
      <c r="G786" s="46" t="n">
        <f aca="false">IFERROR(VLOOKUP(Orders!D786,Products!$A$2:$F$61,4,FALSE()),"")</f>
        <v>2459</v>
      </c>
      <c r="H786" s="47" t="n">
        <f aca="false">IF(G786="","",(Orders!G786-G786)/Orders!G786)</f>
        <v>0.515944881889764</v>
      </c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</row>
    <row r="787" customFormat="false" ht="15" hidden="false" customHeight="false" outlineLevel="0" collapsed="false">
      <c r="A787" s="46" t="str">
        <f aca="false">Orders!A787</f>
        <v>ORD-00786</v>
      </c>
      <c r="B787" s="46" t="str">
        <f aca="false">PROPER(TRIM(Orders!K787))</f>
        <v>Hyderabad</v>
      </c>
      <c r="C787" s="46" t="str">
        <f aca="false">IFERROR(VLOOKUP(Orders!D787,Products!$A$2:$F$61,3,FALSE()),"Not Found")</f>
        <v>Apparel</v>
      </c>
      <c r="D787" s="46" t="str">
        <f aca="false">IFERROR(VLOOKUP(Orders!C787,Customers!$A$2:$F$301,5,FALSE()),"Not Found")</f>
        <v>SMB</v>
      </c>
      <c r="E787" s="46" t="n">
        <f aca="false">IFERROR(VLOOKUP(Orders!C787,Customers!$A$2:$F$301,3,FALSE()),"Not Found")</f>
        <v>28</v>
      </c>
      <c r="F787" s="46" t="str">
        <f aca="false">IFERROR(VLOOKUP(Orders!E787,Sales_Reps!$A$2:$E$31,3,FALSE()),"Not Found")</f>
        <v>East</v>
      </c>
      <c r="G787" s="46" t="n">
        <f aca="false">IFERROR(VLOOKUP(Orders!D787,Products!$A$2:$F$61,4,FALSE()),"")</f>
        <v>1748</v>
      </c>
      <c r="H787" s="47" t="n">
        <f aca="false">IF(G787="","",(Orders!G787-G787)/Orders!G787)</f>
        <v>0.493333333333333</v>
      </c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</row>
    <row r="788" customFormat="false" ht="15" hidden="false" customHeight="false" outlineLevel="0" collapsed="false">
      <c r="A788" s="46" t="str">
        <f aca="false">Orders!A788</f>
        <v>ORD-00787</v>
      </c>
      <c r="B788" s="46" t="str">
        <f aca="false">PROPER(TRIM(Orders!K788))</f>
        <v>Pune</v>
      </c>
      <c r="C788" s="46" t="str">
        <f aca="false">IFERROR(VLOOKUP(Orders!D788,Products!$A$2:$F$61,3,FALSE()),"Not Found")</f>
        <v>Grocery</v>
      </c>
      <c r="D788" s="46" t="str">
        <f aca="false">IFERROR(VLOOKUP(Orders!C788,Customers!$A$2:$F$301,5,FALSE()),"Not Found")</f>
        <v>Retail</v>
      </c>
      <c r="E788" s="46" t="n">
        <f aca="false">IFERROR(VLOOKUP(Orders!C788,Customers!$A$2:$F$301,3,FALSE()),"Not Found")</f>
        <v>39</v>
      </c>
      <c r="F788" s="46" t="str">
        <f aca="false">IFERROR(VLOOKUP(Orders!E788,Sales_Reps!$A$2:$E$31,3,FALSE()),"Not Found")</f>
        <v>South</v>
      </c>
      <c r="G788" s="46" t="n">
        <f aca="false">IFERROR(VLOOKUP(Orders!D788,Products!$A$2:$F$61,4,FALSE()),"")</f>
        <v>1203</v>
      </c>
      <c r="H788" s="47" t="n">
        <f aca="false">IF(G788="","",(Orders!G788-G788)/Orders!G788)</f>
        <v>0.470044052863436</v>
      </c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</row>
    <row r="789" customFormat="false" ht="15" hidden="false" customHeight="false" outlineLevel="0" collapsed="false">
      <c r="A789" s="46" t="str">
        <f aca="false">Orders!A789</f>
        <v>ORD-00788</v>
      </c>
      <c r="B789" s="46" t="str">
        <f aca="false">PROPER(TRIM(Orders!K789))</f>
        <v>Pune</v>
      </c>
      <c r="C789" s="46" t="str">
        <f aca="false">IFERROR(VLOOKUP(Orders!D789,Products!$A$2:$F$61,3,FALSE()),"Not Found")</f>
        <v>Apparel</v>
      </c>
      <c r="D789" s="46" t="str">
        <f aca="false">IFERROR(VLOOKUP(Orders!C789,Customers!$A$2:$F$301,5,FALSE()),"Not Found")</f>
        <v>SMB</v>
      </c>
      <c r="E789" s="46" t="n">
        <f aca="false">IFERROR(VLOOKUP(Orders!C789,Customers!$A$2:$F$301,3,FALSE()),"Not Found")</f>
        <v>44</v>
      </c>
      <c r="F789" s="46" t="str">
        <f aca="false">IFERROR(VLOOKUP(Orders!E789,Sales_Reps!$A$2:$E$31,3,FALSE()),"Not Found")</f>
        <v>East</v>
      </c>
      <c r="G789" s="46" t="n">
        <f aca="false">IFERROR(VLOOKUP(Orders!D789,Products!$A$2:$F$61,4,FALSE()),"")</f>
        <v>1886</v>
      </c>
      <c r="H789" s="47" t="n">
        <f aca="false">IF(G789="","",(Orders!G789-G789)/Orders!G789)</f>
        <v>0.403164556962025</v>
      </c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</row>
    <row r="790" customFormat="false" ht="15" hidden="false" customHeight="false" outlineLevel="0" collapsed="false">
      <c r="A790" s="46" t="str">
        <f aca="false">Orders!A790</f>
        <v>ORD-00789</v>
      </c>
      <c r="B790" s="46" t="str">
        <f aca="false">PROPER(TRIM(Orders!K790))</f>
        <v>Bengaluru</v>
      </c>
      <c r="C790" s="46" t="str">
        <f aca="false">IFERROR(VLOOKUP(Orders!D790,Products!$A$2:$F$61,3,FALSE()),"Not Found")</f>
        <v>Beauty</v>
      </c>
      <c r="D790" s="46" t="str">
        <f aca="false">IFERROR(VLOOKUP(Orders!C790,Customers!$A$2:$F$301,5,FALSE()),"Not Found")</f>
        <v>Retail</v>
      </c>
      <c r="E790" s="46" t="n">
        <f aca="false">IFERROR(VLOOKUP(Orders!C790,Customers!$A$2:$F$301,3,FALSE()),"Not Found")</f>
        <v>54</v>
      </c>
      <c r="F790" s="46" t="str">
        <f aca="false">IFERROR(VLOOKUP(Orders!E790,Sales_Reps!$A$2:$E$31,3,FALSE()),"Not Found")</f>
        <v>West</v>
      </c>
      <c r="G790" s="46" t="n">
        <f aca="false">IFERROR(VLOOKUP(Orders!D790,Products!$A$2:$F$61,4,FALSE()),"")</f>
        <v>1728</v>
      </c>
      <c r="H790" s="47" t="n">
        <f aca="false">IF(G790="","",(Orders!G790-G790)/Orders!G790)</f>
        <v>0.484179104477612</v>
      </c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</row>
    <row r="791" customFormat="false" ht="15" hidden="false" customHeight="false" outlineLevel="0" collapsed="false">
      <c r="A791" s="46" t="str">
        <f aca="false">Orders!A791</f>
        <v>ORD-00790</v>
      </c>
      <c r="B791" s="46" t="str">
        <f aca="false">PROPER(TRIM(Orders!K791))</f>
        <v>Pune</v>
      </c>
      <c r="C791" s="46" t="str">
        <f aca="false">IFERROR(VLOOKUP(Orders!D791,Products!$A$2:$F$61,3,FALSE()),"Not Found")</f>
        <v>Beauty</v>
      </c>
      <c r="D791" s="46" t="str">
        <f aca="false">IFERROR(VLOOKUP(Orders!C791,Customers!$A$2:$F$301,5,FALSE()),"Not Found")</f>
        <v>Retail</v>
      </c>
      <c r="E791" s="46" t="n">
        <f aca="false">IFERROR(VLOOKUP(Orders!C791,Customers!$A$2:$F$301,3,FALSE()),"Not Found")</f>
        <v>54</v>
      </c>
      <c r="F791" s="46" t="str">
        <f aca="false">IFERROR(VLOOKUP(Orders!E791,Sales_Reps!$A$2:$E$31,3,FALSE()),"Not Found")</f>
        <v>West</v>
      </c>
      <c r="G791" s="46" t="n">
        <f aca="false">IFERROR(VLOOKUP(Orders!D791,Products!$A$2:$F$61,4,FALSE()),"")</f>
        <v>1222</v>
      </c>
      <c r="H791" s="47" t="n">
        <f aca="false">IF(G791="","",(Orders!G791-G791)/Orders!G791)</f>
        <v>0.259393939393939</v>
      </c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</row>
    <row r="792" customFormat="false" ht="15" hidden="false" customHeight="false" outlineLevel="0" collapsed="false">
      <c r="A792" s="46" t="str">
        <f aca="false">Orders!A792</f>
        <v>ORD-00791</v>
      </c>
      <c r="B792" s="46" t="str">
        <f aca="false">PROPER(TRIM(Orders!K792))</f>
        <v>Delhi</v>
      </c>
      <c r="C792" s="46" t="str">
        <f aca="false">IFERROR(VLOOKUP(Orders!D792,Products!$A$2:$F$61,3,FALSE()),"Not Found")</f>
        <v>Home</v>
      </c>
      <c r="D792" s="46" t="str">
        <f aca="false">IFERROR(VLOOKUP(Orders!C792,Customers!$A$2:$F$301,5,FALSE()),"Not Found")</f>
        <v>SMB</v>
      </c>
      <c r="E792" s="46" t="n">
        <f aca="false">IFERROR(VLOOKUP(Orders!C792,Customers!$A$2:$F$301,3,FALSE()),"Not Found")</f>
        <v>26</v>
      </c>
      <c r="F792" s="46" t="str">
        <f aca="false">IFERROR(VLOOKUP(Orders!E792,Sales_Reps!$A$2:$E$31,3,FALSE()),"Not Found")</f>
        <v>North</v>
      </c>
      <c r="G792" s="46" t="n">
        <f aca="false">IFERROR(VLOOKUP(Orders!D792,Products!$A$2:$F$61,4,FALSE()),"")</f>
        <v>2549</v>
      </c>
      <c r="H792" s="47" t="n">
        <f aca="false">IF(G792="","",(Orders!G792-G792)/Orders!G792)</f>
        <v>0.535701275045537</v>
      </c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</row>
    <row r="793" customFormat="false" ht="15" hidden="false" customHeight="false" outlineLevel="0" collapsed="false">
      <c r="A793" s="46" t="str">
        <f aca="false">Orders!A793</f>
        <v>ORD-00792</v>
      </c>
      <c r="B793" s="46" t="str">
        <f aca="false">PROPER(TRIM(Orders!K793))</f>
        <v>Pune</v>
      </c>
      <c r="C793" s="46" t="str">
        <f aca="false">IFERROR(VLOOKUP(Orders!D793,Products!$A$2:$F$61,3,FALSE()),"Not Found")</f>
        <v>Home</v>
      </c>
      <c r="D793" s="46" t="str">
        <f aca="false">IFERROR(VLOOKUP(Orders!C793,Customers!$A$2:$F$301,5,FALSE()),"Not Found")</f>
        <v>Retail</v>
      </c>
      <c r="E793" s="46" t="n">
        <f aca="false">IFERROR(VLOOKUP(Orders!C793,Customers!$A$2:$F$301,3,FALSE()),"Not Found")</f>
        <v>63</v>
      </c>
      <c r="F793" s="46" t="str">
        <f aca="false">IFERROR(VLOOKUP(Orders!E793,Sales_Reps!$A$2:$E$31,3,FALSE()),"Not Found")</f>
        <v>West</v>
      </c>
      <c r="G793" s="46" t="n">
        <f aca="false">IFERROR(VLOOKUP(Orders!D793,Products!$A$2:$F$61,4,FALSE()),"")</f>
        <v>519</v>
      </c>
      <c r="H793" s="47" t="n">
        <f aca="false">IF(G793="","",(Orders!G793-G793)/Orders!G793)</f>
        <v>0.519444444444445</v>
      </c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</row>
    <row r="794" customFormat="false" ht="15" hidden="false" customHeight="false" outlineLevel="0" collapsed="false">
      <c r="A794" s="46" t="str">
        <f aca="false">Orders!A794</f>
        <v>ORD-00793</v>
      </c>
      <c r="B794" s="46" t="str">
        <f aca="false">PROPER(TRIM(Orders!K794))</f>
        <v>Hyderabad</v>
      </c>
      <c r="C794" s="46" t="str">
        <f aca="false">IFERROR(VLOOKUP(Orders!D794,Products!$A$2:$F$61,3,FALSE()),"Not Found")</f>
        <v>Grocery</v>
      </c>
      <c r="D794" s="46" t="str">
        <f aca="false">IFERROR(VLOOKUP(Orders!C794,Customers!$A$2:$F$301,5,FALSE()),"Not Found")</f>
        <v>Not Found</v>
      </c>
      <c r="E794" s="46" t="str">
        <f aca="false">IFERROR(VLOOKUP(Orders!C794,Customers!$A$2:$F$301,3,FALSE()),"Not Found")</f>
        <v>Not Found</v>
      </c>
      <c r="F794" s="46" t="str">
        <f aca="false">IFERROR(VLOOKUP(Orders!E794,Sales_Reps!$A$2:$E$31,3,FALSE()),"Not Found")</f>
        <v>East</v>
      </c>
      <c r="G794" s="46" t="n">
        <f aca="false">IFERROR(VLOOKUP(Orders!D794,Products!$A$2:$F$61,4,FALSE()),"")</f>
        <v>2436</v>
      </c>
      <c r="H794" s="47" t="n">
        <f aca="false">IF(G794="","",(Orders!G794-G794)/Orders!G794)</f>
        <v>0.355555555555556</v>
      </c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</row>
    <row r="795" customFormat="false" ht="15" hidden="false" customHeight="false" outlineLevel="0" collapsed="false">
      <c r="A795" s="46" t="str">
        <f aca="false">Orders!A795</f>
        <v>ORD-00794</v>
      </c>
      <c r="B795" s="46" t="str">
        <f aca="false">PROPER(TRIM(Orders!K795))</f>
        <v>Hyderabad</v>
      </c>
      <c r="C795" s="46" t="str">
        <f aca="false">IFERROR(VLOOKUP(Orders!D795,Products!$A$2:$F$61,3,FALSE()),"Not Found")</f>
        <v>Home</v>
      </c>
      <c r="D795" s="46" t="str">
        <f aca="false">IFERROR(VLOOKUP(Orders!C795,Customers!$A$2:$F$301,5,FALSE()),"Not Found")</f>
        <v>Retail</v>
      </c>
      <c r="E795" s="46" t="n">
        <f aca="false">IFERROR(VLOOKUP(Orders!C795,Customers!$A$2:$F$301,3,FALSE()),"Not Found")</f>
        <v>26</v>
      </c>
      <c r="F795" s="46" t="str">
        <f aca="false">IFERROR(VLOOKUP(Orders!E795,Sales_Reps!$A$2:$E$31,3,FALSE()),"Not Found")</f>
        <v>West</v>
      </c>
      <c r="G795" s="46" t="n">
        <f aca="false">IFERROR(VLOOKUP(Orders!D795,Products!$A$2:$F$61,4,FALSE()),"")</f>
        <v>1143</v>
      </c>
      <c r="H795" s="47" t="n">
        <f aca="false">IF(G795="","",(Orders!G795-G795)/Orders!G795)</f>
        <v>0.436945812807882</v>
      </c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</row>
    <row r="796" customFormat="false" ht="15" hidden="false" customHeight="false" outlineLevel="0" collapsed="false">
      <c r="A796" s="46" t="str">
        <f aca="false">Orders!A796</f>
        <v>ORD-00795</v>
      </c>
      <c r="B796" s="46" t="str">
        <f aca="false">PROPER(TRIM(Orders!K796))</f>
        <v>Bengaluru</v>
      </c>
      <c r="C796" s="46" t="str">
        <f aca="false">IFERROR(VLOOKUP(Orders!D796,Products!$A$2:$F$61,3,FALSE()),"Not Found")</f>
        <v>Beauty</v>
      </c>
      <c r="D796" s="46" t="str">
        <f aca="false">IFERROR(VLOOKUP(Orders!C796,Customers!$A$2:$F$301,5,FALSE()),"Not Found")</f>
        <v>Corporate</v>
      </c>
      <c r="E796" s="46" t="n">
        <f aca="false">IFERROR(VLOOKUP(Orders!C796,Customers!$A$2:$F$301,3,FALSE()),"Not Found")</f>
        <v>41</v>
      </c>
      <c r="F796" s="46" t="str">
        <f aca="false">IFERROR(VLOOKUP(Orders!E796,Sales_Reps!$A$2:$E$31,3,FALSE()),"Not Found")</f>
        <v>East</v>
      </c>
      <c r="G796" s="46" t="n">
        <f aca="false">IFERROR(VLOOKUP(Orders!D796,Products!$A$2:$F$61,4,FALSE()),"")</f>
        <v>647</v>
      </c>
      <c r="H796" s="47" t="n">
        <f aca="false">IF(G796="","",(Orders!G796-G796)/Orders!G796)</f>
        <v>0.57987012987013</v>
      </c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</row>
    <row r="797" customFormat="false" ht="15" hidden="false" customHeight="false" outlineLevel="0" collapsed="false">
      <c r="A797" s="46" t="str">
        <f aca="false">Orders!A797</f>
        <v>ORD-00796</v>
      </c>
      <c r="B797" s="46" t="str">
        <f aca="false">PROPER(TRIM(Orders!K797))</f>
        <v>Pune</v>
      </c>
      <c r="C797" s="46" t="str">
        <f aca="false">IFERROR(VLOOKUP(Orders!D797,Products!$A$2:$F$61,3,FALSE()),"Not Found")</f>
        <v>Home</v>
      </c>
      <c r="D797" s="46" t="str">
        <f aca="false">IFERROR(VLOOKUP(Orders!C797,Customers!$A$2:$F$301,5,FALSE()),"Not Found")</f>
        <v>Retail</v>
      </c>
      <c r="E797" s="46" t="n">
        <f aca="false">IFERROR(VLOOKUP(Orders!C797,Customers!$A$2:$F$301,3,FALSE()),"Not Found")</f>
        <v>56</v>
      </c>
      <c r="F797" s="46" t="str">
        <f aca="false">IFERROR(VLOOKUP(Orders!E797,Sales_Reps!$A$2:$E$31,3,FALSE()),"Not Found")</f>
        <v>South</v>
      </c>
      <c r="G797" s="46" t="n">
        <f aca="false">IFERROR(VLOOKUP(Orders!D797,Products!$A$2:$F$61,4,FALSE()),"")</f>
        <v>1556</v>
      </c>
      <c r="H797" s="47" t="n">
        <f aca="false">IF(G797="","",(Orders!G797-G797)/Orders!G797)</f>
        <v>0.521230769230769</v>
      </c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</row>
    <row r="798" customFormat="false" ht="15" hidden="false" customHeight="false" outlineLevel="0" collapsed="false">
      <c r="A798" s="46" t="str">
        <f aca="false">Orders!A798</f>
        <v>ORD-00797</v>
      </c>
      <c r="B798" s="46" t="str">
        <f aca="false">PROPER(TRIM(Orders!K798))</f>
        <v>Delhi</v>
      </c>
      <c r="C798" s="46" t="str">
        <f aca="false">IFERROR(VLOOKUP(Orders!D798,Products!$A$2:$F$61,3,FALSE()),"Not Found")</f>
        <v>Beauty</v>
      </c>
      <c r="D798" s="46" t="str">
        <f aca="false">IFERROR(VLOOKUP(Orders!C798,Customers!$A$2:$F$301,5,FALSE()),"Not Found")</f>
        <v>SMB</v>
      </c>
      <c r="E798" s="46" t="n">
        <f aca="false">IFERROR(VLOOKUP(Orders!C798,Customers!$A$2:$F$301,3,FALSE()),"Not Found")</f>
        <v>53</v>
      </c>
      <c r="F798" s="46" t="str">
        <f aca="false">IFERROR(VLOOKUP(Orders!E798,Sales_Reps!$A$2:$E$31,3,FALSE()),"Not Found")</f>
        <v>North</v>
      </c>
      <c r="G798" s="46" t="n">
        <f aca="false">IFERROR(VLOOKUP(Orders!D798,Products!$A$2:$F$61,4,FALSE()),"")</f>
        <v>2420</v>
      </c>
      <c r="H798" s="47" t="n">
        <f aca="false">IF(G798="","",(Orders!G798-G798)/Orders!G798)</f>
        <v>0.298550724637681</v>
      </c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</row>
    <row r="799" customFormat="false" ht="15" hidden="false" customHeight="false" outlineLevel="0" collapsed="false">
      <c r="A799" s="46" t="str">
        <f aca="false">Orders!A799</f>
        <v>ORD-00798</v>
      </c>
      <c r="B799" s="46" t="str">
        <f aca="false">PROPER(TRIM(Orders!K799))</f>
        <v>Chennai</v>
      </c>
      <c r="C799" s="46" t="str">
        <f aca="false">IFERROR(VLOOKUP(Orders!D799,Products!$A$2:$F$61,3,FALSE()),"Not Found")</f>
        <v>Home</v>
      </c>
      <c r="D799" s="46" t="str">
        <f aca="false">IFERROR(VLOOKUP(Orders!C799,Customers!$A$2:$F$301,5,FALSE()),"Not Found")</f>
        <v>Corporate</v>
      </c>
      <c r="E799" s="46" t="n">
        <f aca="false">IFERROR(VLOOKUP(Orders!C799,Customers!$A$2:$F$301,3,FALSE()),"Not Found")</f>
        <v>24</v>
      </c>
      <c r="F799" s="46" t="str">
        <f aca="false">IFERROR(VLOOKUP(Orders!E799,Sales_Reps!$A$2:$E$31,3,FALSE()),"Not Found")</f>
        <v>North</v>
      </c>
      <c r="G799" s="46" t="n">
        <f aca="false">IFERROR(VLOOKUP(Orders!D799,Products!$A$2:$F$61,4,FALSE()),"")</f>
        <v>2549</v>
      </c>
      <c r="H799" s="47" t="n">
        <f aca="false">IF(G799="","",(Orders!G799-G799)/Orders!G799)</f>
        <v>0.535701275045537</v>
      </c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</row>
    <row r="800" customFormat="false" ht="15" hidden="false" customHeight="false" outlineLevel="0" collapsed="false">
      <c r="A800" s="46" t="str">
        <f aca="false">Orders!A800</f>
        <v>ORD-00799</v>
      </c>
      <c r="B800" s="46" t="str">
        <f aca="false">PROPER(TRIM(Orders!K800))</f>
        <v>Delhi</v>
      </c>
      <c r="C800" s="46" t="str">
        <f aca="false">IFERROR(VLOOKUP(Orders!D800,Products!$A$2:$F$61,3,FALSE()),"Not Found")</f>
        <v>Home</v>
      </c>
      <c r="D800" s="46" t="str">
        <f aca="false">IFERROR(VLOOKUP(Orders!C800,Customers!$A$2:$F$301,5,FALSE()),"Not Found")</f>
        <v>Retail</v>
      </c>
      <c r="E800" s="46" t="n">
        <f aca="false">IFERROR(VLOOKUP(Orders!C800,Customers!$A$2:$F$301,3,FALSE()),"Not Found")</f>
        <v>40</v>
      </c>
      <c r="F800" s="46" t="str">
        <f aca="false">IFERROR(VLOOKUP(Orders!E800,Sales_Reps!$A$2:$E$31,3,FALSE()),"Not Found")</f>
        <v>West</v>
      </c>
      <c r="G800" s="46" t="n">
        <f aca="false">IFERROR(VLOOKUP(Orders!D800,Products!$A$2:$F$61,4,FALSE()),"")</f>
        <v>288</v>
      </c>
      <c r="H800" s="47" t="n">
        <f aca="false">IF(G800="","",(Orders!G800-G800)/Orders!G800)</f>
        <v>0.221621621621622</v>
      </c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</row>
    <row r="801" customFormat="false" ht="15" hidden="false" customHeight="false" outlineLevel="0" collapsed="false">
      <c r="A801" s="46" t="str">
        <f aca="false">Orders!A801</f>
        <v>ORD-00800</v>
      </c>
      <c r="B801" s="46" t="str">
        <f aca="false">PROPER(TRIM(Orders!K801))</f>
        <v>Chennai</v>
      </c>
      <c r="C801" s="46" t="str">
        <f aca="false">IFERROR(VLOOKUP(Orders!D801,Products!$A$2:$F$61,3,FALSE()),"Not Found")</f>
        <v>Electronics</v>
      </c>
      <c r="D801" s="46" t="str">
        <f aca="false">IFERROR(VLOOKUP(Orders!C801,Customers!$A$2:$F$301,5,FALSE()),"Not Found")</f>
        <v>SMB</v>
      </c>
      <c r="E801" s="46" t="n">
        <f aca="false">IFERROR(VLOOKUP(Orders!C801,Customers!$A$2:$F$301,3,FALSE()),"Not Found")</f>
        <v>53</v>
      </c>
      <c r="F801" s="46" t="str">
        <f aca="false">IFERROR(VLOOKUP(Orders!E801,Sales_Reps!$A$2:$E$31,3,FALSE()),"Not Found")</f>
        <v>South</v>
      </c>
      <c r="G801" s="46" t="n">
        <f aca="false">IFERROR(VLOOKUP(Orders!D801,Products!$A$2:$F$61,4,FALSE()),"")</f>
        <v>2405</v>
      </c>
      <c r="H801" s="47" t="n">
        <f aca="false">IF(G801="","",(Orders!G801-G801)/Orders!G801)</f>
        <v>0.548780487804878</v>
      </c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</row>
    <row r="802" customFormat="false" ht="15" hidden="false" customHeight="false" outlineLevel="0" collapsed="false">
      <c r="A802" s="46" t="str">
        <f aca="false">Orders!A802</f>
        <v>ORD-00801</v>
      </c>
      <c r="B802" s="46" t="str">
        <f aca="false">PROPER(TRIM(Orders!K802))</f>
        <v>Chennai</v>
      </c>
      <c r="C802" s="46" t="str">
        <f aca="false">IFERROR(VLOOKUP(Orders!D802,Products!$A$2:$F$61,3,FALSE()),"Not Found")</f>
        <v>Sports</v>
      </c>
      <c r="D802" s="46" t="str">
        <f aca="false">IFERROR(VLOOKUP(Orders!C802,Customers!$A$2:$F$301,5,FALSE()),"Not Found")</f>
        <v>Retail</v>
      </c>
      <c r="E802" s="46" t="n">
        <f aca="false">IFERROR(VLOOKUP(Orders!C802,Customers!$A$2:$F$301,3,FALSE()),"Not Found")</f>
        <v>49</v>
      </c>
      <c r="F802" s="46" t="str">
        <f aca="false">IFERROR(VLOOKUP(Orders!E802,Sales_Reps!$A$2:$E$31,3,FALSE()),"Not Found")</f>
        <v>South</v>
      </c>
      <c r="G802" s="46" t="n">
        <f aca="false">IFERROR(VLOOKUP(Orders!D802,Products!$A$2:$F$61,4,FALSE()),"")</f>
        <v>2467</v>
      </c>
      <c r="H802" s="47" t="n">
        <f aca="false">IF(G802="","",(Orders!G802-G802)/Orders!G802)</f>
        <v>0.284927536231884</v>
      </c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</row>
    <row r="803" customFormat="false" ht="15" hidden="false" customHeight="false" outlineLevel="0" collapsed="false">
      <c r="A803" s="46" t="str">
        <f aca="false">Orders!A803</f>
        <v>ORD-00802</v>
      </c>
      <c r="B803" s="46" t="str">
        <f aca="false">PROPER(TRIM(Orders!K803))</f>
        <v>Chennai</v>
      </c>
      <c r="C803" s="46" t="str">
        <f aca="false">IFERROR(VLOOKUP(Orders!D803,Products!$A$2:$F$61,3,FALSE()),"Not Found")</f>
        <v>Apparel</v>
      </c>
      <c r="D803" s="46" t="str">
        <f aca="false">IFERROR(VLOOKUP(Orders!C803,Customers!$A$2:$F$301,5,FALSE()),"Not Found")</f>
        <v>Corporate</v>
      </c>
      <c r="E803" s="46" t="n">
        <f aca="false">IFERROR(VLOOKUP(Orders!C803,Customers!$A$2:$F$301,3,FALSE()),"Not Found")</f>
        <v>51</v>
      </c>
      <c r="F803" s="46" t="str">
        <f aca="false">IFERROR(VLOOKUP(Orders!E803,Sales_Reps!$A$2:$E$31,3,FALSE()),"Not Found")</f>
        <v>West</v>
      </c>
      <c r="G803" s="46" t="n">
        <f aca="false">IFERROR(VLOOKUP(Orders!D803,Products!$A$2:$F$61,4,FALSE()),"")</f>
        <v>1748</v>
      </c>
      <c r="H803" s="47" t="n">
        <f aca="false">IF(G803="","",(Orders!G803-G803)/Orders!G803)</f>
        <v>0.493333333333333</v>
      </c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</row>
    <row r="804" customFormat="false" ht="15" hidden="false" customHeight="false" outlineLevel="0" collapsed="false">
      <c r="A804" s="46" t="str">
        <f aca="false">Orders!A804</f>
        <v>ORD-00803</v>
      </c>
      <c r="B804" s="46" t="str">
        <f aca="false">PROPER(TRIM(Orders!K804))</f>
        <v>Mumbai</v>
      </c>
      <c r="C804" s="46" t="str">
        <f aca="false">IFERROR(VLOOKUP(Orders!D804,Products!$A$2:$F$61,3,FALSE()),"Not Found")</f>
        <v>Beauty</v>
      </c>
      <c r="D804" s="46" t="str">
        <f aca="false">IFERROR(VLOOKUP(Orders!C804,Customers!$A$2:$F$301,5,FALSE()),"Not Found")</f>
        <v>Corporate</v>
      </c>
      <c r="E804" s="46" t="n">
        <f aca="false">IFERROR(VLOOKUP(Orders!C804,Customers!$A$2:$F$301,3,FALSE()),"Not Found")</f>
        <v>62</v>
      </c>
      <c r="F804" s="46" t="str">
        <f aca="false">IFERROR(VLOOKUP(Orders!E804,Sales_Reps!$A$2:$E$31,3,FALSE()),"Not Found")</f>
        <v>West</v>
      </c>
      <c r="G804" s="46" t="n">
        <f aca="false">IFERROR(VLOOKUP(Orders!D804,Products!$A$2:$F$61,4,FALSE()),"")</f>
        <v>2617</v>
      </c>
      <c r="H804" s="47" t="n">
        <f aca="false">IF(G804="","",(Orders!G804-G804)/Orders!G804)</f>
        <v>0.569572368421053</v>
      </c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</row>
    <row r="805" customFormat="false" ht="15" hidden="false" customHeight="false" outlineLevel="0" collapsed="false">
      <c r="A805" s="46" t="str">
        <f aca="false">Orders!A805</f>
        <v>ORD-00804</v>
      </c>
      <c r="B805" s="46" t="str">
        <f aca="false">PROPER(TRIM(Orders!K805))</f>
        <v>Delhi</v>
      </c>
      <c r="C805" s="46" t="str">
        <f aca="false">IFERROR(VLOOKUP(Orders!D805,Products!$A$2:$F$61,3,FALSE()),"Not Found")</f>
        <v>Apparel</v>
      </c>
      <c r="D805" s="46" t="str">
        <f aca="false">IFERROR(VLOOKUP(Orders!C805,Customers!$A$2:$F$301,5,FALSE()),"Not Found")</f>
        <v>SMB</v>
      </c>
      <c r="E805" s="46" t="n">
        <f aca="false">IFERROR(VLOOKUP(Orders!C805,Customers!$A$2:$F$301,3,FALSE()),"Not Found")</f>
        <v>50</v>
      </c>
      <c r="F805" s="46" t="str">
        <f aca="false">IFERROR(VLOOKUP(Orders!E805,Sales_Reps!$A$2:$E$31,3,FALSE()),"Not Found")</f>
        <v>South</v>
      </c>
      <c r="G805" s="46" t="n">
        <f aca="false">IFERROR(VLOOKUP(Orders!D805,Products!$A$2:$F$61,4,FALSE()),"")</f>
        <v>1075</v>
      </c>
      <c r="H805" s="47" t="n">
        <f aca="false">IF(G805="","",(Orders!G805-G805)/Orders!G805)</f>
        <v>0.571713147410359</v>
      </c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</row>
    <row r="806" customFormat="false" ht="15" hidden="false" customHeight="false" outlineLevel="0" collapsed="false">
      <c r="A806" s="46" t="str">
        <f aca="false">Orders!A806</f>
        <v>ORD-00805</v>
      </c>
      <c r="B806" s="46" t="str">
        <f aca="false">PROPER(TRIM(Orders!K806))</f>
        <v>Mumbai</v>
      </c>
      <c r="C806" s="46" t="str">
        <f aca="false">IFERROR(VLOOKUP(Orders!D806,Products!$A$2:$F$61,3,FALSE()),"Not Found")</f>
        <v>Sports</v>
      </c>
      <c r="D806" s="46" t="str">
        <f aca="false">IFERROR(VLOOKUP(Orders!C806,Customers!$A$2:$F$301,5,FALSE()),"Not Found")</f>
        <v>Retail</v>
      </c>
      <c r="E806" s="46" t="n">
        <f aca="false">IFERROR(VLOOKUP(Orders!C806,Customers!$A$2:$F$301,3,FALSE()),"Not Found")</f>
        <v>54</v>
      </c>
      <c r="F806" s="46" t="str">
        <f aca="false">IFERROR(VLOOKUP(Orders!E806,Sales_Reps!$A$2:$E$31,3,FALSE()),"Not Found")</f>
        <v>South</v>
      </c>
      <c r="G806" s="46" t="n">
        <f aca="false">IFERROR(VLOOKUP(Orders!D806,Products!$A$2:$F$61,4,FALSE()),"")</f>
        <v>516</v>
      </c>
      <c r="H806" s="47" t="n">
        <f aca="false">IF(G806="","",(Orders!G806-G806)/Orders!G806)</f>
        <v>0.489108910891089</v>
      </c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</row>
    <row r="807" customFormat="false" ht="15" hidden="false" customHeight="false" outlineLevel="0" collapsed="false">
      <c r="A807" s="46" t="str">
        <f aca="false">Orders!A807</f>
        <v>ORD-00806</v>
      </c>
      <c r="B807" s="46" t="str">
        <f aca="false">PROPER(TRIM(Orders!K807))</f>
        <v>Mumbai</v>
      </c>
      <c r="C807" s="46" t="str">
        <f aca="false">IFERROR(VLOOKUP(Orders!D807,Products!$A$2:$F$61,3,FALSE()),"Not Found")</f>
        <v>Apparel</v>
      </c>
      <c r="D807" s="46" t="str">
        <f aca="false">IFERROR(VLOOKUP(Orders!C807,Customers!$A$2:$F$301,5,FALSE()),"Not Found")</f>
        <v>Retail</v>
      </c>
      <c r="E807" s="46" t="n">
        <f aca="false">IFERROR(VLOOKUP(Orders!C807,Customers!$A$2:$F$301,3,FALSE()),"Not Found")</f>
        <v>54</v>
      </c>
      <c r="F807" s="46" t="str">
        <f aca="false">IFERROR(VLOOKUP(Orders!E807,Sales_Reps!$A$2:$E$31,3,FALSE()),"Not Found")</f>
        <v>East</v>
      </c>
      <c r="G807" s="46" t="n">
        <f aca="false">IFERROR(VLOOKUP(Orders!D807,Products!$A$2:$F$61,4,FALSE()),"")</f>
        <v>2629</v>
      </c>
      <c r="H807" s="47" t="n">
        <f aca="false">IF(G807="","",(Orders!G807-G807)/Orders!G807)</f>
        <v>0.261516853932584</v>
      </c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</row>
    <row r="808" customFormat="false" ht="15" hidden="false" customHeight="false" outlineLevel="0" collapsed="false">
      <c r="A808" s="46" t="str">
        <f aca="false">Orders!A808</f>
        <v>ORD-00807</v>
      </c>
      <c r="B808" s="46" t="str">
        <f aca="false">PROPER(TRIM(Orders!K808))</f>
        <v>Hyderabad</v>
      </c>
      <c r="C808" s="46" t="str">
        <f aca="false">IFERROR(VLOOKUP(Orders!D808,Products!$A$2:$F$61,3,FALSE()),"Not Found")</f>
        <v>Beauty</v>
      </c>
      <c r="D808" s="46" t="str">
        <f aca="false">IFERROR(VLOOKUP(Orders!C808,Customers!$A$2:$F$301,5,FALSE()),"Not Found")</f>
        <v>Corporate</v>
      </c>
      <c r="E808" s="46" t="n">
        <f aca="false">IFERROR(VLOOKUP(Orders!C808,Customers!$A$2:$F$301,3,FALSE()),"Not Found")</f>
        <v>43</v>
      </c>
      <c r="F808" s="46" t="str">
        <f aca="false">IFERROR(VLOOKUP(Orders!E808,Sales_Reps!$A$2:$E$31,3,FALSE()),"Not Found")</f>
        <v>North</v>
      </c>
      <c r="G808" s="46" t="n">
        <f aca="false">IFERROR(VLOOKUP(Orders!D808,Products!$A$2:$F$61,4,FALSE()),"")</f>
        <v>1626</v>
      </c>
      <c r="H808" s="47" t="n">
        <f aca="false">IF(G808="","",(Orders!G808-G808)/Orders!G808)</f>
        <v>0.46158940397351</v>
      </c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</row>
    <row r="809" customFormat="false" ht="15" hidden="false" customHeight="false" outlineLevel="0" collapsed="false">
      <c r="A809" s="46" t="str">
        <f aca="false">Orders!A809</f>
        <v>ORD-00808</v>
      </c>
      <c r="B809" s="46" t="str">
        <f aca="false">PROPER(TRIM(Orders!K809))</f>
        <v>Chennai</v>
      </c>
      <c r="C809" s="46" t="str">
        <f aca="false">IFERROR(VLOOKUP(Orders!D809,Products!$A$2:$F$61,3,FALSE()),"Not Found")</f>
        <v>Grocery</v>
      </c>
      <c r="D809" s="46" t="str">
        <f aca="false">IFERROR(VLOOKUP(Orders!C809,Customers!$A$2:$F$301,5,FALSE()),"Not Found")</f>
        <v>Retail</v>
      </c>
      <c r="E809" s="46" t="n">
        <f aca="false">IFERROR(VLOOKUP(Orders!C809,Customers!$A$2:$F$301,3,FALSE()),"Not Found")</f>
        <v>26</v>
      </c>
      <c r="F809" s="46" t="str">
        <f aca="false">IFERROR(VLOOKUP(Orders!E809,Sales_Reps!$A$2:$E$31,3,FALSE()),"Not Found")</f>
        <v>East</v>
      </c>
      <c r="G809" s="46" t="n">
        <f aca="false">IFERROR(VLOOKUP(Orders!D809,Products!$A$2:$F$61,4,FALSE()),"")</f>
        <v>2027</v>
      </c>
      <c r="H809" s="47" t="n">
        <f aca="false">IF(G809="","",(Orders!G809-G809)/Orders!G809)</f>
        <v>0.501965601965602</v>
      </c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</row>
    <row r="810" customFormat="false" ht="15" hidden="false" customHeight="false" outlineLevel="0" collapsed="false">
      <c r="A810" s="46" t="str">
        <f aca="false">Orders!A810</f>
        <v>ORD-00809</v>
      </c>
      <c r="B810" s="46" t="str">
        <f aca="false">PROPER(TRIM(Orders!K810))</f>
        <v>Mumbai</v>
      </c>
      <c r="C810" s="46" t="str">
        <f aca="false">IFERROR(VLOOKUP(Orders!D810,Products!$A$2:$F$61,3,FALSE()),"Not Found")</f>
        <v>Home</v>
      </c>
      <c r="D810" s="46" t="str">
        <f aca="false">IFERROR(VLOOKUP(Orders!C810,Customers!$A$2:$F$301,5,FALSE()),"Not Found")</f>
        <v>Retail</v>
      </c>
      <c r="E810" s="46" t="n">
        <f aca="false">IFERROR(VLOOKUP(Orders!C810,Customers!$A$2:$F$301,3,FALSE()),"Not Found")</f>
        <v>29</v>
      </c>
      <c r="F810" s="46" t="str">
        <f aca="false">IFERROR(VLOOKUP(Orders!E810,Sales_Reps!$A$2:$E$31,3,FALSE()),"Not Found")</f>
        <v>East</v>
      </c>
      <c r="G810" s="46" t="n">
        <f aca="false">IFERROR(VLOOKUP(Orders!D810,Products!$A$2:$F$61,4,FALSE()),"")</f>
        <v>288</v>
      </c>
      <c r="H810" s="47" t="n">
        <f aca="false">IF(G810="","",(Orders!G810-G810)/Orders!G810)</f>
        <v>0.221621621621622</v>
      </c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</row>
    <row r="811" customFormat="false" ht="15" hidden="false" customHeight="false" outlineLevel="0" collapsed="false">
      <c r="A811" s="46" t="str">
        <f aca="false">Orders!A811</f>
        <v>ORD-00810</v>
      </c>
      <c r="B811" s="46" t="str">
        <f aca="false">PROPER(TRIM(Orders!K811))</f>
        <v>Hyderabad</v>
      </c>
      <c r="C811" s="46" t="str">
        <f aca="false">IFERROR(VLOOKUP(Orders!D811,Products!$A$2:$F$61,3,FALSE()),"Not Found")</f>
        <v>Grocery</v>
      </c>
      <c r="D811" s="46" t="str">
        <f aca="false">IFERROR(VLOOKUP(Orders!C811,Customers!$A$2:$F$301,5,FALSE()),"Not Found")</f>
        <v>SMB</v>
      </c>
      <c r="E811" s="46" t="n">
        <f aca="false">IFERROR(VLOOKUP(Orders!C811,Customers!$A$2:$F$301,3,FALSE()),"Not Found")</f>
        <v>28</v>
      </c>
      <c r="F811" s="46" t="str">
        <f aca="false">IFERROR(VLOOKUP(Orders!E811,Sales_Reps!$A$2:$E$31,3,FALSE()),"Not Found")</f>
        <v>East</v>
      </c>
      <c r="G811" s="46" t="n">
        <f aca="false">IFERROR(VLOOKUP(Orders!D811,Products!$A$2:$F$61,4,FALSE()),"")</f>
        <v>434</v>
      </c>
      <c r="H811" s="47" t="n">
        <f aca="false">IF(G811="","",(Orders!G811-G811)/Orders!G811)</f>
        <v>0.552577319587629</v>
      </c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</row>
    <row r="812" customFormat="false" ht="15" hidden="false" customHeight="false" outlineLevel="0" collapsed="false">
      <c r="A812" s="46" t="str">
        <f aca="false">Orders!A812</f>
        <v>ORD-00811</v>
      </c>
      <c r="B812" s="46" t="str">
        <f aca="false">PROPER(TRIM(Orders!K812))</f>
        <v>Pune</v>
      </c>
      <c r="C812" s="46" t="str">
        <f aca="false">IFERROR(VLOOKUP(Orders!D812,Products!$A$2:$F$61,3,FALSE()),"Not Found")</f>
        <v>Apparel</v>
      </c>
      <c r="D812" s="46" t="str">
        <f aca="false">IFERROR(VLOOKUP(Orders!C812,Customers!$A$2:$F$301,5,FALSE()),"Not Found")</f>
        <v>SMB</v>
      </c>
      <c r="E812" s="46" t="n">
        <f aca="false">IFERROR(VLOOKUP(Orders!C812,Customers!$A$2:$F$301,3,FALSE()),"Not Found")</f>
        <v>60</v>
      </c>
      <c r="F812" s="46" t="str">
        <f aca="false">IFERROR(VLOOKUP(Orders!E812,Sales_Reps!$A$2:$E$31,3,FALSE()),"Not Found")</f>
        <v>East</v>
      </c>
      <c r="G812" s="46" t="n">
        <f aca="false">IFERROR(VLOOKUP(Orders!D812,Products!$A$2:$F$61,4,FALSE()),"")</f>
        <v>1962</v>
      </c>
      <c r="H812" s="47" t="n">
        <f aca="false">IF(G812="","",(Orders!G812-G812)/Orders!G812)</f>
        <v>0.278676470588235</v>
      </c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</row>
    <row r="813" customFormat="false" ht="15" hidden="false" customHeight="false" outlineLevel="0" collapsed="false">
      <c r="A813" s="46" t="str">
        <f aca="false">Orders!A813</f>
        <v>ORD-00812</v>
      </c>
      <c r="B813" s="46" t="str">
        <f aca="false">PROPER(TRIM(Orders!K813))</f>
        <v>Bengaluru</v>
      </c>
      <c r="C813" s="46" t="str">
        <f aca="false">IFERROR(VLOOKUP(Orders!D813,Products!$A$2:$F$61,3,FALSE()),"Not Found")</f>
        <v>Sports</v>
      </c>
      <c r="D813" s="46" t="str">
        <f aca="false">IFERROR(VLOOKUP(Orders!C813,Customers!$A$2:$F$301,5,FALSE()),"Not Found")</f>
        <v>Corporate</v>
      </c>
      <c r="E813" s="46" t="n">
        <f aca="false">IFERROR(VLOOKUP(Orders!C813,Customers!$A$2:$F$301,3,FALSE()),"Not Found")</f>
        <v>43</v>
      </c>
      <c r="F813" s="46" t="str">
        <f aca="false">IFERROR(VLOOKUP(Orders!E813,Sales_Reps!$A$2:$E$31,3,FALSE()),"Not Found")</f>
        <v>South</v>
      </c>
      <c r="G813" s="46" t="n">
        <f aca="false">IFERROR(VLOOKUP(Orders!D813,Products!$A$2:$F$61,4,FALSE()),"")</f>
        <v>974</v>
      </c>
      <c r="H813" s="47" t="n">
        <f aca="false">IF(G813="","",(Orders!G813-G813)/Orders!G813)</f>
        <v>0.594166666666667</v>
      </c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</row>
    <row r="814" customFormat="false" ht="15" hidden="false" customHeight="false" outlineLevel="0" collapsed="false">
      <c r="A814" s="46" t="str">
        <f aca="false">Orders!A814</f>
        <v>ORD-00813</v>
      </c>
      <c r="B814" s="46" t="str">
        <f aca="false">PROPER(TRIM(Orders!K814))</f>
        <v>Pune</v>
      </c>
      <c r="C814" s="46" t="str">
        <f aca="false">IFERROR(VLOOKUP(Orders!D814,Products!$A$2:$F$61,3,FALSE()),"Not Found")</f>
        <v>Apparel</v>
      </c>
      <c r="D814" s="46" t="str">
        <f aca="false">IFERROR(VLOOKUP(Orders!C814,Customers!$A$2:$F$301,5,FALSE()),"Not Found")</f>
        <v>Retail</v>
      </c>
      <c r="E814" s="46" t="n">
        <f aca="false">IFERROR(VLOOKUP(Orders!C814,Customers!$A$2:$F$301,3,FALSE()),"Not Found")</f>
        <v>65</v>
      </c>
      <c r="F814" s="46" t="str">
        <f aca="false">IFERROR(VLOOKUP(Orders!E814,Sales_Reps!$A$2:$E$31,3,FALSE()),"Not Found")</f>
        <v>South</v>
      </c>
      <c r="G814" s="46" t="n">
        <f aca="false">IFERROR(VLOOKUP(Orders!D814,Products!$A$2:$F$61,4,FALSE()),"")</f>
        <v>2629</v>
      </c>
      <c r="H814" s="47" t="n">
        <f aca="false">IF(G814="","",(Orders!G814-G814)/Orders!G814)</f>
        <v>0.261516853932584</v>
      </c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</row>
    <row r="815" customFormat="false" ht="15" hidden="false" customHeight="false" outlineLevel="0" collapsed="false">
      <c r="A815" s="46" t="str">
        <f aca="false">Orders!A815</f>
        <v>ORD-00814</v>
      </c>
      <c r="B815" s="46" t="str">
        <f aca="false">PROPER(TRIM(Orders!K815))</f>
        <v>Delhi</v>
      </c>
      <c r="C815" s="46" t="str">
        <f aca="false">IFERROR(VLOOKUP(Orders!D815,Products!$A$2:$F$61,3,FALSE()),"Not Found")</f>
        <v>Grocery</v>
      </c>
      <c r="D815" s="46" t="str">
        <f aca="false">IFERROR(VLOOKUP(Orders!C815,Customers!$A$2:$F$301,5,FALSE()),"Not Found")</f>
        <v>SMB</v>
      </c>
      <c r="E815" s="46" t="n">
        <f aca="false">IFERROR(VLOOKUP(Orders!C815,Customers!$A$2:$F$301,3,FALSE()),"Not Found")</f>
        <v>29</v>
      </c>
      <c r="F815" s="46" t="str">
        <f aca="false">IFERROR(VLOOKUP(Orders!E815,Sales_Reps!$A$2:$E$31,3,FALSE()),"Not Found")</f>
        <v>South</v>
      </c>
      <c r="G815" s="46" t="n">
        <f aca="false">IFERROR(VLOOKUP(Orders!D815,Products!$A$2:$F$61,4,FALSE()),"")</f>
        <v>2027</v>
      </c>
      <c r="H815" s="47" t="n">
        <f aca="false">IF(G815="","",(Orders!G815-G815)/Orders!G815)</f>
        <v>0.501965601965602</v>
      </c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</row>
    <row r="816" customFormat="false" ht="15" hidden="false" customHeight="false" outlineLevel="0" collapsed="false">
      <c r="A816" s="46" t="str">
        <f aca="false">Orders!A816</f>
        <v>ORD-01052</v>
      </c>
      <c r="B816" s="46" t="str">
        <f aca="false">PROPER(TRIM(Orders!K816))</f>
        <v>Mumbai</v>
      </c>
      <c r="C816" s="46" t="str">
        <f aca="false">IFERROR(VLOOKUP(Orders!D816,Products!$A$2:$F$61,3,FALSE()),"Not Found")</f>
        <v>Sports</v>
      </c>
      <c r="D816" s="46" t="str">
        <f aca="false">IFERROR(VLOOKUP(Orders!C816,Customers!$A$2:$F$301,5,FALSE()),"Not Found")</f>
        <v>Retail</v>
      </c>
      <c r="E816" s="46" t="n">
        <f aca="false">IFERROR(VLOOKUP(Orders!C816,Customers!$A$2:$F$301,3,FALSE()),"Not Found")</f>
        <v>53</v>
      </c>
      <c r="F816" s="46" t="str">
        <f aca="false">IFERROR(VLOOKUP(Orders!E816,Sales_Reps!$A$2:$E$31,3,FALSE()),"Not Found")</f>
        <v>North</v>
      </c>
      <c r="G816" s="46" t="n">
        <f aca="false">IFERROR(VLOOKUP(Orders!D816,Products!$A$2:$F$61,4,FALSE()),"")</f>
        <v>2265</v>
      </c>
      <c r="H816" s="47" t="n">
        <f aca="false">IF(G816="","",(Orders!G816-G816)/Orders!G816)</f>
        <v>0.581330868761553</v>
      </c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</row>
    <row r="817" customFormat="false" ht="15" hidden="false" customHeight="false" outlineLevel="0" collapsed="false">
      <c r="A817" s="46" t="str">
        <f aca="false">Orders!A817</f>
        <v>ORD-00816</v>
      </c>
      <c r="B817" s="46" t="str">
        <f aca="false">PROPER(TRIM(Orders!K817))</f>
        <v>Delhi</v>
      </c>
      <c r="C817" s="46" t="str">
        <f aca="false">IFERROR(VLOOKUP(Orders!D817,Products!$A$2:$F$61,3,FALSE()),"Not Found")</f>
        <v>Grocery</v>
      </c>
      <c r="D817" s="46" t="str">
        <f aca="false">IFERROR(VLOOKUP(Orders!C817,Customers!$A$2:$F$301,5,FALSE()),"Not Found")</f>
        <v>SMB</v>
      </c>
      <c r="E817" s="46" t="n">
        <f aca="false">IFERROR(VLOOKUP(Orders!C817,Customers!$A$2:$F$301,3,FALSE()),"Not Found")</f>
        <v>48</v>
      </c>
      <c r="F817" s="46" t="str">
        <f aca="false">IFERROR(VLOOKUP(Orders!E817,Sales_Reps!$A$2:$E$31,3,FALSE()),"Not Found")</f>
        <v>West</v>
      </c>
      <c r="G817" s="46" t="n">
        <f aca="false">IFERROR(VLOOKUP(Orders!D817,Products!$A$2:$F$61,4,FALSE()),"")</f>
        <v>1435</v>
      </c>
      <c r="H817" s="47" t="n">
        <f aca="false">IF(G817="","",(Orders!G817-G817)/Orders!G817)</f>
        <v>0.480072463768116</v>
      </c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</row>
    <row r="818" customFormat="false" ht="15" hidden="false" customHeight="false" outlineLevel="0" collapsed="false">
      <c r="A818" s="46" t="str">
        <f aca="false">Orders!A818</f>
        <v>ORD-01136</v>
      </c>
      <c r="B818" s="46" t="str">
        <f aca="false">PROPER(TRIM(Orders!K818))</f>
        <v>Pune</v>
      </c>
      <c r="C818" s="46" t="str">
        <f aca="false">IFERROR(VLOOKUP(Orders!D818,Products!$A$2:$F$61,3,FALSE()),"Not Found")</f>
        <v>Home</v>
      </c>
      <c r="D818" s="46" t="str">
        <f aca="false">IFERROR(VLOOKUP(Orders!C818,Customers!$A$2:$F$301,5,FALSE()),"Not Found")</f>
        <v>Retail</v>
      </c>
      <c r="E818" s="46" t="n">
        <f aca="false">IFERROR(VLOOKUP(Orders!C818,Customers!$A$2:$F$301,3,FALSE()),"Not Found")</f>
        <v>29</v>
      </c>
      <c r="F818" s="46" t="str">
        <f aca="false">IFERROR(VLOOKUP(Orders!E818,Sales_Reps!$A$2:$E$31,3,FALSE()),"Not Found")</f>
        <v>South</v>
      </c>
      <c r="G818" s="46" t="n">
        <f aca="false">IFERROR(VLOOKUP(Orders!D818,Products!$A$2:$F$61,4,FALSE()),"")</f>
        <v>2459</v>
      </c>
      <c r="H818" s="47" t="n">
        <f aca="false">IF(G818="","",(Orders!G818-G818)/Orders!G818)</f>
        <v>0.515944881889764</v>
      </c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</row>
    <row r="819" customFormat="false" ht="15" hidden="false" customHeight="false" outlineLevel="0" collapsed="false">
      <c r="A819" s="46" t="str">
        <f aca="false">Orders!A819</f>
        <v>ORD-00818</v>
      </c>
      <c r="B819" s="46" t="str">
        <f aca="false">PROPER(TRIM(Orders!K819))</f>
        <v>Pune</v>
      </c>
      <c r="C819" s="46" t="str">
        <f aca="false">IFERROR(VLOOKUP(Orders!D819,Products!$A$2:$F$61,3,FALSE()),"Not Found")</f>
        <v>Home</v>
      </c>
      <c r="D819" s="46" t="str">
        <f aca="false">IFERROR(VLOOKUP(Orders!C819,Customers!$A$2:$F$301,5,FALSE()),"Not Found")</f>
        <v>Retail</v>
      </c>
      <c r="E819" s="46" t="n">
        <f aca="false">IFERROR(VLOOKUP(Orders!C819,Customers!$A$2:$F$301,3,FALSE()),"Not Found")</f>
        <v>39</v>
      </c>
      <c r="F819" s="46" t="str">
        <f aca="false">IFERROR(VLOOKUP(Orders!E819,Sales_Reps!$A$2:$E$31,3,FALSE()),"Not Found")</f>
        <v>East</v>
      </c>
      <c r="G819" s="46" t="n">
        <f aca="false">IFERROR(VLOOKUP(Orders!D819,Products!$A$2:$F$61,4,FALSE()),"")</f>
        <v>464</v>
      </c>
      <c r="H819" s="47" t="n">
        <f aca="false">IF(G819="","",(Orders!G819-G819)/Orders!G819)</f>
        <v>0.574311926605505</v>
      </c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</row>
    <row r="820" customFormat="false" ht="15" hidden="false" customHeight="false" outlineLevel="0" collapsed="false">
      <c r="A820" s="46" t="str">
        <f aca="false">Orders!A820</f>
        <v>ORD-00819</v>
      </c>
      <c r="B820" s="46" t="str">
        <f aca="false">PROPER(TRIM(Orders!K820))</f>
        <v>Bengaluru</v>
      </c>
      <c r="C820" s="46" t="str">
        <f aca="false">IFERROR(VLOOKUP(Orders!D820,Products!$A$2:$F$61,3,FALSE()),"Not Found")</f>
        <v>Grocery</v>
      </c>
      <c r="D820" s="46" t="str">
        <f aca="false">IFERROR(VLOOKUP(Orders!C820,Customers!$A$2:$F$301,5,FALSE()),"Not Found")</f>
        <v>Corporate</v>
      </c>
      <c r="E820" s="46" t="n">
        <f aca="false">IFERROR(VLOOKUP(Orders!C820,Customers!$A$2:$F$301,3,FALSE()),"Not Found")</f>
        <v>41</v>
      </c>
      <c r="F820" s="46" t="str">
        <f aca="false">IFERROR(VLOOKUP(Orders!E820,Sales_Reps!$A$2:$E$31,3,FALSE()),"Not Found")</f>
        <v>West</v>
      </c>
      <c r="G820" s="46" t="n">
        <f aca="false">IFERROR(VLOOKUP(Orders!D820,Products!$A$2:$F$61,4,FALSE()),"")</f>
        <v>1182</v>
      </c>
      <c r="H820" s="47" t="n">
        <f aca="false">IF(G820="","",(Orders!G820-G820)/Orders!G820)</f>
        <v>0.503361344537815</v>
      </c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</row>
    <row r="821" customFormat="false" ht="15" hidden="false" customHeight="false" outlineLevel="0" collapsed="false">
      <c r="A821" s="46" t="str">
        <f aca="false">Orders!A821</f>
        <v>ORD-00820</v>
      </c>
      <c r="B821" s="46" t="str">
        <f aca="false">PROPER(TRIM(Orders!K821))</f>
        <v>Chennai</v>
      </c>
      <c r="C821" s="46" t="str">
        <f aca="false">IFERROR(VLOOKUP(Orders!D821,Products!$A$2:$F$61,3,FALSE()),"Not Found")</f>
        <v>Apparel</v>
      </c>
      <c r="D821" s="46" t="str">
        <f aca="false">IFERROR(VLOOKUP(Orders!C821,Customers!$A$2:$F$301,5,FALSE()),"Not Found")</f>
        <v>SMB</v>
      </c>
      <c r="E821" s="46" t="n">
        <f aca="false">IFERROR(VLOOKUP(Orders!C821,Customers!$A$2:$F$301,3,FALSE()),"Not Found")</f>
        <v>43</v>
      </c>
      <c r="F821" s="46" t="str">
        <f aca="false">IFERROR(VLOOKUP(Orders!E821,Sales_Reps!$A$2:$E$31,3,FALSE()),"Not Found")</f>
        <v>West</v>
      </c>
      <c r="G821" s="46" t="n">
        <f aca="false">IFERROR(VLOOKUP(Orders!D821,Products!$A$2:$F$61,4,FALSE()),"")</f>
        <v>1886</v>
      </c>
      <c r="H821" s="47" t="n">
        <f aca="false">IF(G821="","",(Orders!G821-G821)/Orders!G821)</f>
        <v>0.403164556962025</v>
      </c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</row>
    <row r="822" customFormat="false" ht="15" hidden="false" customHeight="false" outlineLevel="0" collapsed="false">
      <c r="A822" s="46" t="str">
        <f aca="false">Orders!A822</f>
        <v>ORD-00821</v>
      </c>
      <c r="B822" s="46" t="str">
        <f aca="false">PROPER(TRIM(Orders!K822))</f>
        <v>Mumbai</v>
      </c>
      <c r="C822" s="46" t="str">
        <f aca="false">IFERROR(VLOOKUP(Orders!D822,Products!$A$2:$F$61,3,FALSE()),"Not Found")</f>
        <v>Sports</v>
      </c>
      <c r="D822" s="46" t="str">
        <f aca="false">IFERROR(VLOOKUP(Orders!C822,Customers!$A$2:$F$301,5,FALSE()),"Not Found")</f>
        <v>SMB</v>
      </c>
      <c r="E822" s="46" t="n">
        <f aca="false">IFERROR(VLOOKUP(Orders!C822,Customers!$A$2:$F$301,3,FALSE()),"Not Found")</f>
        <v>43</v>
      </c>
      <c r="F822" s="46" t="str">
        <f aca="false">IFERROR(VLOOKUP(Orders!E822,Sales_Reps!$A$2:$E$31,3,FALSE()),"Not Found")</f>
        <v>West</v>
      </c>
      <c r="G822" s="46" t="n">
        <f aca="false">IFERROR(VLOOKUP(Orders!D822,Products!$A$2:$F$61,4,FALSE()),"")</f>
        <v>974</v>
      </c>
      <c r="H822" s="47" t="n">
        <f aca="false">IF(G822="","",(Orders!G822-G822)/Orders!G822)</f>
        <v>0.594166666666667</v>
      </c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</row>
    <row r="823" customFormat="false" ht="15" hidden="false" customHeight="false" outlineLevel="0" collapsed="false">
      <c r="A823" s="46" t="str">
        <f aca="false">Orders!A823</f>
        <v>ORD-00822</v>
      </c>
      <c r="B823" s="46" t="str">
        <f aca="false">PROPER(TRIM(Orders!K823))</f>
        <v>Mumbai</v>
      </c>
      <c r="C823" s="46" t="str">
        <f aca="false">IFERROR(VLOOKUP(Orders!D823,Products!$A$2:$F$61,3,FALSE()),"Not Found")</f>
        <v>Electronics</v>
      </c>
      <c r="D823" s="46" t="str">
        <f aca="false">IFERROR(VLOOKUP(Orders!C823,Customers!$A$2:$F$301,5,FALSE()),"Not Found")</f>
        <v>Retail</v>
      </c>
      <c r="E823" s="46" t="n">
        <f aca="false">IFERROR(VLOOKUP(Orders!C823,Customers!$A$2:$F$301,3,FALSE()),"Not Found")</f>
        <v>38</v>
      </c>
      <c r="F823" s="46" t="str">
        <f aca="false">IFERROR(VLOOKUP(Orders!E823,Sales_Reps!$A$2:$E$31,3,FALSE()),"Not Found")</f>
        <v>East</v>
      </c>
      <c r="G823" s="46" t="n">
        <f aca="false">IFERROR(VLOOKUP(Orders!D823,Products!$A$2:$F$61,4,FALSE()),"")</f>
        <v>1052</v>
      </c>
      <c r="H823" s="47" t="n">
        <f aca="false">IF(G823="","",(Orders!G823-G823)/Orders!G823)</f>
        <v>0.595384615384615</v>
      </c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</row>
    <row r="824" customFormat="false" ht="15" hidden="false" customHeight="false" outlineLevel="0" collapsed="false">
      <c r="A824" s="46" t="str">
        <f aca="false">Orders!A824</f>
        <v>ORD-00823</v>
      </c>
      <c r="B824" s="46" t="str">
        <f aca="false">PROPER(TRIM(Orders!K824))</f>
        <v>Mumbai</v>
      </c>
      <c r="C824" s="46" t="str">
        <f aca="false">IFERROR(VLOOKUP(Orders!D824,Products!$A$2:$F$61,3,FALSE()),"Not Found")</f>
        <v>Grocery</v>
      </c>
      <c r="D824" s="46" t="str">
        <f aca="false">IFERROR(VLOOKUP(Orders!C824,Customers!$A$2:$F$301,5,FALSE()),"Not Found")</f>
        <v>Not Found</v>
      </c>
      <c r="E824" s="46" t="str">
        <f aca="false">IFERROR(VLOOKUP(Orders!C824,Customers!$A$2:$F$301,3,FALSE()),"Not Found")</f>
        <v>Not Found</v>
      </c>
      <c r="F824" s="46" t="str">
        <f aca="false">IFERROR(VLOOKUP(Orders!E824,Sales_Reps!$A$2:$E$31,3,FALSE()),"Not Found")</f>
        <v>East</v>
      </c>
      <c r="G824" s="46" t="n">
        <f aca="false">IFERROR(VLOOKUP(Orders!D824,Products!$A$2:$F$61,4,FALSE()),"")</f>
        <v>1203</v>
      </c>
      <c r="H824" s="47" t="n">
        <f aca="false">IF(G824="","",(Orders!G824-G824)/Orders!G824)</f>
        <v>0.470044052863436</v>
      </c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</row>
    <row r="825" customFormat="false" ht="15" hidden="false" customHeight="false" outlineLevel="0" collapsed="false">
      <c r="A825" s="46" t="str">
        <f aca="false">Orders!A825</f>
        <v>ORD-00824</v>
      </c>
      <c r="B825" s="46" t="str">
        <f aca="false">PROPER(TRIM(Orders!K825))</f>
        <v>Bengaluru</v>
      </c>
      <c r="C825" s="46" t="str">
        <f aca="false">IFERROR(VLOOKUP(Orders!D825,Products!$A$2:$F$61,3,FALSE()),"Not Found")</f>
        <v>Home</v>
      </c>
      <c r="D825" s="46" t="str">
        <f aca="false">IFERROR(VLOOKUP(Orders!C825,Customers!$A$2:$F$301,5,FALSE()),"Not Found")</f>
        <v>Corporate</v>
      </c>
      <c r="E825" s="46" t="n">
        <f aca="false">IFERROR(VLOOKUP(Orders!C825,Customers!$A$2:$F$301,3,FALSE()),"Not Found")</f>
        <v>41</v>
      </c>
      <c r="F825" s="46" t="str">
        <f aca="false">IFERROR(VLOOKUP(Orders!E825,Sales_Reps!$A$2:$E$31,3,FALSE()),"Not Found")</f>
        <v>East</v>
      </c>
      <c r="G825" s="46" t="n">
        <f aca="false">IFERROR(VLOOKUP(Orders!D825,Products!$A$2:$F$61,4,FALSE()),"")</f>
        <v>2549</v>
      </c>
      <c r="H825" s="47" t="n">
        <f aca="false">IF(G825="","",(Orders!G825-G825)/Orders!G825)</f>
        <v>0.535701275045537</v>
      </c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</row>
    <row r="826" customFormat="false" ht="15" hidden="false" customHeight="false" outlineLevel="0" collapsed="false">
      <c r="A826" s="46" t="str">
        <f aca="false">Orders!A826</f>
        <v>ORD-00825</v>
      </c>
      <c r="B826" s="46" t="str">
        <f aca="false">PROPER(TRIM(Orders!K826))</f>
        <v>Pune</v>
      </c>
      <c r="C826" s="46" t="str">
        <f aca="false">IFERROR(VLOOKUP(Orders!D826,Products!$A$2:$F$61,3,FALSE()),"Not Found")</f>
        <v>Electronics</v>
      </c>
      <c r="D826" s="46" t="str">
        <f aca="false">IFERROR(VLOOKUP(Orders!C826,Customers!$A$2:$F$301,5,FALSE()),"Not Found")</f>
        <v>SMB</v>
      </c>
      <c r="E826" s="46" t="n">
        <f aca="false">IFERROR(VLOOKUP(Orders!C826,Customers!$A$2:$F$301,3,FALSE()),"Not Found")</f>
        <v>35</v>
      </c>
      <c r="F826" s="46" t="str">
        <f aca="false">IFERROR(VLOOKUP(Orders!E826,Sales_Reps!$A$2:$E$31,3,FALSE()),"Not Found")</f>
        <v>South</v>
      </c>
      <c r="G826" s="46" t="n">
        <f aca="false">IFERROR(VLOOKUP(Orders!D826,Products!$A$2:$F$61,4,FALSE()),"")</f>
        <v>1559</v>
      </c>
      <c r="H826" s="47" t="n">
        <f aca="false">IF(G826="","",(Orders!G826-G826)/Orders!G826)</f>
        <v>0.597157622739018</v>
      </c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</row>
    <row r="827" customFormat="false" ht="15" hidden="false" customHeight="false" outlineLevel="0" collapsed="false">
      <c r="A827" s="46" t="str">
        <f aca="false">Orders!A827</f>
        <v>ORD-00826</v>
      </c>
      <c r="B827" s="46" t="str">
        <f aca="false">PROPER(TRIM(Orders!K827))</f>
        <v>Hyderabad</v>
      </c>
      <c r="C827" s="46" t="str">
        <f aca="false">IFERROR(VLOOKUP(Orders!D827,Products!$A$2:$F$61,3,FALSE()),"Not Found")</f>
        <v>Beauty</v>
      </c>
      <c r="D827" s="46" t="str">
        <f aca="false">IFERROR(VLOOKUP(Orders!C827,Customers!$A$2:$F$301,5,FALSE()),"Not Found")</f>
        <v>Retail</v>
      </c>
      <c r="E827" s="46" t="n">
        <f aca="false">IFERROR(VLOOKUP(Orders!C827,Customers!$A$2:$F$301,3,FALSE()),"Not Found")</f>
        <v>28</v>
      </c>
      <c r="F827" s="46" t="str">
        <f aca="false">IFERROR(VLOOKUP(Orders!E827,Sales_Reps!$A$2:$E$31,3,FALSE()),"Not Found")</f>
        <v>West</v>
      </c>
      <c r="G827" s="46" t="n">
        <f aca="false">IFERROR(VLOOKUP(Orders!D827,Products!$A$2:$F$61,4,FALSE()),"")</f>
        <v>675</v>
      </c>
      <c r="H827" s="47" t="n">
        <f aca="false">IF(G827="","",(Orders!G827-G827)/Orders!G827)</f>
        <v>0.296875</v>
      </c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</row>
    <row r="828" customFormat="false" ht="15" hidden="false" customHeight="false" outlineLevel="0" collapsed="false">
      <c r="A828" s="46" t="str">
        <f aca="false">Orders!A828</f>
        <v>ORD-00827</v>
      </c>
      <c r="B828" s="46" t="str">
        <f aca="false">PROPER(TRIM(Orders!K828))</f>
        <v>Mumbai</v>
      </c>
      <c r="C828" s="46" t="str">
        <f aca="false">IFERROR(VLOOKUP(Orders!D828,Products!$A$2:$F$61,3,FALSE()),"Not Found")</f>
        <v>Beauty</v>
      </c>
      <c r="D828" s="46" t="str">
        <f aca="false">IFERROR(VLOOKUP(Orders!C828,Customers!$A$2:$F$301,5,FALSE()),"Not Found")</f>
        <v>Retail</v>
      </c>
      <c r="E828" s="46" t="n">
        <f aca="false">IFERROR(VLOOKUP(Orders!C828,Customers!$A$2:$F$301,3,FALSE()),"Not Found")</f>
        <v>37</v>
      </c>
      <c r="F828" s="46" t="str">
        <f aca="false">IFERROR(VLOOKUP(Orders!E828,Sales_Reps!$A$2:$E$31,3,FALSE()),"Not Found")</f>
        <v>North</v>
      </c>
      <c r="G828" s="46" t="n">
        <f aca="false">IFERROR(VLOOKUP(Orders!D828,Products!$A$2:$F$61,4,FALSE()),"")</f>
        <v>2768</v>
      </c>
      <c r="H828" s="47" t="n">
        <f aca="false">IF(G828="","",(Orders!G828-G828)/Orders!G828)</f>
        <v>0.432786885245902</v>
      </c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</row>
    <row r="829" customFormat="false" ht="15" hidden="false" customHeight="false" outlineLevel="0" collapsed="false">
      <c r="A829" s="46" t="str">
        <f aca="false">Orders!A829</f>
        <v>ORD-00828</v>
      </c>
      <c r="B829" s="46" t="str">
        <f aca="false">PROPER(TRIM(Orders!K829))</f>
        <v>Mumbai</v>
      </c>
      <c r="C829" s="46" t="str">
        <f aca="false">IFERROR(VLOOKUP(Orders!D829,Products!$A$2:$F$61,3,FALSE()),"Not Found")</f>
        <v>Sports</v>
      </c>
      <c r="D829" s="46" t="str">
        <f aca="false">IFERROR(VLOOKUP(Orders!C829,Customers!$A$2:$F$301,5,FALSE()),"Not Found")</f>
        <v>SMB</v>
      </c>
      <c r="E829" s="46" t="n">
        <f aca="false">IFERROR(VLOOKUP(Orders!C829,Customers!$A$2:$F$301,3,FALSE()),"Not Found")</f>
        <v>27</v>
      </c>
      <c r="F829" s="46" t="str">
        <f aca="false">IFERROR(VLOOKUP(Orders!E829,Sales_Reps!$A$2:$E$31,3,FALSE()),"Not Found")</f>
        <v>North</v>
      </c>
      <c r="G829" s="46" t="n">
        <f aca="false">IFERROR(VLOOKUP(Orders!D829,Products!$A$2:$F$61,4,FALSE()),"")</f>
        <v>974</v>
      </c>
      <c r="H829" s="47" t="n">
        <f aca="false">IF(G829="","",(Orders!G829-G829)/Orders!G829)</f>
        <v>0.594166666666667</v>
      </c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</row>
    <row r="830" customFormat="false" ht="15" hidden="false" customHeight="false" outlineLevel="0" collapsed="false">
      <c r="A830" s="46" t="str">
        <f aca="false">Orders!A830</f>
        <v>ORD-00829</v>
      </c>
      <c r="B830" s="46" t="str">
        <f aca="false">PROPER(TRIM(Orders!K830))</f>
        <v>Pune</v>
      </c>
      <c r="C830" s="46" t="str">
        <f aca="false">IFERROR(VLOOKUP(Orders!D830,Products!$A$2:$F$61,3,FALSE()),"Not Found")</f>
        <v>Apparel</v>
      </c>
      <c r="D830" s="46" t="str">
        <f aca="false">IFERROR(VLOOKUP(Orders!C830,Customers!$A$2:$F$301,5,FALSE()),"Not Found")</f>
        <v>SMB</v>
      </c>
      <c r="E830" s="46" t="n">
        <f aca="false">IFERROR(VLOOKUP(Orders!C830,Customers!$A$2:$F$301,3,FALSE()),"Not Found")</f>
        <v>54</v>
      </c>
      <c r="F830" s="46" t="str">
        <f aca="false">IFERROR(VLOOKUP(Orders!E830,Sales_Reps!$A$2:$E$31,3,FALSE()),"Not Found")</f>
        <v>South</v>
      </c>
      <c r="G830" s="46" t="n">
        <f aca="false">IFERROR(VLOOKUP(Orders!D830,Products!$A$2:$F$61,4,FALSE()),"")</f>
        <v>396</v>
      </c>
      <c r="H830" s="47" t="n">
        <f aca="false">IF(G830="","",(Orders!G830-G830)/Orders!G830)</f>
        <v>0.361290322580645</v>
      </c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</row>
    <row r="831" customFormat="false" ht="15" hidden="false" customHeight="false" outlineLevel="0" collapsed="false">
      <c r="A831" s="46" t="str">
        <f aca="false">Orders!A831</f>
        <v>ORD-00830</v>
      </c>
      <c r="B831" s="46" t="str">
        <f aca="false">PROPER(TRIM(Orders!K831))</f>
        <v>Pune</v>
      </c>
      <c r="C831" s="46" t="str">
        <f aca="false">IFERROR(VLOOKUP(Orders!D831,Products!$A$2:$F$61,3,FALSE()),"Not Found")</f>
        <v>Home</v>
      </c>
      <c r="D831" s="46" t="str">
        <f aca="false">IFERROR(VLOOKUP(Orders!C831,Customers!$A$2:$F$301,5,FALSE()),"Not Found")</f>
        <v>Retail</v>
      </c>
      <c r="E831" s="46" t="n">
        <f aca="false">IFERROR(VLOOKUP(Orders!C831,Customers!$A$2:$F$301,3,FALSE()),"Not Found")</f>
        <v>36</v>
      </c>
      <c r="F831" s="46" t="str">
        <f aca="false">IFERROR(VLOOKUP(Orders!E831,Sales_Reps!$A$2:$E$31,3,FALSE()),"Not Found")</f>
        <v>South</v>
      </c>
      <c r="G831" s="46" t="n">
        <f aca="false">IFERROR(VLOOKUP(Orders!D831,Products!$A$2:$F$61,4,FALSE()),"")</f>
        <v>1850</v>
      </c>
      <c r="H831" s="47" t="n">
        <f aca="false">IF(G831="","",(Orders!G831-G831)/Orders!G831)</f>
        <v>0.598698481561822</v>
      </c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</row>
    <row r="832" customFormat="false" ht="15" hidden="false" customHeight="false" outlineLevel="0" collapsed="false">
      <c r="A832" s="46" t="str">
        <f aca="false">Orders!A832</f>
        <v>ORD-00831</v>
      </c>
      <c r="B832" s="46" t="str">
        <f aca="false">PROPER(TRIM(Orders!K832))</f>
        <v>Chennai</v>
      </c>
      <c r="C832" s="46" t="str">
        <f aca="false">IFERROR(VLOOKUP(Orders!D832,Products!$A$2:$F$61,3,FALSE()),"Not Found")</f>
        <v>Home</v>
      </c>
      <c r="D832" s="46" t="str">
        <f aca="false">IFERROR(VLOOKUP(Orders!C832,Customers!$A$2:$F$301,5,FALSE()),"Not Found")</f>
        <v>SMB</v>
      </c>
      <c r="E832" s="46" t="n">
        <f aca="false">IFERROR(VLOOKUP(Orders!C832,Customers!$A$2:$F$301,3,FALSE()),"Not Found")</f>
        <v>51</v>
      </c>
      <c r="F832" s="46" t="str">
        <f aca="false">IFERROR(VLOOKUP(Orders!E832,Sales_Reps!$A$2:$E$31,3,FALSE()),"Not Found")</f>
        <v>South</v>
      </c>
      <c r="G832" s="46" t="n">
        <f aca="false">IFERROR(VLOOKUP(Orders!D832,Products!$A$2:$F$61,4,FALSE()),"")</f>
        <v>1850</v>
      </c>
      <c r="H832" s="47" t="n">
        <f aca="false">IF(G832="","",(Orders!G832-G832)/Orders!G832)</f>
        <v>0.598698481561822</v>
      </c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</row>
    <row r="833" customFormat="false" ht="15" hidden="false" customHeight="false" outlineLevel="0" collapsed="false">
      <c r="A833" s="46" t="str">
        <f aca="false">Orders!A833</f>
        <v>ORD-00832</v>
      </c>
      <c r="B833" s="46" t="str">
        <f aca="false">PROPER(TRIM(Orders!K833))</f>
        <v>Hyderabad</v>
      </c>
      <c r="C833" s="46" t="str">
        <f aca="false">IFERROR(VLOOKUP(Orders!D833,Products!$A$2:$F$61,3,FALSE()),"Not Found")</f>
        <v>Grocery</v>
      </c>
      <c r="D833" s="46" t="str">
        <f aca="false">IFERROR(VLOOKUP(Orders!C833,Customers!$A$2:$F$301,5,FALSE()),"Not Found")</f>
        <v>SMB</v>
      </c>
      <c r="E833" s="46" t="n">
        <f aca="false">IFERROR(VLOOKUP(Orders!C833,Customers!$A$2:$F$301,3,FALSE()),"Not Found")</f>
        <v>31</v>
      </c>
      <c r="F833" s="46" t="str">
        <f aca="false">IFERROR(VLOOKUP(Orders!E833,Sales_Reps!$A$2:$E$31,3,FALSE()),"Not Found")</f>
        <v>West</v>
      </c>
      <c r="G833" s="46" t="n">
        <f aca="false">IFERROR(VLOOKUP(Orders!D833,Products!$A$2:$F$61,4,FALSE()),"")</f>
        <v>434</v>
      </c>
      <c r="H833" s="47" t="n">
        <f aca="false">IF(G833="","",(Orders!G833-G833)/Orders!G833)</f>
        <v>0.552577319587629</v>
      </c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</row>
    <row r="834" customFormat="false" ht="15" hidden="false" customHeight="false" outlineLevel="0" collapsed="false">
      <c r="A834" s="46" t="str">
        <f aca="false">Orders!A834</f>
        <v>ORD-00833</v>
      </c>
      <c r="B834" s="46" t="str">
        <f aca="false">PROPER(TRIM(Orders!K834))</f>
        <v>Chennai</v>
      </c>
      <c r="C834" s="46" t="str">
        <f aca="false">IFERROR(VLOOKUP(Orders!D834,Products!$A$2:$F$61,3,FALSE()),"Not Found")</f>
        <v>Electronics</v>
      </c>
      <c r="D834" s="46" t="str">
        <f aca="false">IFERROR(VLOOKUP(Orders!C834,Customers!$A$2:$F$301,5,FALSE()),"Not Found")</f>
        <v>Corporate</v>
      </c>
      <c r="E834" s="46" t="n">
        <f aca="false">IFERROR(VLOOKUP(Orders!C834,Customers!$A$2:$F$301,3,FALSE()),"Not Found")</f>
        <v>35</v>
      </c>
      <c r="F834" s="46" t="str">
        <f aca="false">IFERROR(VLOOKUP(Orders!E834,Sales_Reps!$A$2:$E$31,3,FALSE()),"Not Found")</f>
        <v>West</v>
      </c>
      <c r="G834" s="46" t="n">
        <f aca="false">IFERROR(VLOOKUP(Orders!D834,Products!$A$2:$F$61,4,FALSE()),"")</f>
        <v>861</v>
      </c>
      <c r="H834" s="47" t="n">
        <f aca="false">IF(G834="","",(Orders!G834-G834)/Orders!G834)</f>
        <v>0.397902097902098</v>
      </c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</row>
    <row r="835" customFormat="false" ht="15" hidden="false" customHeight="false" outlineLevel="0" collapsed="false">
      <c r="A835" s="46" t="str">
        <f aca="false">Orders!A835</f>
        <v>ORD-00834</v>
      </c>
      <c r="B835" s="46" t="str">
        <f aca="false">PROPER(TRIM(Orders!K835))</f>
        <v>Delhi</v>
      </c>
      <c r="C835" s="46" t="str">
        <f aca="false">IFERROR(VLOOKUP(Orders!D835,Products!$A$2:$F$61,3,FALSE()),"Not Found")</f>
        <v>Grocery</v>
      </c>
      <c r="D835" s="46" t="str">
        <f aca="false">IFERROR(VLOOKUP(Orders!C835,Customers!$A$2:$F$301,5,FALSE()),"Not Found")</f>
        <v>SMB</v>
      </c>
      <c r="E835" s="46" t="n">
        <f aca="false">IFERROR(VLOOKUP(Orders!C835,Customers!$A$2:$F$301,3,FALSE()),"Not Found")</f>
        <v>50</v>
      </c>
      <c r="F835" s="46" t="str">
        <f aca="false">IFERROR(VLOOKUP(Orders!E835,Sales_Reps!$A$2:$E$31,3,FALSE()),"Not Found")</f>
        <v>South</v>
      </c>
      <c r="G835" s="46" t="n">
        <f aca="false">IFERROR(VLOOKUP(Orders!D835,Products!$A$2:$F$61,4,FALSE()),"")</f>
        <v>2436</v>
      </c>
      <c r="H835" s="47" t="n">
        <f aca="false">IF(G835="","",(Orders!G835-G835)/Orders!G835)</f>
        <v>0.355555555555556</v>
      </c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</row>
    <row r="836" customFormat="false" ht="15" hidden="false" customHeight="false" outlineLevel="0" collapsed="false">
      <c r="A836" s="46" t="str">
        <f aca="false">Orders!A836</f>
        <v>ORD-00835</v>
      </c>
      <c r="B836" s="46" t="str">
        <f aca="false">PROPER(TRIM(Orders!K836))</f>
        <v>Hyderabad</v>
      </c>
      <c r="C836" s="46" t="str">
        <f aca="false">IFERROR(VLOOKUP(Orders!D836,Products!$A$2:$F$61,3,FALSE()),"Not Found")</f>
        <v>Beauty</v>
      </c>
      <c r="D836" s="46" t="str">
        <f aca="false">IFERROR(VLOOKUP(Orders!C836,Customers!$A$2:$F$301,5,FALSE()),"Not Found")</f>
        <v>SMB</v>
      </c>
      <c r="E836" s="46" t="n">
        <f aca="false">IFERROR(VLOOKUP(Orders!C836,Customers!$A$2:$F$301,3,FALSE()),"Not Found")</f>
        <v>65</v>
      </c>
      <c r="F836" s="46" t="str">
        <f aca="false">IFERROR(VLOOKUP(Orders!E836,Sales_Reps!$A$2:$E$31,3,FALSE()),"Not Found")</f>
        <v>East</v>
      </c>
      <c r="G836" s="46" t="n">
        <f aca="false">IFERROR(VLOOKUP(Orders!D836,Products!$A$2:$F$61,4,FALSE()),"")</f>
        <v>647</v>
      </c>
      <c r="H836" s="47" t="n">
        <f aca="false">IF(G836="","",(Orders!G836-G836)/Orders!G836)</f>
        <v>0.57987012987013</v>
      </c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</row>
    <row r="837" customFormat="false" ht="15" hidden="false" customHeight="false" outlineLevel="0" collapsed="false">
      <c r="A837" s="46" t="str">
        <f aca="false">Orders!A837</f>
        <v>ORD-00836</v>
      </c>
      <c r="B837" s="46" t="str">
        <f aca="false">PROPER(TRIM(Orders!K837))</f>
        <v>Pune</v>
      </c>
      <c r="C837" s="46" t="str">
        <f aca="false">IFERROR(VLOOKUP(Orders!D837,Products!$A$2:$F$61,3,FALSE()),"Not Found")</f>
        <v>Home</v>
      </c>
      <c r="D837" s="46" t="str">
        <f aca="false">IFERROR(VLOOKUP(Orders!C837,Customers!$A$2:$F$301,5,FALSE()),"Not Found")</f>
        <v>Retail</v>
      </c>
      <c r="E837" s="46" t="n">
        <f aca="false">IFERROR(VLOOKUP(Orders!C837,Customers!$A$2:$F$301,3,FALSE()),"Not Found")</f>
        <v>39</v>
      </c>
      <c r="F837" s="46" t="str">
        <f aca="false">IFERROR(VLOOKUP(Orders!E837,Sales_Reps!$A$2:$E$31,3,FALSE()),"Not Found")</f>
        <v>East</v>
      </c>
      <c r="G837" s="46" t="n">
        <f aca="false">IFERROR(VLOOKUP(Orders!D837,Products!$A$2:$F$61,4,FALSE()),"")</f>
        <v>519</v>
      </c>
      <c r="H837" s="47" t="n">
        <f aca="false">IF(G837="","",(Orders!G837-G837)/Orders!G837)</f>
        <v>0.519444444444445</v>
      </c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</row>
    <row r="838" customFormat="false" ht="15" hidden="false" customHeight="false" outlineLevel="0" collapsed="false">
      <c r="A838" s="46" t="str">
        <f aca="false">Orders!A838</f>
        <v>ORD-00837</v>
      </c>
      <c r="B838" s="46" t="str">
        <f aca="false">PROPER(TRIM(Orders!K838))</f>
        <v>Pune</v>
      </c>
      <c r="C838" s="46" t="str">
        <f aca="false">IFERROR(VLOOKUP(Orders!D838,Products!$A$2:$F$61,3,FALSE()),"Not Found")</f>
        <v>Sports</v>
      </c>
      <c r="D838" s="46" t="str">
        <f aca="false">IFERROR(VLOOKUP(Orders!C838,Customers!$A$2:$F$301,5,FALSE()),"Not Found")</f>
        <v>Retail</v>
      </c>
      <c r="E838" s="46" t="n">
        <f aca="false">IFERROR(VLOOKUP(Orders!C838,Customers!$A$2:$F$301,3,FALSE()),"Not Found")</f>
        <v>65</v>
      </c>
      <c r="F838" s="46" t="str">
        <f aca="false">IFERROR(VLOOKUP(Orders!E838,Sales_Reps!$A$2:$E$31,3,FALSE()),"Not Found")</f>
        <v>North</v>
      </c>
      <c r="G838" s="46" t="n">
        <f aca="false">IFERROR(VLOOKUP(Orders!D838,Products!$A$2:$F$61,4,FALSE()),"")</f>
        <v>974</v>
      </c>
      <c r="H838" s="47" t="n">
        <f aca="false">IF(G838="","",(Orders!G838-G838)/Orders!G838)</f>
        <v>0.594166666666667</v>
      </c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</row>
    <row r="839" customFormat="false" ht="15" hidden="false" customHeight="false" outlineLevel="0" collapsed="false">
      <c r="A839" s="46" t="str">
        <f aca="false">Orders!A839</f>
        <v>ORD-00838</v>
      </c>
      <c r="B839" s="46" t="str">
        <f aca="false">PROPER(TRIM(Orders!K839))</f>
        <v>Bengaluru</v>
      </c>
      <c r="C839" s="46" t="str">
        <f aca="false">IFERROR(VLOOKUP(Orders!D839,Products!$A$2:$F$61,3,FALSE()),"Not Found")</f>
        <v>Home</v>
      </c>
      <c r="D839" s="46" t="str">
        <f aca="false">IFERROR(VLOOKUP(Orders!C839,Customers!$A$2:$F$301,5,FALSE()),"Not Found")</f>
        <v>SMB</v>
      </c>
      <c r="E839" s="46" t="n">
        <f aca="false">IFERROR(VLOOKUP(Orders!C839,Customers!$A$2:$F$301,3,FALSE()),"Not Found")</f>
        <v>46</v>
      </c>
      <c r="F839" s="46" t="str">
        <f aca="false">IFERROR(VLOOKUP(Orders!E839,Sales_Reps!$A$2:$E$31,3,FALSE()),"Not Found")</f>
        <v>East</v>
      </c>
      <c r="G839" s="46" t="n">
        <f aca="false">IFERROR(VLOOKUP(Orders!D839,Products!$A$2:$F$61,4,FALSE()),"")</f>
        <v>519</v>
      </c>
      <c r="H839" s="47" t="n">
        <f aca="false">IF(G839="","",(Orders!G839-G839)/Orders!G839)</f>
        <v>0.519444444444445</v>
      </c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</row>
    <row r="840" customFormat="false" ht="15" hidden="false" customHeight="false" outlineLevel="0" collapsed="false">
      <c r="A840" s="46" t="str">
        <f aca="false">Orders!A840</f>
        <v>ORD-00839</v>
      </c>
      <c r="B840" s="46" t="str">
        <f aca="false">PROPER(TRIM(Orders!K840))</f>
        <v>Chennai</v>
      </c>
      <c r="C840" s="46" t="str">
        <f aca="false">IFERROR(VLOOKUP(Orders!D840,Products!$A$2:$F$61,3,FALSE()),"Not Found")</f>
        <v>Grocery</v>
      </c>
      <c r="D840" s="46" t="str">
        <f aca="false">IFERROR(VLOOKUP(Orders!C840,Customers!$A$2:$F$301,5,FALSE()),"Not Found")</f>
        <v>SMB</v>
      </c>
      <c r="E840" s="46" t="n">
        <f aca="false">IFERROR(VLOOKUP(Orders!C840,Customers!$A$2:$F$301,3,FALSE()),"Not Found")</f>
        <v>51</v>
      </c>
      <c r="F840" s="46" t="str">
        <f aca="false">IFERROR(VLOOKUP(Orders!E840,Sales_Reps!$A$2:$E$31,3,FALSE()),"Not Found")</f>
        <v>West</v>
      </c>
      <c r="G840" s="46" t="n">
        <f aca="false">IFERROR(VLOOKUP(Orders!D840,Products!$A$2:$F$61,4,FALSE()),"")</f>
        <v>1203</v>
      </c>
      <c r="H840" s="47" t="n">
        <f aca="false">IF(G840="","",(Orders!G840-G840)/Orders!G840)</f>
        <v>0.470044052863436</v>
      </c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</row>
    <row r="841" customFormat="false" ht="15" hidden="false" customHeight="false" outlineLevel="0" collapsed="false">
      <c r="A841" s="46" t="str">
        <f aca="false">Orders!A841</f>
        <v>ORD-00840</v>
      </c>
      <c r="B841" s="46" t="str">
        <f aca="false">PROPER(TRIM(Orders!K841))</f>
        <v>Mumbai</v>
      </c>
      <c r="C841" s="46" t="str">
        <f aca="false">IFERROR(VLOOKUP(Orders!D841,Products!$A$2:$F$61,3,FALSE()),"Not Found")</f>
        <v>Grocery</v>
      </c>
      <c r="D841" s="46" t="str">
        <f aca="false">IFERROR(VLOOKUP(Orders!C841,Customers!$A$2:$F$301,5,FALSE()),"Not Found")</f>
        <v>SMB</v>
      </c>
      <c r="E841" s="46" t="n">
        <f aca="false">IFERROR(VLOOKUP(Orders!C841,Customers!$A$2:$F$301,3,FALSE()),"Not Found")</f>
        <v>27</v>
      </c>
      <c r="F841" s="46" t="str">
        <f aca="false">IFERROR(VLOOKUP(Orders!E841,Sales_Reps!$A$2:$E$31,3,FALSE()),"Not Found")</f>
        <v>West</v>
      </c>
      <c r="G841" s="46" t="n">
        <f aca="false">IFERROR(VLOOKUP(Orders!D841,Products!$A$2:$F$61,4,FALSE()),"")</f>
        <v>2214</v>
      </c>
      <c r="H841" s="47" t="n">
        <f aca="false">IF(G841="","",(Orders!G841-G841)/Orders!G841)</f>
        <v>0.395081967213115</v>
      </c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</row>
    <row r="842" customFormat="false" ht="15" hidden="false" customHeight="false" outlineLevel="0" collapsed="false">
      <c r="A842" s="46" t="str">
        <f aca="false">Orders!A842</f>
        <v>ORD-00841</v>
      </c>
      <c r="B842" s="46" t="str">
        <f aca="false">PROPER(TRIM(Orders!K842))</f>
        <v>Delhi</v>
      </c>
      <c r="C842" s="46" t="str">
        <f aca="false">IFERROR(VLOOKUP(Orders!D842,Products!$A$2:$F$61,3,FALSE()),"Not Found")</f>
        <v>Home</v>
      </c>
      <c r="D842" s="46" t="str">
        <f aca="false">IFERROR(VLOOKUP(Orders!C842,Customers!$A$2:$F$301,5,FALSE()),"Not Found")</f>
        <v>SMB</v>
      </c>
      <c r="E842" s="46" t="n">
        <f aca="false">IFERROR(VLOOKUP(Orders!C842,Customers!$A$2:$F$301,3,FALSE()),"Not Found")</f>
        <v>48</v>
      </c>
      <c r="F842" s="46" t="str">
        <f aca="false">IFERROR(VLOOKUP(Orders!E842,Sales_Reps!$A$2:$E$31,3,FALSE()),"Not Found")</f>
        <v>North</v>
      </c>
      <c r="G842" s="46" t="n">
        <f aca="false">IFERROR(VLOOKUP(Orders!D842,Products!$A$2:$F$61,4,FALSE()),"")</f>
        <v>1556</v>
      </c>
      <c r="H842" s="47" t="n">
        <f aca="false">IF(G842="","",(Orders!G842-G842)/Orders!G842)</f>
        <v>0.521230769230769</v>
      </c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</row>
    <row r="843" customFormat="false" ht="15" hidden="false" customHeight="false" outlineLevel="0" collapsed="false">
      <c r="A843" s="46" t="str">
        <f aca="false">Orders!A843</f>
        <v>ORD-00842</v>
      </c>
      <c r="B843" s="46" t="str">
        <f aca="false">PROPER(TRIM(Orders!K843))</f>
        <v>Pune</v>
      </c>
      <c r="C843" s="46" t="str">
        <f aca="false">IFERROR(VLOOKUP(Orders!D843,Products!$A$2:$F$61,3,FALSE()),"Not Found")</f>
        <v>Beauty</v>
      </c>
      <c r="D843" s="46" t="str">
        <f aca="false">IFERROR(VLOOKUP(Orders!C843,Customers!$A$2:$F$301,5,FALSE()),"Not Found")</f>
        <v>SMB</v>
      </c>
      <c r="E843" s="46" t="n">
        <f aca="false">IFERROR(VLOOKUP(Orders!C843,Customers!$A$2:$F$301,3,FALSE()),"Not Found")</f>
        <v>24</v>
      </c>
      <c r="F843" s="46" t="str">
        <f aca="false">IFERROR(VLOOKUP(Orders!E843,Sales_Reps!$A$2:$E$31,3,FALSE()),"Not Found")</f>
        <v>South</v>
      </c>
      <c r="G843" s="46" t="n">
        <f aca="false">IFERROR(VLOOKUP(Orders!D843,Products!$A$2:$F$61,4,FALSE()),"")</f>
        <v>1222</v>
      </c>
      <c r="H843" s="47" t="n">
        <f aca="false">IF(G843="","",(Orders!G843-G843)/Orders!G843)</f>
        <v>0.259393939393939</v>
      </c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</row>
    <row r="844" customFormat="false" ht="15" hidden="false" customHeight="false" outlineLevel="0" collapsed="false">
      <c r="A844" s="46" t="str">
        <f aca="false">Orders!A844</f>
        <v>ORD-00843</v>
      </c>
      <c r="B844" s="46" t="str">
        <f aca="false">PROPER(TRIM(Orders!K844))</f>
        <v>Hyderabad</v>
      </c>
      <c r="C844" s="46" t="str">
        <f aca="false">IFERROR(VLOOKUP(Orders!D844,Products!$A$2:$F$61,3,FALSE()),"Not Found")</f>
        <v>Home</v>
      </c>
      <c r="D844" s="46" t="str">
        <f aca="false">IFERROR(VLOOKUP(Orders!C844,Customers!$A$2:$F$301,5,FALSE()),"Not Found")</f>
        <v>SMB</v>
      </c>
      <c r="E844" s="46" t="n">
        <f aca="false">IFERROR(VLOOKUP(Orders!C844,Customers!$A$2:$F$301,3,FALSE()),"Not Found")</f>
        <v>43</v>
      </c>
      <c r="F844" s="46" t="str">
        <f aca="false">IFERROR(VLOOKUP(Orders!E844,Sales_Reps!$A$2:$E$31,3,FALSE()),"Not Found")</f>
        <v>North</v>
      </c>
      <c r="G844" s="46" t="n">
        <f aca="false">IFERROR(VLOOKUP(Orders!D844,Products!$A$2:$F$61,4,FALSE()),"")</f>
        <v>2459</v>
      </c>
      <c r="H844" s="47" t="n">
        <f aca="false">IF(G844="","",(Orders!G844-G844)/Orders!G844)</f>
        <v>0.515944881889764</v>
      </c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</row>
    <row r="845" customFormat="false" ht="15" hidden="false" customHeight="false" outlineLevel="0" collapsed="false">
      <c r="A845" s="46" t="str">
        <f aca="false">Orders!A845</f>
        <v>ORD-00844</v>
      </c>
      <c r="B845" s="46" t="str">
        <f aca="false">PROPER(TRIM(Orders!K845))</f>
        <v>Bengaluru</v>
      </c>
      <c r="C845" s="46" t="str">
        <f aca="false">IFERROR(VLOOKUP(Orders!D845,Products!$A$2:$F$61,3,FALSE()),"Not Found")</f>
        <v>Sports</v>
      </c>
      <c r="D845" s="46" t="str">
        <f aca="false">IFERROR(VLOOKUP(Orders!C845,Customers!$A$2:$F$301,5,FALSE()),"Not Found")</f>
        <v>Retail</v>
      </c>
      <c r="E845" s="46" t="n">
        <f aca="false">IFERROR(VLOOKUP(Orders!C845,Customers!$A$2:$F$301,3,FALSE()),"Not Found")</f>
        <v>61</v>
      </c>
      <c r="F845" s="46" t="str">
        <f aca="false">IFERROR(VLOOKUP(Orders!E845,Sales_Reps!$A$2:$E$31,3,FALSE()),"Not Found")</f>
        <v>West</v>
      </c>
      <c r="G845" s="46" t="n">
        <f aca="false">IFERROR(VLOOKUP(Orders!D845,Products!$A$2:$F$61,4,FALSE()),"")</f>
        <v>2467</v>
      </c>
      <c r="H845" s="47" t="n">
        <f aca="false">IF(G845="","",(Orders!G845-G845)/Orders!G845)</f>
        <v>0.284927536231884</v>
      </c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</row>
    <row r="846" customFormat="false" ht="15" hidden="false" customHeight="false" outlineLevel="0" collapsed="false">
      <c r="A846" s="46" t="str">
        <f aca="false">Orders!A846</f>
        <v>ORD-00845</v>
      </c>
      <c r="B846" s="46" t="str">
        <f aca="false">PROPER(TRIM(Orders!K846))</f>
        <v>Chennai</v>
      </c>
      <c r="C846" s="46" t="str">
        <f aca="false">IFERROR(VLOOKUP(Orders!D846,Products!$A$2:$F$61,3,FALSE()),"Not Found")</f>
        <v>Beauty</v>
      </c>
      <c r="D846" s="46" t="str">
        <f aca="false">IFERROR(VLOOKUP(Orders!C846,Customers!$A$2:$F$301,5,FALSE()),"Not Found")</f>
        <v>Retail</v>
      </c>
      <c r="E846" s="46" t="n">
        <f aca="false">IFERROR(VLOOKUP(Orders!C846,Customers!$A$2:$F$301,3,FALSE()),"Not Found")</f>
        <v>41</v>
      </c>
      <c r="F846" s="46" t="str">
        <f aca="false">IFERROR(VLOOKUP(Orders!E846,Sales_Reps!$A$2:$E$31,3,FALSE()),"Not Found")</f>
        <v>East</v>
      </c>
      <c r="G846" s="46" t="n">
        <f aca="false">IFERROR(VLOOKUP(Orders!D846,Products!$A$2:$F$61,4,FALSE()),"")</f>
        <v>1728</v>
      </c>
      <c r="H846" s="47" t="n">
        <f aca="false">IF(G846="","",(Orders!G846-G846)/Orders!G846)</f>
        <v>0.484179104477612</v>
      </c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</row>
    <row r="847" customFormat="false" ht="15" hidden="false" customHeight="false" outlineLevel="0" collapsed="false">
      <c r="A847" s="46" t="str">
        <f aca="false">Orders!A847</f>
        <v>ORD-00846</v>
      </c>
      <c r="B847" s="46" t="str">
        <f aca="false">PROPER(TRIM(Orders!K847))</f>
        <v>Hyderabad</v>
      </c>
      <c r="C847" s="46" t="str">
        <f aca="false">IFERROR(VLOOKUP(Orders!D847,Products!$A$2:$F$61,3,FALSE()),"Not Found")</f>
        <v>Grocery</v>
      </c>
      <c r="D847" s="46" t="str">
        <f aca="false">IFERROR(VLOOKUP(Orders!C847,Customers!$A$2:$F$301,5,FALSE()),"Not Found")</f>
        <v>Retail</v>
      </c>
      <c r="E847" s="46" t="n">
        <f aca="false">IFERROR(VLOOKUP(Orders!C847,Customers!$A$2:$F$301,3,FALSE()),"Not Found")</f>
        <v>31</v>
      </c>
      <c r="F847" s="46" t="str">
        <f aca="false">IFERROR(VLOOKUP(Orders!E847,Sales_Reps!$A$2:$E$31,3,FALSE()),"Not Found")</f>
        <v>West</v>
      </c>
      <c r="G847" s="46" t="n">
        <f aca="false">IFERROR(VLOOKUP(Orders!D847,Products!$A$2:$F$61,4,FALSE()),"")</f>
        <v>1010</v>
      </c>
      <c r="H847" s="47" t="n">
        <f aca="false">IF(G847="","",(Orders!G847-G847)/Orders!G847)</f>
        <v>0.542986425339367</v>
      </c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</row>
    <row r="848" customFormat="false" ht="15" hidden="false" customHeight="false" outlineLevel="0" collapsed="false">
      <c r="A848" s="46" t="str">
        <f aca="false">Orders!A848</f>
        <v>ORD-00847</v>
      </c>
      <c r="B848" s="46" t="str">
        <f aca="false">PROPER(TRIM(Orders!K848))</f>
        <v>Delhi</v>
      </c>
      <c r="C848" s="46" t="str">
        <f aca="false">IFERROR(VLOOKUP(Orders!D848,Products!$A$2:$F$61,3,FALSE()),"Not Found")</f>
        <v>Beauty</v>
      </c>
      <c r="D848" s="46" t="str">
        <f aca="false">IFERROR(VLOOKUP(Orders!C848,Customers!$A$2:$F$301,5,FALSE()),"Not Found")</f>
        <v>Retail</v>
      </c>
      <c r="E848" s="46" t="n">
        <f aca="false">IFERROR(VLOOKUP(Orders!C848,Customers!$A$2:$F$301,3,FALSE()),"Not Found")</f>
        <v>43</v>
      </c>
      <c r="F848" s="46" t="str">
        <f aca="false">IFERROR(VLOOKUP(Orders!E848,Sales_Reps!$A$2:$E$31,3,FALSE()),"Not Found")</f>
        <v>North</v>
      </c>
      <c r="G848" s="46" t="n">
        <f aca="false">IFERROR(VLOOKUP(Orders!D848,Products!$A$2:$F$61,4,FALSE()),"")</f>
        <v>2768</v>
      </c>
      <c r="H848" s="47" t="n">
        <f aca="false">IF(G848="","",(Orders!G848-G848)/Orders!G848)</f>
        <v>0.432786885245902</v>
      </c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</row>
    <row r="849" customFormat="false" ht="15" hidden="false" customHeight="false" outlineLevel="0" collapsed="false">
      <c r="A849" s="46" t="str">
        <f aca="false">Orders!A849</f>
        <v>ORD-00848</v>
      </c>
      <c r="B849" s="46" t="str">
        <f aca="false">PROPER(TRIM(Orders!K849))</f>
        <v>Chennai</v>
      </c>
      <c r="C849" s="46" t="str">
        <f aca="false">IFERROR(VLOOKUP(Orders!D849,Products!$A$2:$F$61,3,FALSE()),"Not Found")</f>
        <v>Sports</v>
      </c>
      <c r="D849" s="46" t="str">
        <f aca="false">IFERROR(VLOOKUP(Orders!C849,Customers!$A$2:$F$301,5,FALSE()),"Not Found")</f>
        <v>Retail</v>
      </c>
      <c r="E849" s="46" t="n">
        <f aca="false">IFERROR(VLOOKUP(Orders!C849,Customers!$A$2:$F$301,3,FALSE()),"Not Found")</f>
        <v>49</v>
      </c>
      <c r="F849" s="46" t="str">
        <f aca="false">IFERROR(VLOOKUP(Orders!E849,Sales_Reps!$A$2:$E$31,3,FALSE()),"Not Found")</f>
        <v>North</v>
      </c>
      <c r="G849" s="46" t="n">
        <f aca="false">IFERROR(VLOOKUP(Orders!D849,Products!$A$2:$F$61,4,FALSE()),"")</f>
        <v>2028</v>
      </c>
      <c r="H849" s="47" t="n">
        <f aca="false">IF(G849="","",(Orders!G849-G849)/Orders!G849)</f>
        <v>0.290909090909091</v>
      </c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</row>
    <row r="850" customFormat="false" ht="15" hidden="false" customHeight="false" outlineLevel="0" collapsed="false">
      <c r="A850" s="46" t="str">
        <f aca="false">Orders!A850</f>
        <v>ORD-00849</v>
      </c>
      <c r="B850" s="46" t="str">
        <f aca="false">PROPER(TRIM(Orders!K850))</f>
        <v>Pune</v>
      </c>
      <c r="C850" s="46" t="str">
        <f aca="false">IFERROR(VLOOKUP(Orders!D850,Products!$A$2:$F$61,3,FALSE()),"Not Found")</f>
        <v>Grocery</v>
      </c>
      <c r="D850" s="46" t="str">
        <f aca="false">IFERROR(VLOOKUP(Orders!C850,Customers!$A$2:$F$301,5,FALSE()),"Not Found")</f>
        <v>Retail</v>
      </c>
      <c r="E850" s="46" t="n">
        <f aca="false">IFERROR(VLOOKUP(Orders!C850,Customers!$A$2:$F$301,3,FALSE()),"Not Found")</f>
        <v>65</v>
      </c>
      <c r="F850" s="46" t="str">
        <f aca="false">IFERROR(VLOOKUP(Orders!E850,Sales_Reps!$A$2:$E$31,3,FALSE()),"Not Found")</f>
        <v>North</v>
      </c>
      <c r="G850" s="46" t="n">
        <f aca="false">IFERROR(VLOOKUP(Orders!D850,Products!$A$2:$F$61,4,FALSE()),"")</f>
        <v>434</v>
      </c>
      <c r="H850" s="47" t="n">
        <f aca="false">IF(G850="","",(Orders!G850-G850)/Orders!G850)</f>
        <v>0.552577319587629</v>
      </c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</row>
    <row r="851" customFormat="false" ht="15" hidden="false" customHeight="false" outlineLevel="0" collapsed="false">
      <c r="A851" s="46" t="str">
        <f aca="false">Orders!A851</f>
        <v>ORD-00850</v>
      </c>
      <c r="B851" s="46" t="str">
        <f aca="false">PROPER(TRIM(Orders!K851))</f>
        <v>Pune</v>
      </c>
      <c r="C851" s="46" t="str">
        <f aca="false">IFERROR(VLOOKUP(Orders!D851,Products!$A$2:$F$61,3,FALSE()),"Not Found")</f>
        <v>Grocery</v>
      </c>
      <c r="D851" s="46" t="str">
        <f aca="false">IFERROR(VLOOKUP(Orders!C851,Customers!$A$2:$F$301,5,FALSE()),"Not Found")</f>
        <v>Corporate</v>
      </c>
      <c r="E851" s="46" t="n">
        <f aca="false">IFERROR(VLOOKUP(Orders!C851,Customers!$A$2:$F$301,3,FALSE()),"Not Found")</f>
        <v>29</v>
      </c>
      <c r="F851" s="46" t="str">
        <f aca="false">IFERROR(VLOOKUP(Orders!E851,Sales_Reps!$A$2:$E$31,3,FALSE()),"Not Found")</f>
        <v>North</v>
      </c>
      <c r="G851" s="46" t="n">
        <f aca="false">IFERROR(VLOOKUP(Orders!D851,Products!$A$2:$F$61,4,FALSE()),"")</f>
        <v>1412</v>
      </c>
      <c r="H851" s="47" t="n">
        <f aca="false">IF(G851="","",(Orders!G851-G851)/Orders!G851)</f>
        <v>0.377973568281938</v>
      </c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</row>
    <row r="852" customFormat="false" ht="15" hidden="false" customHeight="false" outlineLevel="0" collapsed="false">
      <c r="A852" s="46" t="str">
        <f aca="false">Orders!A852</f>
        <v>ORD-00851</v>
      </c>
      <c r="B852" s="46" t="str">
        <f aca="false">PROPER(TRIM(Orders!K852))</f>
        <v>Chennai</v>
      </c>
      <c r="C852" s="46" t="str">
        <f aca="false">IFERROR(VLOOKUP(Orders!D852,Products!$A$2:$F$61,3,FALSE()),"Not Found")</f>
        <v>Apparel</v>
      </c>
      <c r="D852" s="46" t="str">
        <f aca="false">IFERROR(VLOOKUP(Orders!C852,Customers!$A$2:$F$301,5,FALSE()),"Not Found")</f>
        <v>SMB</v>
      </c>
      <c r="E852" s="46" t="n">
        <f aca="false">IFERROR(VLOOKUP(Orders!C852,Customers!$A$2:$F$301,3,FALSE()),"Not Found")</f>
        <v>62</v>
      </c>
      <c r="F852" s="46" t="str">
        <f aca="false">IFERROR(VLOOKUP(Orders!E852,Sales_Reps!$A$2:$E$31,3,FALSE()),"Not Found")</f>
        <v>South</v>
      </c>
      <c r="G852" s="46" t="n">
        <f aca="false">IFERROR(VLOOKUP(Orders!D852,Products!$A$2:$F$61,4,FALSE()),"")</f>
        <v>2629</v>
      </c>
      <c r="H852" s="47" t="n">
        <f aca="false">IF(G852="","",(Orders!G852-G852)/Orders!G852)</f>
        <v>0.261516853932584</v>
      </c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</row>
    <row r="853" customFormat="false" ht="15" hidden="false" customHeight="false" outlineLevel="0" collapsed="false">
      <c r="A853" s="46" t="str">
        <f aca="false">Orders!A853</f>
        <v>ORD-00852</v>
      </c>
      <c r="B853" s="46" t="str">
        <f aca="false">PROPER(TRIM(Orders!K853))</f>
        <v>Chennai</v>
      </c>
      <c r="C853" s="46" t="str">
        <f aca="false">IFERROR(VLOOKUP(Orders!D853,Products!$A$2:$F$61,3,FALSE()),"Not Found")</f>
        <v>Sports</v>
      </c>
      <c r="D853" s="46" t="str">
        <f aca="false">IFERROR(VLOOKUP(Orders!C853,Customers!$A$2:$F$301,5,FALSE()),"Not Found")</f>
        <v>Corporate</v>
      </c>
      <c r="E853" s="46" t="n">
        <f aca="false">IFERROR(VLOOKUP(Orders!C853,Customers!$A$2:$F$301,3,FALSE()),"Not Found")</f>
        <v>55</v>
      </c>
      <c r="F853" s="46" t="str">
        <f aca="false">IFERROR(VLOOKUP(Orders!E853,Sales_Reps!$A$2:$E$31,3,FALSE()),"Not Found")</f>
        <v>South</v>
      </c>
      <c r="G853" s="46" t="n">
        <f aca="false">IFERROR(VLOOKUP(Orders!D853,Products!$A$2:$F$61,4,FALSE()),"")</f>
        <v>2265</v>
      </c>
      <c r="H853" s="47" t="n">
        <f aca="false">IF(G853="","",(Orders!G853-G853)/Orders!G853)</f>
        <v>0.581330868761553</v>
      </c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</row>
    <row r="854" customFormat="false" ht="15" hidden="false" customHeight="false" outlineLevel="0" collapsed="false">
      <c r="A854" s="46" t="str">
        <f aca="false">Orders!A854</f>
        <v>ORD-00853</v>
      </c>
      <c r="B854" s="46" t="str">
        <f aca="false">PROPER(TRIM(Orders!K854))</f>
        <v>Bengaluru</v>
      </c>
      <c r="C854" s="46" t="str">
        <f aca="false">IFERROR(VLOOKUP(Orders!D854,Products!$A$2:$F$61,3,FALSE()),"Not Found")</f>
        <v>Apparel</v>
      </c>
      <c r="D854" s="46" t="str">
        <f aca="false">IFERROR(VLOOKUP(Orders!C854,Customers!$A$2:$F$301,5,FALSE()),"Not Found")</f>
        <v>Retail</v>
      </c>
      <c r="E854" s="46" t="n">
        <f aca="false">IFERROR(VLOOKUP(Orders!C854,Customers!$A$2:$F$301,3,FALSE()),"Not Found")</f>
        <v>28</v>
      </c>
      <c r="F854" s="46" t="str">
        <f aca="false">IFERROR(VLOOKUP(Orders!E854,Sales_Reps!$A$2:$E$31,3,FALSE()),"Not Found")</f>
        <v>North</v>
      </c>
      <c r="G854" s="46" t="n">
        <f aca="false">IFERROR(VLOOKUP(Orders!D854,Products!$A$2:$F$61,4,FALSE()),"")</f>
        <v>1173</v>
      </c>
      <c r="H854" s="47" t="n">
        <f aca="false">IF(G854="","",(Orders!G854-G854)/Orders!G854)</f>
        <v>0.527016129032258</v>
      </c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</row>
    <row r="855" customFormat="false" ht="15" hidden="false" customHeight="false" outlineLevel="0" collapsed="false">
      <c r="A855" s="46" t="str">
        <f aca="false">Orders!A855</f>
        <v>ORD-00854</v>
      </c>
      <c r="B855" s="46" t="str">
        <f aca="false">PROPER(TRIM(Orders!K855))</f>
        <v>Delhi</v>
      </c>
      <c r="C855" s="46" t="str">
        <f aca="false">IFERROR(VLOOKUP(Orders!D855,Products!$A$2:$F$61,3,FALSE()),"Not Found")</f>
        <v>Apparel</v>
      </c>
      <c r="D855" s="46" t="str">
        <f aca="false">IFERROR(VLOOKUP(Orders!C855,Customers!$A$2:$F$301,5,FALSE()),"Not Found")</f>
        <v>Retail</v>
      </c>
      <c r="E855" s="46" t="n">
        <f aca="false">IFERROR(VLOOKUP(Orders!C855,Customers!$A$2:$F$301,3,FALSE()),"Not Found")</f>
        <v>45</v>
      </c>
      <c r="F855" s="46" t="str">
        <f aca="false">IFERROR(VLOOKUP(Orders!E855,Sales_Reps!$A$2:$E$31,3,FALSE()),"Not Found")</f>
        <v>South</v>
      </c>
      <c r="G855" s="46" t="n">
        <f aca="false">IFERROR(VLOOKUP(Orders!D855,Products!$A$2:$F$61,4,FALSE()),"")</f>
        <v>391</v>
      </c>
      <c r="H855" s="47" t="n">
        <f aca="false">IF(G855="","",(Orders!G855-G855)/Orders!G855)</f>
        <v>0.523170731707317</v>
      </c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</row>
    <row r="856" customFormat="false" ht="15" hidden="false" customHeight="false" outlineLevel="0" collapsed="false">
      <c r="A856" s="46" t="str">
        <f aca="false">Orders!A856</f>
        <v>ORD-00855</v>
      </c>
      <c r="B856" s="46" t="str">
        <f aca="false">PROPER(TRIM(Orders!K856))</f>
        <v>Bengaluru</v>
      </c>
      <c r="C856" s="46" t="str">
        <f aca="false">IFERROR(VLOOKUP(Orders!D856,Products!$A$2:$F$61,3,FALSE()),"Not Found")</f>
        <v>Electronics</v>
      </c>
      <c r="D856" s="46" t="str">
        <f aca="false">IFERROR(VLOOKUP(Orders!C856,Customers!$A$2:$F$301,5,FALSE()),"Not Found")</f>
        <v>Retail</v>
      </c>
      <c r="E856" s="46" t="n">
        <f aca="false">IFERROR(VLOOKUP(Orders!C856,Customers!$A$2:$F$301,3,FALSE()),"Not Found")</f>
        <v>34</v>
      </c>
      <c r="F856" s="46" t="str">
        <f aca="false">IFERROR(VLOOKUP(Orders!E856,Sales_Reps!$A$2:$E$31,3,FALSE()),"Not Found")</f>
        <v>South</v>
      </c>
      <c r="G856" s="46" t="n">
        <f aca="false">IFERROR(VLOOKUP(Orders!D856,Products!$A$2:$F$61,4,FALSE()),"")</f>
        <v>2405</v>
      </c>
      <c r="H856" s="47" t="n">
        <f aca="false">IF(G856="","",(Orders!G856-G856)/Orders!G856)</f>
        <v>0.548780487804878</v>
      </c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</row>
    <row r="857" customFormat="false" ht="15" hidden="false" customHeight="false" outlineLevel="0" collapsed="false">
      <c r="A857" s="46" t="str">
        <f aca="false">Orders!A857</f>
        <v>ORD-00856</v>
      </c>
      <c r="B857" s="46" t="str">
        <f aca="false">PROPER(TRIM(Orders!K857))</f>
        <v>Hyderabad</v>
      </c>
      <c r="C857" s="46" t="str">
        <f aca="false">IFERROR(VLOOKUP(Orders!D857,Products!$A$2:$F$61,3,FALSE()),"Not Found")</f>
        <v>Beauty</v>
      </c>
      <c r="D857" s="46" t="str">
        <f aca="false">IFERROR(VLOOKUP(Orders!C857,Customers!$A$2:$F$301,5,FALSE()),"Not Found")</f>
        <v>Retail</v>
      </c>
      <c r="E857" s="46" t="n">
        <f aca="false">IFERROR(VLOOKUP(Orders!C857,Customers!$A$2:$F$301,3,FALSE()),"Not Found")</f>
        <v>64</v>
      </c>
      <c r="F857" s="46" t="str">
        <f aca="false">IFERROR(VLOOKUP(Orders!E857,Sales_Reps!$A$2:$E$31,3,FALSE()),"Not Found")</f>
        <v>North</v>
      </c>
      <c r="G857" s="46" t="n">
        <f aca="false">IFERROR(VLOOKUP(Orders!D857,Products!$A$2:$F$61,4,FALSE()),"")</f>
        <v>2420</v>
      </c>
      <c r="H857" s="47" t="n">
        <f aca="false">IF(G857="","",(Orders!G857-G857)/Orders!G857)</f>
        <v>0.298550724637681</v>
      </c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</row>
    <row r="858" customFormat="false" ht="15" hidden="false" customHeight="false" outlineLevel="0" collapsed="false">
      <c r="A858" s="46" t="str">
        <f aca="false">Orders!A858</f>
        <v>ORD-00857</v>
      </c>
      <c r="B858" s="46" t="str">
        <f aca="false">PROPER(TRIM(Orders!K858))</f>
        <v>Chennai</v>
      </c>
      <c r="C858" s="46" t="str">
        <f aca="false">IFERROR(VLOOKUP(Orders!D858,Products!$A$2:$F$61,3,FALSE()),"Not Found")</f>
        <v>Beauty</v>
      </c>
      <c r="D858" s="46" t="str">
        <f aca="false">IFERROR(VLOOKUP(Orders!C858,Customers!$A$2:$F$301,5,FALSE()),"Not Found")</f>
        <v>Retail</v>
      </c>
      <c r="E858" s="46" t="n">
        <f aca="false">IFERROR(VLOOKUP(Orders!C858,Customers!$A$2:$F$301,3,FALSE()),"Not Found")</f>
        <v>41</v>
      </c>
      <c r="F858" s="46" t="str">
        <f aca="false">IFERROR(VLOOKUP(Orders!E858,Sales_Reps!$A$2:$E$31,3,FALSE()),"Not Found")</f>
        <v>East</v>
      </c>
      <c r="G858" s="46" t="n">
        <f aca="false">IFERROR(VLOOKUP(Orders!D858,Products!$A$2:$F$61,4,FALSE()),"")</f>
        <v>675</v>
      </c>
      <c r="H858" s="47" t="n">
        <f aca="false">IF(G858="","",(Orders!G858-G858)/Orders!G858)</f>
        <v>0.296875</v>
      </c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</row>
    <row r="859" customFormat="false" ht="15" hidden="false" customHeight="false" outlineLevel="0" collapsed="false">
      <c r="A859" s="46" t="str">
        <f aca="false">Orders!A859</f>
        <v>ORD-00858</v>
      </c>
      <c r="B859" s="46" t="str">
        <f aca="false">PROPER(TRIM(Orders!K859))</f>
        <v>Hyderabad</v>
      </c>
      <c r="C859" s="46" t="str">
        <f aca="false">IFERROR(VLOOKUP(Orders!D859,Products!$A$2:$F$61,3,FALSE()),"Not Found")</f>
        <v>Apparel</v>
      </c>
      <c r="D859" s="46" t="str">
        <f aca="false">IFERROR(VLOOKUP(Orders!C859,Customers!$A$2:$F$301,5,FALSE()),"Not Found")</f>
        <v>SMB</v>
      </c>
      <c r="E859" s="46" t="n">
        <f aca="false">IFERROR(VLOOKUP(Orders!C859,Customers!$A$2:$F$301,3,FALSE()),"Not Found")</f>
        <v>43</v>
      </c>
      <c r="F859" s="46" t="str">
        <f aca="false">IFERROR(VLOOKUP(Orders!E859,Sales_Reps!$A$2:$E$31,3,FALSE()),"Not Found")</f>
        <v>North</v>
      </c>
      <c r="G859" s="46" t="n">
        <f aca="false">IFERROR(VLOOKUP(Orders!D859,Products!$A$2:$F$61,4,FALSE()),"")</f>
        <v>1748</v>
      </c>
      <c r="H859" s="47" t="n">
        <f aca="false">IF(G859="","",(Orders!G859-G859)/Orders!G859)</f>
        <v>0.493333333333333</v>
      </c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</row>
    <row r="860" customFormat="false" ht="15" hidden="false" customHeight="false" outlineLevel="0" collapsed="false">
      <c r="A860" s="46" t="str">
        <f aca="false">Orders!A860</f>
        <v>ORD-00859</v>
      </c>
      <c r="B860" s="46" t="str">
        <f aca="false">PROPER(TRIM(Orders!K860))</f>
        <v>Pune</v>
      </c>
      <c r="C860" s="46" t="str">
        <f aca="false">IFERROR(VLOOKUP(Orders!D860,Products!$A$2:$F$61,3,FALSE()),"Not Found")</f>
        <v>Electronics</v>
      </c>
      <c r="D860" s="46" t="str">
        <f aca="false">IFERROR(VLOOKUP(Orders!C860,Customers!$A$2:$F$301,5,FALSE()),"Not Found")</f>
        <v>SMB</v>
      </c>
      <c r="E860" s="46" t="n">
        <f aca="false">IFERROR(VLOOKUP(Orders!C860,Customers!$A$2:$F$301,3,FALSE()),"Not Found")</f>
        <v>59</v>
      </c>
      <c r="F860" s="46" t="str">
        <f aca="false">IFERROR(VLOOKUP(Orders!E860,Sales_Reps!$A$2:$E$31,3,FALSE()),"Not Found")</f>
        <v>North</v>
      </c>
      <c r="G860" s="46" t="n">
        <f aca="false">IFERROR(VLOOKUP(Orders!D860,Products!$A$2:$F$61,4,FALSE()),"")</f>
        <v>517</v>
      </c>
      <c r="H860" s="47" t="n">
        <f aca="false">IF(G860="","",(Orders!G860-G860)/Orders!G860)</f>
        <v>0.576229508196721</v>
      </c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</row>
    <row r="861" customFormat="false" ht="15" hidden="false" customHeight="false" outlineLevel="0" collapsed="false">
      <c r="A861" s="46" t="str">
        <f aca="false">Orders!A861</f>
        <v>ORD-00860</v>
      </c>
      <c r="B861" s="46" t="str">
        <f aca="false">PROPER(TRIM(Orders!K861))</f>
        <v>Pune</v>
      </c>
      <c r="C861" s="46" t="str">
        <f aca="false">IFERROR(VLOOKUP(Orders!D861,Products!$A$2:$F$61,3,FALSE()),"Not Found")</f>
        <v>Electronics</v>
      </c>
      <c r="D861" s="46" t="str">
        <f aca="false">IFERROR(VLOOKUP(Orders!C861,Customers!$A$2:$F$301,5,FALSE()),"Not Found")</f>
        <v>Retail</v>
      </c>
      <c r="E861" s="46" t="n">
        <f aca="false">IFERROR(VLOOKUP(Orders!C861,Customers!$A$2:$F$301,3,FALSE()),"Not Found")</f>
        <v>39</v>
      </c>
      <c r="F861" s="46" t="str">
        <f aca="false">IFERROR(VLOOKUP(Orders!E861,Sales_Reps!$A$2:$E$31,3,FALSE()),"Not Found")</f>
        <v>North</v>
      </c>
      <c r="G861" s="46" t="n">
        <f aca="false">IFERROR(VLOOKUP(Orders!D861,Products!$A$2:$F$61,4,FALSE()),"")</f>
        <v>2405</v>
      </c>
      <c r="H861" s="47" t="n">
        <f aca="false">IF(G861="","",(Orders!G861-G861)/Orders!G861)</f>
        <v>0.548780487804878</v>
      </c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</row>
    <row r="862" customFormat="false" ht="15" hidden="false" customHeight="false" outlineLevel="0" collapsed="false">
      <c r="A862" s="46" t="str">
        <f aca="false">Orders!A862</f>
        <v>ORD-00861</v>
      </c>
      <c r="B862" s="46" t="str">
        <f aca="false">PROPER(TRIM(Orders!K862))</f>
        <v>Bengaluru</v>
      </c>
      <c r="C862" s="46" t="str">
        <f aca="false">IFERROR(VLOOKUP(Orders!D862,Products!$A$2:$F$61,3,FALSE()),"Not Found")</f>
        <v>Electronics</v>
      </c>
      <c r="D862" s="46" t="str">
        <f aca="false">IFERROR(VLOOKUP(Orders!C862,Customers!$A$2:$F$301,5,FALSE()),"Not Found")</f>
        <v>Retail</v>
      </c>
      <c r="E862" s="46" t="n">
        <f aca="false">IFERROR(VLOOKUP(Orders!C862,Customers!$A$2:$F$301,3,FALSE()),"Not Found")</f>
        <v>29</v>
      </c>
      <c r="F862" s="46" t="str">
        <f aca="false">IFERROR(VLOOKUP(Orders!E862,Sales_Reps!$A$2:$E$31,3,FALSE()),"Not Found")</f>
        <v>West</v>
      </c>
      <c r="G862" s="46" t="n">
        <f aca="false">IFERROR(VLOOKUP(Orders!D862,Products!$A$2:$F$61,4,FALSE()),"")</f>
        <v>1665</v>
      </c>
      <c r="H862" s="47" t="n">
        <f aca="false">IF(G862="","",(Orders!G862-G862)/Orders!G862)</f>
        <v>0.533613445378151</v>
      </c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</row>
    <row r="863" customFormat="false" ht="15" hidden="false" customHeight="false" outlineLevel="0" collapsed="false">
      <c r="A863" s="46" t="str">
        <f aca="false">Orders!A863</f>
        <v>ORD-00862</v>
      </c>
      <c r="B863" s="46" t="str">
        <f aca="false">PROPER(TRIM(Orders!K863))</f>
        <v>Mumbai</v>
      </c>
      <c r="C863" s="46" t="str">
        <f aca="false">IFERROR(VLOOKUP(Orders!D863,Products!$A$2:$F$61,3,FALSE()),"Not Found")</f>
        <v>Grocery</v>
      </c>
      <c r="D863" s="46" t="str">
        <f aca="false">IFERROR(VLOOKUP(Orders!C863,Customers!$A$2:$F$301,5,FALSE()),"Not Found")</f>
        <v>Retail</v>
      </c>
      <c r="E863" s="46" t="n">
        <f aca="false">IFERROR(VLOOKUP(Orders!C863,Customers!$A$2:$F$301,3,FALSE()),"Not Found")</f>
        <v>56</v>
      </c>
      <c r="F863" s="46" t="str">
        <f aca="false">IFERROR(VLOOKUP(Orders!E863,Sales_Reps!$A$2:$E$31,3,FALSE()),"Not Found")</f>
        <v>West</v>
      </c>
      <c r="G863" s="46" t="n">
        <f aca="false">IFERROR(VLOOKUP(Orders!D863,Products!$A$2:$F$61,4,FALSE()),"")</f>
        <v>1010</v>
      </c>
      <c r="H863" s="47" t="n">
        <f aca="false">IF(G863="","",(Orders!G863-G863)/Orders!G863)</f>
        <v>0.542986425339367</v>
      </c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</row>
    <row r="864" customFormat="false" ht="15" hidden="false" customHeight="false" outlineLevel="0" collapsed="false">
      <c r="A864" s="46" t="str">
        <f aca="false">Orders!A864</f>
        <v>ORD-00863</v>
      </c>
      <c r="B864" s="46" t="str">
        <f aca="false">PROPER(TRIM(Orders!K864))</f>
        <v>Pune</v>
      </c>
      <c r="C864" s="46" t="str">
        <f aca="false">IFERROR(VLOOKUP(Orders!D864,Products!$A$2:$F$61,3,FALSE()),"Not Found")</f>
        <v>Sports</v>
      </c>
      <c r="D864" s="46" t="str">
        <f aca="false">IFERROR(VLOOKUP(Orders!C864,Customers!$A$2:$F$301,5,FALSE()),"Not Found")</f>
        <v>SMB</v>
      </c>
      <c r="E864" s="46" t="n">
        <f aca="false">IFERROR(VLOOKUP(Orders!C864,Customers!$A$2:$F$301,3,FALSE()),"Not Found")</f>
        <v>39</v>
      </c>
      <c r="F864" s="46" t="str">
        <f aca="false">IFERROR(VLOOKUP(Orders!E864,Sales_Reps!$A$2:$E$31,3,FALSE()),"Not Found")</f>
        <v>West</v>
      </c>
      <c r="G864" s="46" t="n">
        <f aca="false">IFERROR(VLOOKUP(Orders!D864,Products!$A$2:$F$61,4,FALSE()),"")</f>
        <v>1860</v>
      </c>
      <c r="H864" s="47" t="n">
        <f aca="false">IF(G864="","",(Orders!G864-G864)/Orders!G864)</f>
        <v>0.507936507936508</v>
      </c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</row>
    <row r="865" customFormat="false" ht="15" hidden="false" customHeight="false" outlineLevel="0" collapsed="false">
      <c r="A865" s="46" t="str">
        <f aca="false">Orders!A865</f>
        <v>ORD-00864</v>
      </c>
      <c r="B865" s="46" t="str">
        <f aca="false">PROPER(TRIM(Orders!K865))</f>
        <v>Mumbai</v>
      </c>
      <c r="C865" s="46" t="str">
        <f aca="false">IFERROR(VLOOKUP(Orders!D865,Products!$A$2:$F$61,3,FALSE()),"Not Found")</f>
        <v>Electronics</v>
      </c>
      <c r="D865" s="46" t="str">
        <f aca="false">IFERROR(VLOOKUP(Orders!C865,Customers!$A$2:$F$301,5,FALSE()),"Not Found")</f>
        <v>Retail</v>
      </c>
      <c r="E865" s="46" t="n">
        <f aca="false">IFERROR(VLOOKUP(Orders!C865,Customers!$A$2:$F$301,3,FALSE()),"Not Found")</f>
        <v>34</v>
      </c>
      <c r="F865" s="46" t="str">
        <f aca="false">IFERROR(VLOOKUP(Orders!E865,Sales_Reps!$A$2:$E$31,3,FALSE()),"Not Found")</f>
        <v>North</v>
      </c>
      <c r="G865" s="46" t="n">
        <f aca="false">IFERROR(VLOOKUP(Orders!D865,Products!$A$2:$F$61,4,FALSE()),"")</f>
        <v>1149</v>
      </c>
      <c r="H865" s="47" t="n">
        <f aca="false">IF(G865="","",(Orders!G865-G865)/Orders!G865)</f>
        <v>0.564772727272727</v>
      </c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</row>
    <row r="866" customFormat="false" ht="15" hidden="false" customHeight="false" outlineLevel="0" collapsed="false">
      <c r="A866" s="46" t="str">
        <f aca="false">Orders!A866</f>
        <v>ORD-00865</v>
      </c>
      <c r="B866" s="46" t="str">
        <f aca="false">PROPER(TRIM(Orders!K866))</f>
        <v>Bengaluru</v>
      </c>
      <c r="C866" s="46" t="str">
        <f aca="false">IFERROR(VLOOKUP(Orders!D866,Products!$A$2:$F$61,3,FALSE()),"Not Found")</f>
        <v>Electronics</v>
      </c>
      <c r="D866" s="46" t="str">
        <f aca="false">IFERROR(VLOOKUP(Orders!C866,Customers!$A$2:$F$301,5,FALSE()),"Not Found")</f>
        <v>SMB</v>
      </c>
      <c r="E866" s="46" t="n">
        <f aca="false">IFERROR(VLOOKUP(Orders!C866,Customers!$A$2:$F$301,3,FALSE()),"Not Found")</f>
        <v>42</v>
      </c>
      <c r="F866" s="46" t="str">
        <f aca="false">IFERROR(VLOOKUP(Orders!E866,Sales_Reps!$A$2:$E$31,3,FALSE()),"Not Found")</f>
        <v>West</v>
      </c>
      <c r="G866" s="46" t="n">
        <f aca="false">IFERROR(VLOOKUP(Orders!D866,Products!$A$2:$F$61,4,FALSE()),"")</f>
        <v>128</v>
      </c>
      <c r="H866" s="47" t="n">
        <f aca="false">IF(G866="","",(Orders!G866-G866)/Orders!G866)</f>
        <v>0.573333333333333</v>
      </c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</row>
    <row r="867" customFormat="false" ht="15" hidden="false" customHeight="false" outlineLevel="0" collapsed="false">
      <c r="A867" s="46" t="str">
        <f aca="false">Orders!A867</f>
        <v>ORD-00866</v>
      </c>
      <c r="B867" s="46" t="str">
        <f aca="false">PROPER(TRIM(Orders!K867))</f>
        <v>Hyderabad</v>
      </c>
      <c r="C867" s="46" t="str">
        <f aca="false">IFERROR(VLOOKUP(Orders!D867,Products!$A$2:$F$61,3,FALSE()),"Not Found")</f>
        <v>Sports</v>
      </c>
      <c r="D867" s="46" t="str">
        <f aca="false">IFERROR(VLOOKUP(Orders!C867,Customers!$A$2:$F$301,5,FALSE()),"Not Found")</f>
        <v>SMB</v>
      </c>
      <c r="E867" s="46" t="n">
        <f aca="false">IFERROR(VLOOKUP(Orders!C867,Customers!$A$2:$F$301,3,FALSE()),"Not Found")</f>
        <v>43</v>
      </c>
      <c r="F867" s="46" t="str">
        <f aca="false">IFERROR(VLOOKUP(Orders!E867,Sales_Reps!$A$2:$E$31,3,FALSE()),"Not Found")</f>
        <v>South</v>
      </c>
      <c r="G867" s="46" t="n">
        <f aca="false">IFERROR(VLOOKUP(Orders!D867,Products!$A$2:$F$61,4,FALSE()),"")</f>
        <v>974</v>
      </c>
      <c r="H867" s="47" t="n">
        <f aca="false">IF(G867="","",(Orders!G867-G867)/Orders!G867)</f>
        <v>0.594166666666667</v>
      </c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</row>
    <row r="868" customFormat="false" ht="15" hidden="false" customHeight="false" outlineLevel="0" collapsed="false">
      <c r="A868" s="46" t="str">
        <f aca="false">Orders!A868</f>
        <v>ORD-00867</v>
      </c>
      <c r="B868" s="46" t="str">
        <f aca="false">PROPER(TRIM(Orders!K868))</f>
        <v>Hyderabad</v>
      </c>
      <c r="C868" s="46" t="str">
        <f aca="false">IFERROR(VLOOKUP(Orders!D868,Products!$A$2:$F$61,3,FALSE()),"Not Found")</f>
        <v>Home</v>
      </c>
      <c r="D868" s="46" t="str">
        <f aca="false">IFERROR(VLOOKUP(Orders!C868,Customers!$A$2:$F$301,5,FALSE()),"Not Found")</f>
        <v>Retail</v>
      </c>
      <c r="E868" s="46" t="n">
        <f aca="false">IFERROR(VLOOKUP(Orders!C868,Customers!$A$2:$F$301,3,FALSE()),"Not Found")</f>
        <v>29</v>
      </c>
      <c r="F868" s="46" t="str">
        <f aca="false">IFERROR(VLOOKUP(Orders!E868,Sales_Reps!$A$2:$E$31,3,FALSE()),"Not Found")</f>
        <v>West</v>
      </c>
      <c r="G868" s="46" t="n">
        <f aca="false">IFERROR(VLOOKUP(Orders!D868,Products!$A$2:$F$61,4,FALSE()),"")</f>
        <v>519</v>
      </c>
      <c r="H868" s="47" t="n">
        <f aca="false">IF(G868="","",(Orders!G868-G868)/Orders!G868)</f>
        <v>0.519444444444445</v>
      </c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</row>
    <row r="869" customFormat="false" ht="15" hidden="false" customHeight="false" outlineLevel="0" collapsed="false">
      <c r="A869" s="46" t="str">
        <f aca="false">Orders!A869</f>
        <v>ORD-00868</v>
      </c>
      <c r="B869" s="46" t="str">
        <f aca="false">PROPER(TRIM(Orders!K869))</f>
        <v>Delhi</v>
      </c>
      <c r="C869" s="46" t="str">
        <f aca="false">IFERROR(VLOOKUP(Orders!D869,Products!$A$2:$F$61,3,FALSE()),"Not Found")</f>
        <v>Home</v>
      </c>
      <c r="D869" s="46" t="str">
        <f aca="false">IFERROR(VLOOKUP(Orders!C869,Customers!$A$2:$F$301,5,FALSE()),"Not Found")</f>
        <v>Retail</v>
      </c>
      <c r="E869" s="46" t="n">
        <f aca="false">IFERROR(VLOOKUP(Orders!C869,Customers!$A$2:$F$301,3,FALSE()),"Not Found")</f>
        <v>24</v>
      </c>
      <c r="F869" s="46" t="str">
        <f aca="false">IFERROR(VLOOKUP(Orders!E869,Sales_Reps!$A$2:$E$31,3,FALSE()),"Not Found")</f>
        <v>North</v>
      </c>
      <c r="G869" s="46" t="n">
        <f aca="false">IFERROR(VLOOKUP(Orders!D869,Products!$A$2:$F$61,4,FALSE()),"")</f>
        <v>1556</v>
      </c>
      <c r="H869" s="47" t="n">
        <f aca="false">IF(G869="","",(Orders!G869-G869)/Orders!G869)</f>
        <v>0.521230769230769</v>
      </c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</row>
    <row r="870" customFormat="false" ht="15" hidden="false" customHeight="false" outlineLevel="0" collapsed="false">
      <c r="A870" s="46" t="str">
        <f aca="false">Orders!A870</f>
        <v>ORD-00869</v>
      </c>
      <c r="B870" s="46" t="str">
        <f aca="false">PROPER(TRIM(Orders!K870))</f>
        <v>Bengaluru</v>
      </c>
      <c r="C870" s="46" t="str">
        <f aca="false">IFERROR(VLOOKUP(Orders!D870,Products!$A$2:$F$61,3,FALSE()),"Not Found")</f>
        <v>Home</v>
      </c>
      <c r="D870" s="46" t="str">
        <f aca="false">IFERROR(VLOOKUP(Orders!C870,Customers!$A$2:$F$301,5,FALSE()),"Not Found")</f>
        <v>Corporate</v>
      </c>
      <c r="E870" s="46" t="n">
        <f aca="false">IFERROR(VLOOKUP(Orders!C870,Customers!$A$2:$F$301,3,FALSE()),"Not Found")</f>
        <v>42</v>
      </c>
      <c r="F870" s="46" t="str">
        <f aca="false">IFERROR(VLOOKUP(Orders!E870,Sales_Reps!$A$2:$E$31,3,FALSE()),"Not Found")</f>
        <v>East</v>
      </c>
      <c r="G870" s="46" t="n">
        <f aca="false">IFERROR(VLOOKUP(Orders!D870,Products!$A$2:$F$61,4,FALSE()),"")</f>
        <v>288</v>
      </c>
      <c r="H870" s="47" t="n">
        <f aca="false">IF(G870="","",(Orders!G870-G870)/Orders!G870)</f>
        <v>0.221621621621622</v>
      </c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</row>
    <row r="871" customFormat="false" ht="15" hidden="false" customHeight="false" outlineLevel="0" collapsed="false">
      <c r="A871" s="46" t="str">
        <f aca="false">Orders!A871</f>
        <v>ORD-00870</v>
      </c>
      <c r="B871" s="46" t="str">
        <f aca="false">PROPER(TRIM(Orders!K871))</f>
        <v>Pune</v>
      </c>
      <c r="C871" s="46" t="str">
        <f aca="false">IFERROR(VLOOKUP(Orders!D871,Products!$A$2:$F$61,3,FALSE()),"Not Found")</f>
        <v>Home</v>
      </c>
      <c r="D871" s="46" t="str">
        <f aca="false">IFERROR(VLOOKUP(Orders!C871,Customers!$A$2:$F$301,5,FALSE()),"Not Found")</f>
        <v>Not Found</v>
      </c>
      <c r="E871" s="46" t="str">
        <f aca="false">IFERROR(VLOOKUP(Orders!C871,Customers!$A$2:$F$301,3,FALSE()),"Not Found")</f>
        <v>Not Found</v>
      </c>
      <c r="F871" s="46" t="str">
        <f aca="false">IFERROR(VLOOKUP(Orders!E871,Sales_Reps!$A$2:$E$31,3,FALSE()),"Not Found")</f>
        <v>West</v>
      </c>
      <c r="G871" s="46" t="n">
        <f aca="false">IFERROR(VLOOKUP(Orders!D871,Products!$A$2:$F$61,4,FALSE()),"")</f>
        <v>2549</v>
      </c>
      <c r="H871" s="47" t="n">
        <f aca="false">IF(G871="","",(Orders!G871-G871)/Orders!G871)</f>
        <v>0.535701275045537</v>
      </c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</row>
    <row r="872" customFormat="false" ht="15" hidden="false" customHeight="false" outlineLevel="0" collapsed="false">
      <c r="A872" s="46" t="str">
        <f aca="false">Orders!A872</f>
        <v>ORD-00871</v>
      </c>
      <c r="B872" s="46" t="str">
        <f aca="false">PROPER(TRIM(Orders!K872))</f>
        <v>Mumbai</v>
      </c>
      <c r="C872" s="46" t="str">
        <f aca="false">IFERROR(VLOOKUP(Orders!D872,Products!$A$2:$F$61,3,FALSE()),"Not Found")</f>
        <v>Electronics</v>
      </c>
      <c r="D872" s="46" t="str">
        <f aca="false">IFERROR(VLOOKUP(Orders!C872,Customers!$A$2:$F$301,5,FALSE()),"Not Found")</f>
        <v>Retail</v>
      </c>
      <c r="E872" s="46" t="n">
        <f aca="false">IFERROR(VLOOKUP(Orders!C872,Customers!$A$2:$F$301,3,FALSE()),"Not Found")</f>
        <v>38</v>
      </c>
      <c r="F872" s="46" t="str">
        <f aca="false">IFERROR(VLOOKUP(Orders!E872,Sales_Reps!$A$2:$E$31,3,FALSE()),"Not Found")</f>
        <v>West</v>
      </c>
      <c r="G872" s="46" t="n">
        <f aca="false">IFERROR(VLOOKUP(Orders!D872,Products!$A$2:$F$61,4,FALSE()),"")</f>
        <v>2865</v>
      </c>
      <c r="H872" s="47" t="n">
        <f aca="false">IF(G872="","",(Orders!G872-G872)/Orders!G872)</f>
        <v>0.278337531486146</v>
      </c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</row>
    <row r="873" customFormat="false" ht="15" hidden="false" customHeight="false" outlineLevel="0" collapsed="false">
      <c r="A873" s="46" t="str">
        <f aca="false">Orders!A873</f>
        <v>ORD-00872</v>
      </c>
      <c r="B873" s="46" t="str">
        <f aca="false">PROPER(TRIM(Orders!K873))</f>
        <v>Hyderabad</v>
      </c>
      <c r="C873" s="46" t="str">
        <f aca="false">IFERROR(VLOOKUP(Orders!D873,Products!$A$2:$F$61,3,FALSE()),"Not Found")</f>
        <v>Electronics</v>
      </c>
      <c r="D873" s="46" t="str">
        <f aca="false">IFERROR(VLOOKUP(Orders!C873,Customers!$A$2:$F$301,5,FALSE()),"Not Found")</f>
        <v>Retail</v>
      </c>
      <c r="E873" s="46" t="n">
        <f aca="false">IFERROR(VLOOKUP(Orders!C873,Customers!$A$2:$F$301,3,FALSE()),"Not Found")</f>
        <v>52</v>
      </c>
      <c r="F873" s="46" t="str">
        <f aca="false">IFERROR(VLOOKUP(Orders!E873,Sales_Reps!$A$2:$E$31,3,FALSE()),"Not Found")</f>
        <v>North</v>
      </c>
      <c r="G873" s="46" t="n">
        <f aca="false">IFERROR(VLOOKUP(Orders!D873,Products!$A$2:$F$61,4,FALSE()),"")</f>
        <v>517</v>
      </c>
      <c r="H873" s="47" t="n">
        <f aca="false">IF(G873="","",(Orders!G873-G873)/Orders!G873)</f>
        <v>0.576229508196721</v>
      </c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</row>
    <row r="874" customFormat="false" ht="15" hidden="false" customHeight="false" outlineLevel="0" collapsed="false">
      <c r="A874" s="46" t="str">
        <f aca="false">Orders!A874</f>
        <v>ORD-00873</v>
      </c>
      <c r="B874" s="46" t="str">
        <f aca="false">PROPER(TRIM(Orders!K874))</f>
        <v>Hyderabad</v>
      </c>
      <c r="C874" s="46" t="str">
        <f aca="false">IFERROR(VLOOKUP(Orders!D874,Products!$A$2:$F$61,3,FALSE()),"Not Found")</f>
        <v>Apparel</v>
      </c>
      <c r="D874" s="46" t="str">
        <f aca="false">IFERROR(VLOOKUP(Orders!C874,Customers!$A$2:$F$301,5,FALSE()),"Not Found")</f>
        <v>Retail</v>
      </c>
      <c r="E874" s="46" t="n">
        <f aca="false">IFERROR(VLOOKUP(Orders!C874,Customers!$A$2:$F$301,3,FALSE()),"Not Found")</f>
        <v>64</v>
      </c>
      <c r="F874" s="46" t="str">
        <f aca="false">IFERROR(VLOOKUP(Orders!E874,Sales_Reps!$A$2:$E$31,3,FALSE()),"Not Found")</f>
        <v>West</v>
      </c>
      <c r="G874" s="46" t="n">
        <f aca="false">IFERROR(VLOOKUP(Orders!D874,Products!$A$2:$F$61,4,FALSE()),"")</f>
        <v>1886</v>
      </c>
      <c r="H874" s="47" t="n">
        <f aca="false">IF(G874="","",(Orders!G874-G874)/Orders!G874)</f>
        <v>0.403164556962025</v>
      </c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</row>
    <row r="875" customFormat="false" ht="15" hidden="false" customHeight="false" outlineLevel="0" collapsed="false">
      <c r="A875" s="46" t="str">
        <f aca="false">Orders!A875</f>
        <v>ORD-00874</v>
      </c>
      <c r="B875" s="46" t="str">
        <f aca="false">PROPER(TRIM(Orders!K875))</f>
        <v>Mumbai</v>
      </c>
      <c r="C875" s="46" t="str">
        <f aca="false">IFERROR(VLOOKUP(Orders!D875,Products!$A$2:$F$61,3,FALSE()),"Not Found")</f>
        <v>Electronics</v>
      </c>
      <c r="D875" s="46" t="str">
        <f aca="false">IFERROR(VLOOKUP(Orders!C875,Customers!$A$2:$F$301,5,FALSE()),"Not Found")</f>
        <v>Retail</v>
      </c>
      <c r="E875" s="46" t="n">
        <f aca="false">IFERROR(VLOOKUP(Orders!C875,Customers!$A$2:$F$301,3,FALSE()),"Not Found")</f>
        <v>44</v>
      </c>
      <c r="F875" s="46" t="str">
        <f aca="false">IFERROR(VLOOKUP(Orders!E875,Sales_Reps!$A$2:$E$31,3,FALSE()),"Not Found")</f>
        <v>North</v>
      </c>
      <c r="G875" s="46" t="n">
        <f aca="false">IFERROR(VLOOKUP(Orders!D875,Products!$A$2:$F$61,4,FALSE()),"")</f>
        <v>128</v>
      </c>
      <c r="H875" s="47" t="n">
        <f aca="false">IF(G875="","",(Orders!G875-G875)/Orders!G875)</f>
        <v>0.573333333333333</v>
      </c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</row>
    <row r="876" customFormat="false" ht="15" hidden="false" customHeight="false" outlineLevel="0" collapsed="false">
      <c r="A876" s="46" t="str">
        <f aca="false">Orders!A876</f>
        <v>ORD-00875</v>
      </c>
      <c r="B876" s="46" t="str">
        <f aca="false">PROPER(TRIM(Orders!K876))</f>
        <v>Chennai</v>
      </c>
      <c r="C876" s="46" t="str">
        <f aca="false">IFERROR(VLOOKUP(Orders!D876,Products!$A$2:$F$61,3,FALSE()),"Not Found")</f>
        <v>Beauty</v>
      </c>
      <c r="D876" s="46" t="str">
        <f aca="false">IFERROR(VLOOKUP(Orders!C876,Customers!$A$2:$F$301,5,FALSE()),"Not Found")</f>
        <v>SMB</v>
      </c>
      <c r="E876" s="46" t="n">
        <f aca="false">IFERROR(VLOOKUP(Orders!C876,Customers!$A$2:$F$301,3,FALSE()),"Not Found")</f>
        <v>51</v>
      </c>
      <c r="F876" s="46" t="str">
        <f aca="false">IFERROR(VLOOKUP(Orders!E876,Sales_Reps!$A$2:$E$31,3,FALSE()),"Not Found")</f>
        <v>West</v>
      </c>
      <c r="G876" s="46" t="n">
        <f aca="false">IFERROR(VLOOKUP(Orders!D876,Products!$A$2:$F$61,4,FALSE()),"")</f>
        <v>2420</v>
      </c>
      <c r="H876" s="47" t="n">
        <f aca="false">IF(G876="","",(Orders!G876-G876)/Orders!G876)</f>
        <v>0.298550724637681</v>
      </c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</row>
    <row r="877" customFormat="false" ht="15" hidden="false" customHeight="false" outlineLevel="0" collapsed="false">
      <c r="A877" s="46" t="str">
        <f aca="false">Orders!A877</f>
        <v>ORD-00876</v>
      </c>
      <c r="B877" s="46" t="str">
        <f aca="false">PROPER(TRIM(Orders!K877))</f>
        <v>Chennai</v>
      </c>
      <c r="C877" s="46" t="str">
        <f aca="false">IFERROR(VLOOKUP(Orders!D877,Products!$A$2:$F$61,3,FALSE()),"Not Found")</f>
        <v>Apparel</v>
      </c>
      <c r="D877" s="46" t="str">
        <f aca="false">IFERROR(VLOOKUP(Orders!C877,Customers!$A$2:$F$301,5,FALSE()),"Not Found")</f>
        <v>Retail</v>
      </c>
      <c r="E877" s="46" t="n">
        <f aca="false">IFERROR(VLOOKUP(Orders!C877,Customers!$A$2:$F$301,3,FALSE()),"Not Found")</f>
        <v>38</v>
      </c>
      <c r="F877" s="46" t="str">
        <f aca="false">IFERROR(VLOOKUP(Orders!E877,Sales_Reps!$A$2:$E$31,3,FALSE()),"Not Found")</f>
        <v>West</v>
      </c>
      <c r="G877" s="46" t="n">
        <f aca="false">IFERROR(VLOOKUP(Orders!D877,Products!$A$2:$F$61,4,FALSE()),"")</f>
        <v>2509</v>
      </c>
      <c r="H877" s="47" t="n">
        <f aca="false">IF(G877="","",(Orders!G877-G877)/Orders!G877)</f>
        <v>0.306906077348066</v>
      </c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</row>
    <row r="878" customFormat="false" ht="15" hidden="false" customHeight="false" outlineLevel="0" collapsed="false">
      <c r="A878" s="46" t="str">
        <f aca="false">Orders!A878</f>
        <v>ORD-00877</v>
      </c>
      <c r="B878" s="46" t="str">
        <f aca="false">PROPER(TRIM(Orders!K878))</f>
        <v>Mumbai</v>
      </c>
      <c r="C878" s="46" t="str">
        <f aca="false">IFERROR(VLOOKUP(Orders!D878,Products!$A$2:$F$61,3,FALSE()),"Not Found")</f>
        <v>Grocery</v>
      </c>
      <c r="D878" s="46" t="str">
        <f aca="false">IFERROR(VLOOKUP(Orders!C878,Customers!$A$2:$F$301,5,FALSE()),"Not Found")</f>
        <v>Retail</v>
      </c>
      <c r="E878" s="46" t="n">
        <f aca="false">IFERROR(VLOOKUP(Orders!C878,Customers!$A$2:$F$301,3,FALSE()),"Not Found")</f>
        <v>36</v>
      </c>
      <c r="F878" s="46" t="str">
        <f aca="false">IFERROR(VLOOKUP(Orders!E878,Sales_Reps!$A$2:$E$31,3,FALSE()),"Not Found")</f>
        <v>South</v>
      </c>
      <c r="G878" s="46" t="n">
        <f aca="false">IFERROR(VLOOKUP(Orders!D878,Products!$A$2:$F$61,4,FALSE()),"")</f>
        <v>1203</v>
      </c>
      <c r="H878" s="47" t="n">
        <f aca="false">IF(G878="","",(Orders!G878-G878)/Orders!G878)</f>
        <v>0.470044052863436</v>
      </c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</row>
    <row r="879" customFormat="false" ht="15" hidden="false" customHeight="false" outlineLevel="0" collapsed="false">
      <c r="A879" s="46" t="str">
        <f aca="false">Orders!A879</f>
        <v>ORD-00878</v>
      </c>
      <c r="B879" s="46" t="str">
        <f aca="false">PROPER(TRIM(Orders!K879))</f>
        <v>Mumbai</v>
      </c>
      <c r="C879" s="46" t="str">
        <f aca="false">IFERROR(VLOOKUP(Orders!D879,Products!$A$2:$F$61,3,FALSE()),"Not Found")</f>
        <v>Apparel</v>
      </c>
      <c r="D879" s="46" t="str">
        <f aca="false">IFERROR(VLOOKUP(Orders!C879,Customers!$A$2:$F$301,5,FALSE()),"Not Found")</f>
        <v>Corporate</v>
      </c>
      <c r="E879" s="46" t="n">
        <f aca="false">IFERROR(VLOOKUP(Orders!C879,Customers!$A$2:$F$301,3,FALSE()),"Not Found")</f>
        <v>42</v>
      </c>
      <c r="F879" s="46" t="str">
        <f aca="false">IFERROR(VLOOKUP(Orders!E879,Sales_Reps!$A$2:$E$31,3,FALSE()),"Not Found")</f>
        <v>West</v>
      </c>
      <c r="G879" s="46" t="n">
        <f aca="false">IFERROR(VLOOKUP(Orders!D879,Products!$A$2:$F$61,4,FALSE()),"")</f>
        <v>1962</v>
      </c>
      <c r="H879" s="47" t="n">
        <f aca="false">IF(G879="","",(Orders!G879-G879)/Orders!G879)</f>
        <v>0.278676470588235</v>
      </c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</row>
    <row r="880" customFormat="false" ht="15" hidden="false" customHeight="false" outlineLevel="0" collapsed="false">
      <c r="A880" s="46" t="str">
        <f aca="false">Orders!A880</f>
        <v>ORD-00879</v>
      </c>
      <c r="B880" s="46" t="str">
        <f aca="false">PROPER(TRIM(Orders!K880))</f>
        <v>Chennai</v>
      </c>
      <c r="C880" s="46" t="str">
        <f aca="false">IFERROR(VLOOKUP(Orders!D880,Products!$A$2:$F$61,3,FALSE()),"Not Found")</f>
        <v>Grocery</v>
      </c>
      <c r="D880" s="46" t="str">
        <f aca="false">IFERROR(VLOOKUP(Orders!C880,Customers!$A$2:$F$301,5,FALSE()),"Not Found")</f>
        <v>Retail</v>
      </c>
      <c r="E880" s="46" t="n">
        <f aca="false">IFERROR(VLOOKUP(Orders!C880,Customers!$A$2:$F$301,3,FALSE()),"Not Found")</f>
        <v>31</v>
      </c>
      <c r="F880" s="46" t="str">
        <f aca="false">IFERROR(VLOOKUP(Orders!E880,Sales_Reps!$A$2:$E$31,3,FALSE()),"Not Found")</f>
        <v>East</v>
      </c>
      <c r="G880" s="46" t="n">
        <f aca="false">IFERROR(VLOOKUP(Orders!D880,Products!$A$2:$F$61,4,FALSE()),"")</f>
        <v>2436</v>
      </c>
      <c r="H880" s="47" t="n">
        <f aca="false">IF(G880="","",(Orders!G880-G880)/Orders!G880)</f>
        <v>0.355555555555556</v>
      </c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</row>
    <row r="881" customFormat="false" ht="15" hidden="false" customHeight="false" outlineLevel="0" collapsed="false">
      <c r="A881" s="46" t="str">
        <f aca="false">Orders!A881</f>
        <v>ORD-00880</v>
      </c>
      <c r="B881" s="46" t="str">
        <f aca="false">PROPER(TRIM(Orders!K881))</f>
        <v>Chennai</v>
      </c>
      <c r="C881" s="46" t="str">
        <f aca="false">IFERROR(VLOOKUP(Orders!D881,Products!$A$2:$F$61,3,FALSE()),"Not Found")</f>
        <v>Grocery</v>
      </c>
      <c r="D881" s="46" t="str">
        <f aca="false">IFERROR(VLOOKUP(Orders!C881,Customers!$A$2:$F$301,5,FALSE()),"Not Found")</f>
        <v>Retail</v>
      </c>
      <c r="E881" s="46" t="n">
        <f aca="false">IFERROR(VLOOKUP(Orders!C881,Customers!$A$2:$F$301,3,FALSE()),"Not Found")</f>
        <v>34</v>
      </c>
      <c r="F881" s="46" t="str">
        <f aca="false">IFERROR(VLOOKUP(Orders!E881,Sales_Reps!$A$2:$E$31,3,FALSE()),"Not Found")</f>
        <v>South</v>
      </c>
      <c r="G881" s="46" t="n">
        <f aca="false">IFERROR(VLOOKUP(Orders!D881,Products!$A$2:$F$61,4,FALSE()),"")</f>
        <v>2911</v>
      </c>
      <c r="H881" s="47" t="n">
        <f aca="false">IF(G881="","",(Orders!G881-G881)/Orders!G881)</f>
        <v>0.283004926108374</v>
      </c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</row>
    <row r="882" customFormat="false" ht="15" hidden="false" customHeight="false" outlineLevel="0" collapsed="false">
      <c r="A882" s="46" t="str">
        <f aca="false">Orders!A882</f>
        <v>ORD-00881</v>
      </c>
      <c r="B882" s="46" t="str">
        <f aca="false">PROPER(TRIM(Orders!K882))</f>
        <v>Delhi</v>
      </c>
      <c r="C882" s="46" t="str">
        <f aca="false">IFERROR(VLOOKUP(Orders!D882,Products!$A$2:$F$61,3,FALSE()),"Not Found")</f>
        <v>Grocery</v>
      </c>
      <c r="D882" s="46" t="str">
        <f aca="false">IFERROR(VLOOKUP(Orders!C882,Customers!$A$2:$F$301,5,FALSE()),"Not Found")</f>
        <v>Retail</v>
      </c>
      <c r="E882" s="46" t="n">
        <f aca="false">IFERROR(VLOOKUP(Orders!C882,Customers!$A$2:$F$301,3,FALSE()),"Not Found")</f>
        <v>44</v>
      </c>
      <c r="F882" s="46" t="str">
        <f aca="false">IFERROR(VLOOKUP(Orders!E882,Sales_Reps!$A$2:$E$31,3,FALSE()),"Not Found")</f>
        <v>South</v>
      </c>
      <c r="G882" s="46" t="n">
        <f aca="false">IFERROR(VLOOKUP(Orders!D882,Products!$A$2:$F$61,4,FALSE()),"")</f>
        <v>1435</v>
      </c>
      <c r="H882" s="47" t="n">
        <f aca="false">IF(G882="","",(Orders!G882-G882)/Orders!G882)</f>
        <v>0.480072463768116</v>
      </c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</row>
    <row r="883" customFormat="false" ht="15" hidden="false" customHeight="false" outlineLevel="0" collapsed="false">
      <c r="A883" s="46" t="str">
        <f aca="false">Orders!A883</f>
        <v>ORD-00882</v>
      </c>
      <c r="B883" s="46" t="str">
        <f aca="false">PROPER(TRIM(Orders!K883))</f>
        <v>Chennai</v>
      </c>
      <c r="C883" s="46" t="str">
        <f aca="false">IFERROR(VLOOKUP(Orders!D883,Products!$A$2:$F$61,3,FALSE()),"Not Found")</f>
        <v>Home</v>
      </c>
      <c r="D883" s="46" t="str">
        <f aca="false">IFERROR(VLOOKUP(Orders!C883,Customers!$A$2:$F$301,5,FALSE()),"Not Found")</f>
        <v>Retail</v>
      </c>
      <c r="E883" s="46" t="n">
        <f aca="false">IFERROR(VLOOKUP(Orders!C883,Customers!$A$2:$F$301,3,FALSE()),"Not Found")</f>
        <v>37</v>
      </c>
      <c r="F883" s="46" t="str">
        <f aca="false">IFERROR(VLOOKUP(Orders!E883,Sales_Reps!$A$2:$E$31,3,FALSE()),"Not Found")</f>
        <v>East</v>
      </c>
      <c r="G883" s="46" t="n">
        <f aca="false">IFERROR(VLOOKUP(Orders!D883,Products!$A$2:$F$61,4,FALSE()),"")</f>
        <v>519</v>
      </c>
      <c r="H883" s="47" t="n">
        <f aca="false">IF(G883="","",(Orders!G883-G883)/Orders!G883)</f>
        <v>0.519444444444445</v>
      </c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</row>
    <row r="884" customFormat="false" ht="15" hidden="false" customHeight="false" outlineLevel="0" collapsed="false">
      <c r="A884" s="46" t="str">
        <f aca="false">Orders!A884</f>
        <v>ORD-00883</v>
      </c>
      <c r="B884" s="46" t="str">
        <f aca="false">PROPER(TRIM(Orders!K884))</f>
        <v>Mumbai</v>
      </c>
      <c r="C884" s="46" t="str">
        <f aca="false">IFERROR(VLOOKUP(Orders!D884,Products!$A$2:$F$61,3,FALSE()),"Not Found")</f>
        <v>Home</v>
      </c>
      <c r="D884" s="46" t="str">
        <f aca="false">IFERROR(VLOOKUP(Orders!C884,Customers!$A$2:$F$301,5,FALSE()),"Not Found")</f>
        <v>Corporate</v>
      </c>
      <c r="E884" s="46" t="n">
        <f aca="false">IFERROR(VLOOKUP(Orders!C884,Customers!$A$2:$F$301,3,FALSE()),"Not Found")</f>
        <v>42</v>
      </c>
      <c r="F884" s="46" t="str">
        <f aca="false">IFERROR(VLOOKUP(Orders!E884,Sales_Reps!$A$2:$E$31,3,FALSE()),"Not Found")</f>
        <v>East</v>
      </c>
      <c r="G884" s="46" t="n">
        <f aca="false">IFERROR(VLOOKUP(Orders!D884,Products!$A$2:$F$61,4,FALSE()),"")</f>
        <v>2459</v>
      </c>
      <c r="H884" s="47" t="n">
        <f aca="false">IF(G884="","",(Orders!G884-G884)/Orders!G884)</f>
        <v>0.515944881889764</v>
      </c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</row>
    <row r="885" customFormat="false" ht="15" hidden="false" customHeight="false" outlineLevel="0" collapsed="false">
      <c r="A885" s="46" t="str">
        <f aca="false">Orders!A885</f>
        <v>ORD-00884</v>
      </c>
      <c r="B885" s="46" t="str">
        <f aca="false">PROPER(TRIM(Orders!K885))</f>
        <v>Pune</v>
      </c>
      <c r="C885" s="46" t="str">
        <f aca="false">IFERROR(VLOOKUP(Orders!D885,Products!$A$2:$F$61,3,FALSE()),"Not Found")</f>
        <v>Beauty</v>
      </c>
      <c r="D885" s="46" t="str">
        <f aca="false">IFERROR(VLOOKUP(Orders!C885,Customers!$A$2:$F$301,5,FALSE()),"Not Found")</f>
        <v>Retail</v>
      </c>
      <c r="E885" s="46" t="n">
        <f aca="false">IFERROR(VLOOKUP(Orders!C885,Customers!$A$2:$F$301,3,FALSE()),"Not Found")</f>
        <v>56</v>
      </c>
      <c r="F885" s="46" t="str">
        <f aca="false">IFERROR(VLOOKUP(Orders!E885,Sales_Reps!$A$2:$E$31,3,FALSE()),"Not Found")</f>
        <v>West</v>
      </c>
      <c r="G885" s="46" t="n">
        <f aca="false">IFERROR(VLOOKUP(Orders!D885,Products!$A$2:$F$61,4,FALSE()),"")</f>
        <v>2768</v>
      </c>
      <c r="H885" s="47" t="n">
        <f aca="false">IF(G885="","",(Orders!G885-G885)/Orders!G885)</f>
        <v>0.432786885245902</v>
      </c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</row>
    <row r="886" customFormat="false" ht="15" hidden="false" customHeight="false" outlineLevel="0" collapsed="false">
      <c r="A886" s="46" t="str">
        <f aca="false">Orders!A886</f>
        <v>ORD-00885</v>
      </c>
      <c r="B886" s="46" t="str">
        <f aca="false">PROPER(TRIM(Orders!K886))</f>
        <v>Mumbai</v>
      </c>
      <c r="C886" s="46" t="str">
        <f aca="false">IFERROR(VLOOKUP(Orders!D886,Products!$A$2:$F$61,3,FALSE()),"Not Found")</f>
        <v>Grocery</v>
      </c>
      <c r="D886" s="46" t="str">
        <f aca="false">IFERROR(VLOOKUP(Orders!C886,Customers!$A$2:$F$301,5,FALSE()),"Not Found")</f>
        <v>SMB</v>
      </c>
      <c r="E886" s="46" t="n">
        <f aca="false">IFERROR(VLOOKUP(Orders!C886,Customers!$A$2:$F$301,3,FALSE()),"Not Found")</f>
        <v>36</v>
      </c>
      <c r="F886" s="46" t="str">
        <f aca="false">IFERROR(VLOOKUP(Orders!E886,Sales_Reps!$A$2:$E$31,3,FALSE()),"Not Found")</f>
        <v>West</v>
      </c>
      <c r="G886" s="46" t="n">
        <f aca="false">IFERROR(VLOOKUP(Orders!D886,Products!$A$2:$F$61,4,FALSE()),"")</f>
        <v>1412</v>
      </c>
      <c r="H886" s="47" t="n">
        <f aca="false">IF(G886="","",(Orders!G886-G886)/Orders!G886)</f>
        <v>0.377973568281938</v>
      </c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</row>
    <row r="887" customFormat="false" ht="15" hidden="false" customHeight="false" outlineLevel="0" collapsed="false">
      <c r="A887" s="46" t="str">
        <f aca="false">Orders!A887</f>
        <v>ORD-00886</v>
      </c>
      <c r="B887" s="46" t="str">
        <f aca="false">PROPER(TRIM(Orders!K887))</f>
        <v>Delhi</v>
      </c>
      <c r="C887" s="46" t="str">
        <f aca="false">IFERROR(VLOOKUP(Orders!D887,Products!$A$2:$F$61,3,FALSE()),"Not Found")</f>
        <v>Electronics</v>
      </c>
      <c r="D887" s="46" t="str">
        <f aca="false">IFERROR(VLOOKUP(Orders!C887,Customers!$A$2:$F$301,5,FALSE()),"Not Found")</f>
        <v>SMB</v>
      </c>
      <c r="E887" s="46" t="n">
        <f aca="false">IFERROR(VLOOKUP(Orders!C887,Customers!$A$2:$F$301,3,FALSE()),"Not Found")</f>
        <v>55</v>
      </c>
      <c r="F887" s="46" t="str">
        <f aca="false">IFERROR(VLOOKUP(Orders!E887,Sales_Reps!$A$2:$E$31,3,FALSE()),"Not Found")</f>
        <v>East</v>
      </c>
      <c r="G887" s="46" t="n">
        <f aca="false">IFERROR(VLOOKUP(Orders!D887,Products!$A$2:$F$61,4,FALSE()),"")</f>
        <v>2865</v>
      </c>
      <c r="H887" s="47" t="n">
        <f aca="false">IF(G887="","",(Orders!G887-G887)/Orders!G887)</f>
        <v>0.278337531486146</v>
      </c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</row>
    <row r="888" customFormat="false" ht="15" hidden="false" customHeight="false" outlineLevel="0" collapsed="false">
      <c r="A888" s="46" t="str">
        <f aca="false">Orders!A888</f>
        <v>ORD-00887</v>
      </c>
      <c r="B888" s="46" t="str">
        <f aca="false">PROPER(TRIM(Orders!K888))</f>
        <v>Mumbai</v>
      </c>
      <c r="C888" s="46" t="str">
        <f aca="false">IFERROR(VLOOKUP(Orders!D888,Products!$A$2:$F$61,3,FALSE()),"Not Found")</f>
        <v>Beauty</v>
      </c>
      <c r="D888" s="46" t="str">
        <f aca="false">IFERROR(VLOOKUP(Orders!C888,Customers!$A$2:$F$301,5,FALSE()),"Not Found")</f>
        <v>Retail</v>
      </c>
      <c r="E888" s="46" t="n">
        <f aca="false">IFERROR(VLOOKUP(Orders!C888,Customers!$A$2:$F$301,3,FALSE()),"Not Found")</f>
        <v>52</v>
      </c>
      <c r="F888" s="46" t="str">
        <f aca="false">IFERROR(VLOOKUP(Orders!E888,Sales_Reps!$A$2:$E$31,3,FALSE()),"Not Found")</f>
        <v>North</v>
      </c>
      <c r="G888" s="46" t="n">
        <f aca="false">IFERROR(VLOOKUP(Orders!D888,Products!$A$2:$F$61,4,FALSE()),"")</f>
        <v>2237</v>
      </c>
      <c r="H888" s="47" t="n">
        <f aca="false">IF(G888="","",(Orders!G888-G888)/Orders!G888)</f>
        <v>0.561372549019608</v>
      </c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</row>
    <row r="889" customFormat="false" ht="15" hidden="false" customHeight="false" outlineLevel="0" collapsed="false">
      <c r="A889" s="46" t="str">
        <f aca="false">Orders!A889</f>
        <v>ORD-00888</v>
      </c>
      <c r="B889" s="46" t="str">
        <f aca="false">PROPER(TRIM(Orders!K889))</f>
        <v>Delhi</v>
      </c>
      <c r="C889" s="46" t="str">
        <f aca="false">IFERROR(VLOOKUP(Orders!D889,Products!$A$2:$F$61,3,FALSE()),"Not Found")</f>
        <v>Sports</v>
      </c>
      <c r="D889" s="46" t="str">
        <f aca="false">IFERROR(VLOOKUP(Orders!C889,Customers!$A$2:$F$301,5,FALSE()),"Not Found")</f>
        <v>SMB</v>
      </c>
      <c r="E889" s="46" t="n">
        <f aca="false">IFERROR(VLOOKUP(Orders!C889,Customers!$A$2:$F$301,3,FALSE()),"Not Found")</f>
        <v>29</v>
      </c>
      <c r="F889" s="46" t="str">
        <f aca="false">IFERROR(VLOOKUP(Orders!E889,Sales_Reps!$A$2:$E$31,3,FALSE()),"Not Found")</f>
        <v>North</v>
      </c>
      <c r="G889" s="46" t="n">
        <f aca="false">IFERROR(VLOOKUP(Orders!D889,Products!$A$2:$F$61,4,FALSE()),"")</f>
        <v>147</v>
      </c>
      <c r="H889" s="47" t="n">
        <f aca="false">IF(G889="","",(Orders!G889-G889)/Orders!G889)</f>
        <v>0.226315789473684</v>
      </c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</row>
    <row r="890" customFormat="false" ht="15" hidden="false" customHeight="false" outlineLevel="0" collapsed="false">
      <c r="A890" s="46" t="str">
        <f aca="false">Orders!A890</f>
        <v>ORD-00889</v>
      </c>
      <c r="B890" s="46" t="str">
        <f aca="false">PROPER(TRIM(Orders!K890))</f>
        <v>Mumbai</v>
      </c>
      <c r="C890" s="46" t="str">
        <f aca="false">IFERROR(VLOOKUP(Orders!D890,Products!$A$2:$F$61,3,FALSE()),"Not Found")</f>
        <v>Beauty</v>
      </c>
      <c r="D890" s="46" t="str">
        <f aca="false">IFERROR(VLOOKUP(Orders!C890,Customers!$A$2:$F$301,5,FALSE()),"Not Found")</f>
        <v>Retail</v>
      </c>
      <c r="E890" s="46" t="n">
        <f aca="false">IFERROR(VLOOKUP(Orders!C890,Customers!$A$2:$F$301,3,FALSE()),"Not Found")</f>
        <v>42</v>
      </c>
      <c r="F890" s="46" t="str">
        <f aca="false">IFERROR(VLOOKUP(Orders!E890,Sales_Reps!$A$2:$E$31,3,FALSE()),"Not Found")</f>
        <v>West</v>
      </c>
      <c r="G890" s="46" t="n">
        <f aca="false">IFERROR(VLOOKUP(Orders!D890,Products!$A$2:$F$61,4,FALSE()),"")</f>
        <v>2617</v>
      </c>
      <c r="H890" s="47" t="n">
        <f aca="false">IF(G890="","",(Orders!G890-G890)/Orders!G890)</f>
        <v>0.569572368421053</v>
      </c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</row>
    <row r="891" customFormat="false" ht="15" hidden="false" customHeight="false" outlineLevel="0" collapsed="false">
      <c r="A891" s="46" t="str">
        <f aca="false">Orders!A891</f>
        <v>ORD-00890</v>
      </c>
      <c r="B891" s="46" t="str">
        <f aca="false">PROPER(TRIM(Orders!K891))</f>
        <v>Mumbai</v>
      </c>
      <c r="C891" s="46" t="str">
        <f aca="false">IFERROR(VLOOKUP(Orders!D891,Products!$A$2:$F$61,3,FALSE()),"Not Found")</f>
        <v>Sports</v>
      </c>
      <c r="D891" s="46" t="str">
        <f aca="false">IFERROR(VLOOKUP(Orders!C891,Customers!$A$2:$F$301,5,FALSE()),"Not Found")</f>
        <v>Retail</v>
      </c>
      <c r="E891" s="46" t="n">
        <f aca="false">IFERROR(VLOOKUP(Orders!C891,Customers!$A$2:$F$301,3,FALSE()),"Not Found")</f>
        <v>39</v>
      </c>
      <c r="F891" s="46" t="str">
        <f aca="false">IFERROR(VLOOKUP(Orders!E891,Sales_Reps!$A$2:$E$31,3,FALSE()),"Not Found")</f>
        <v>East</v>
      </c>
      <c r="G891" s="46" t="n">
        <f aca="false">IFERROR(VLOOKUP(Orders!D891,Products!$A$2:$F$61,4,FALSE()),"")</f>
        <v>705</v>
      </c>
      <c r="H891" s="47" t="n">
        <f aca="false">IF(G891="","",(Orders!G891-G891)/Orders!G891)</f>
        <v>0.265625</v>
      </c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</row>
    <row r="892" customFormat="false" ht="15" hidden="false" customHeight="false" outlineLevel="0" collapsed="false">
      <c r="A892" s="46" t="str">
        <f aca="false">Orders!A892</f>
        <v>ORD-00891</v>
      </c>
      <c r="B892" s="46" t="str">
        <f aca="false">PROPER(TRIM(Orders!K892))</f>
        <v>Delhi</v>
      </c>
      <c r="C892" s="46" t="str">
        <f aca="false">IFERROR(VLOOKUP(Orders!D892,Products!$A$2:$F$61,3,FALSE()),"Not Found")</f>
        <v>Beauty</v>
      </c>
      <c r="D892" s="46" t="str">
        <f aca="false">IFERROR(VLOOKUP(Orders!C892,Customers!$A$2:$F$301,5,FALSE()),"Not Found")</f>
        <v>SMB</v>
      </c>
      <c r="E892" s="46" t="n">
        <f aca="false">IFERROR(VLOOKUP(Orders!C892,Customers!$A$2:$F$301,3,FALSE()),"Not Found")</f>
        <v>48</v>
      </c>
      <c r="F892" s="46" t="str">
        <f aca="false">IFERROR(VLOOKUP(Orders!E892,Sales_Reps!$A$2:$E$31,3,FALSE()),"Not Found")</f>
        <v>North</v>
      </c>
      <c r="G892" s="46" t="n">
        <f aca="false">IFERROR(VLOOKUP(Orders!D892,Products!$A$2:$F$61,4,FALSE()),"")</f>
        <v>647</v>
      </c>
      <c r="H892" s="47" t="n">
        <f aca="false">IF(G892="","",(Orders!G892-G892)/Orders!G892)</f>
        <v>0.57987012987013</v>
      </c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</row>
    <row r="893" customFormat="false" ht="15" hidden="false" customHeight="false" outlineLevel="0" collapsed="false">
      <c r="A893" s="46" t="str">
        <f aca="false">Orders!A893</f>
        <v>ORD-00892</v>
      </c>
      <c r="B893" s="46" t="str">
        <f aca="false">PROPER(TRIM(Orders!K893))</f>
        <v>Delhi</v>
      </c>
      <c r="C893" s="46" t="str">
        <f aca="false">IFERROR(VLOOKUP(Orders!D893,Products!$A$2:$F$61,3,FALSE()),"Not Found")</f>
        <v>Electronics</v>
      </c>
      <c r="D893" s="46" t="str">
        <f aca="false">IFERROR(VLOOKUP(Orders!C893,Customers!$A$2:$F$301,5,FALSE()),"Not Found")</f>
        <v>Retail</v>
      </c>
      <c r="E893" s="46" t="n">
        <f aca="false">IFERROR(VLOOKUP(Orders!C893,Customers!$A$2:$F$301,3,FALSE()),"Not Found")</f>
        <v>54</v>
      </c>
      <c r="F893" s="46" t="str">
        <f aca="false">IFERROR(VLOOKUP(Orders!E893,Sales_Reps!$A$2:$E$31,3,FALSE()),"Not Found")</f>
        <v>South</v>
      </c>
      <c r="G893" s="46" t="n">
        <f aca="false">IFERROR(VLOOKUP(Orders!D893,Products!$A$2:$F$61,4,FALSE()),"")</f>
        <v>128</v>
      </c>
      <c r="H893" s="47" t="n">
        <f aca="false">IF(G893="","",(Orders!G893-G893)/Orders!G893)</f>
        <v>0.573333333333333</v>
      </c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</row>
    <row r="894" customFormat="false" ht="15" hidden="false" customHeight="false" outlineLevel="0" collapsed="false">
      <c r="A894" s="46" t="str">
        <f aca="false">Orders!A894</f>
        <v>ORD-00893</v>
      </c>
      <c r="B894" s="46" t="str">
        <f aca="false">PROPER(TRIM(Orders!K894))</f>
        <v>Hyderabad</v>
      </c>
      <c r="C894" s="46" t="str">
        <f aca="false">IFERROR(VLOOKUP(Orders!D894,Products!$A$2:$F$61,3,FALSE()),"Not Found")</f>
        <v>Beauty</v>
      </c>
      <c r="D894" s="46" t="str">
        <f aca="false">IFERROR(VLOOKUP(Orders!C894,Customers!$A$2:$F$301,5,FALSE()),"Not Found")</f>
        <v>SMB</v>
      </c>
      <c r="E894" s="46" t="n">
        <f aca="false">IFERROR(VLOOKUP(Orders!C894,Customers!$A$2:$F$301,3,FALSE()),"Not Found")</f>
        <v>48</v>
      </c>
      <c r="F894" s="46" t="str">
        <f aca="false">IFERROR(VLOOKUP(Orders!E894,Sales_Reps!$A$2:$E$31,3,FALSE()),"Not Found")</f>
        <v>South</v>
      </c>
      <c r="G894" s="46" t="n">
        <f aca="false">IFERROR(VLOOKUP(Orders!D894,Products!$A$2:$F$61,4,FALSE()),"")</f>
        <v>2768</v>
      </c>
      <c r="H894" s="47" t="n">
        <f aca="false">IF(G894="","",(Orders!G894-G894)/Orders!G894)</f>
        <v>0.432786885245902</v>
      </c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</row>
    <row r="895" customFormat="false" ht="15" hidden="false" customHeight="false" outlineLevel="0" collapsed="false">
      <c r="A895" s="46" t="str">
        <f aca="false">Orders!A895</f>
        <v>ORD-00894</v>
      </c>
      <c r="B895" s="46" t="str">
        <f aca="false">PROPER(TRIM(Orders!K895))</f>
        <v>Bengaluru</v>
      </c>
      <c r="C895" s="46" t="str">
        <f aca="false">IFERROR(VLOOKUP(Orders!D895,Products!$A$2:$F$61,3,FALSE()),"Not Found")</f>
        <v>Home</v>
      </c>
      <c r="D895" s="46" t="str">
        <f aca="false">IFERROR(VLOOKUP(Orders!C895,Customers!$A$2:$F$301,5,FALSE()),"Not Found")</f>
        <v>Retail</v>
      </c>
      <c r="E895" s="46" t="n">
        <f aca="false">IFERROR(VLOOKUP(Orders!C895,Customers!$A$2:$F$301,3,FALSE()),"Not Found")</f>
        <v>54</v>
      </c>
      <c r="F895" s="46" t="str">
        <f aca="false">IFERROR(VLOOKUP(Orders!E895,Sales_Reps!$A$2:$E$31,3,FALSE()),"Not Found")</f>
        <v>North</v>
      </c>
      <c r="G895" s="46" t="n">
        <f aca="false">IFERROR(VLOOKUP(Orders!D895,Products!$A$2:$F$61,4,FALSE()),"")</f>
        <v>288</v>
      </c>
      <c r="H895" s="47" t="n">
        <f aca="false">IF(G895="","",(Orders!G895-G895)/Orders!G895)</f>
        <v>0.221621621621622</v>
      </c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</row>
    <row r="896" customFormat="false" ht="15" hidden="false" customHeight="false" outlineLevel="0" collapsed="false">
      <c r="A896" s="46" t="str">
        <f aca="false">Orders!A896</f>
        <v>ORD-00895</v>
      </c>
      <c r="B896" s="46" t="str">
        <f aca="false">PROPER(TRIM(Orders!K896))</f>
        <v>Bengaluru</v>
      </c>
      <c r="C896" s="46" t="str">
        <f aca="false">IFERROR(VLOOKUP(Orders!D896,Products!$A$2:$F$61,3,FALSE()),"Not Found")</f>
        <v>Home</v>
      </c>
      <c r="D896" s="46" t="str">
        <f aca="false">IFERROR(VLOOKUP(Orders!C896,Customers!$A$2:$F$301,5,FALSE()),"Not Found")</f>
        <v>SMB</v>
      </c>
      <c r="E896" s="46" t="n">
        <f aca="false">IFERROR(VLOOKUP(Orders!C896,Customers!$A$2:$F$301,3,FALSE()),"Not Found")</f>
        <v>44</v>
      </c>
      <c r="F896" s="46" t="str">
        <f aca="false">IFERROR(VLOOKUP(Orders!E896,Sales_Reps!$A$2:$E$31,3,FALSE()),"Not Found")</f>
        <v>North</v>
      </c>
      <c r="G896" s="46" t="n">
        <f aca="false">IFERROR(VLOOKUP(Orders!D896,Products!$A$2:$F$61,4,FALSE()),"")</f>
        <v>1850</v>
      </c>
      <c r="H896" s="47" t="n">
        <f aca="false">IF(G896="","",(Orders!G896-G896)/Orders!G896)</f>
        <v>0.598698481561822</v>
      </c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</row>
    <row r="897" customFormat="false" ht="15" hidden="false" customHeight="false" outlineLevel="0" collapsed="false">
      <c r="A897" s="46" t="str">
        <f aca="false">Orders!A897</f>
        <v>ORD-00896</v>
      </c>
      <c r="B897" s="46" t="str">
        <f aca="false">PROPER(TRIM(Orders!K897))</f>
        <v>Mumbai</v>
      </c>
      <c r="C897" s="46" t="str">
        <f aca="false">IFERROR(VLOOKUP(Orders!D897,Products!$A$2:$F$61,3,FALSE()),"Not Found")</f>
        <v>Electronics</v>
      </c>
      <c r="D897" s="46" t="str">
        <f aca="false">IFERROR(VLOOKUP(Orders!C897,Customers!$A$2:$F$301,5,FALSE()),"Not Found")</f>
        <v>Retail</v>
      </c>
      <c r="E897" s="46" t="n">
        <f aca="false">IFERROR(VLOOKUP(Orders!C897,Customers!$A$2:$F$301,3,FALSE()),"Not Found")</f>
        <v>35</v>
      </c>
      <c r="F897" s="46" t="str">
        <f aca="false">IFERROR(VLOOKUP(Orders!E897,Sales_Reps!$A$2:$E$31,3,FALSE()),"Not Found")</f>
        <v>South</v>
      </c>
      <c r="G897" s="46" t="n">
        <f aca="false">IFERROR(VLOOKUP(Orders!D897,Products!$A$2:$F$61,4,FALSE()),"")</f>
        <v>1052</v>
      </c>
      <c r="H897" s="47" t="n">
        <f aca="false">IF(G897="","",(Orders!G897-G897)/Orders!G897)</f>
        <v>0.595384615384615</v>
      </c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</row>
    <row r="898" customFormat="false" ht="15" hidden="false" customHeight="false" outlineLevel="0" collapsed="false">
      <c r="A898" s="46" t="str">
        <f aca="false">Orders!A898</f>
        <v>ORD-00600</v>
      </c>
      <c r="B898" s="46" t="str">
        <f aca="false">PROPER(TRIM(Orders!K898))</f>
        <v>Pune</v>
      </c>
      <c r="C898" s="46" t="str">
        <f aca="false">IFERROR(VLOOKUP(Orders!D898,Products!$A$2:$F$61,3,FALSE()),"Not Found")</f>
        <v>Electronics</v>
      </c>
      <c r="D898" s="46" t="str">
        <f aca="false">IFERROR(VLOOKUP(Orders!C898,Customers!$A$2:$F$301,5,FALSE()),"Not Found")</f>
        <v>Retail</v>
      </c>
      <c r="E898" s="46" t="n">
        <f aca="false">IFERROR(VLOOKUP(Orders!C898,Customers!$A$2:$F$301,3,FALSE()),"Not Found")</f>
        <v>48</v>
      </c>
      <c r="F898" s="46" t="str">
        <f aca="false">IFERROR(VLOOKUP(Orders!E898,Sales_Reps!$A$2:$E$31,3,FALSE()),"Not Found")</f>
        <v>West</v>
      </c>
      <c r="G898" s="46" t="n">
        <f aca="false">IFERROR(VLOOKUP(Orders!D898,Products!$A$2:$F$61,4,FALSE()),"")</f>
        <v>517</v>
      </c>
      <c r="H898" s="47" t="n">
        <f aca="false">IF(G898="","",(Orders!G898-G898)/Orders!G898)</f>
        <v>0.576229508196721</v>
      </c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</row>
    <row r="899" customFormat="false" ht="15" hidden="false" customHeight="false" outlineLevel="0" collapsed="false">
      <c r="A899" s="46" t="str">
        <f aca="false">Orders!A899</f>
        <v>ORD-00898</v>
      </c>
      <c r="B899" s="46" t="str">
        <f aca="false">PROPER(TRIM(Orders!K899))</f>
        <v>Chennai</v>
      </c>
      <c r="C899" s="46" t="str">
        <f aca="false">IFERROR(VLOOKUP(Orders!D899,Products!$A$2:$F$61,3,FALSE()),"Not Found")</f>
        <v>Electronics</v>
      </c>
      <c r="D899" s="46" t="str">
        <f aca="false">IFERROR(VLOOKUP(Orders!C899,Customers!$A$2:$F$301,5,FALSE()),"Not Found")</f>
        <v>Not Found</v>
      </c>
      <c r="E899" s="46" t="str">
        <f aca="false">IFERROR(VLOOKUP(Orders!C899,Customers!$A$2:$F$301,3,FALSE()),"Not Found")</f>
        <v>Not Found</v>
      </c>
      <c r="F899" s="46" t="str">
        <f aca="false">IFERROR(VLOOKUP(Orders!E899,Sales_Reps!$A$2:$E$31,3,FALSE()),"Not Found")</f>
        <v>South</v>
      </c>
      <c r="G899" s="46" t="n">
        <f aca="false">IFERROR(VLOOKUP(Orders!D899,Products!$A$2:$F$61,4,FALSE()),"")</f>
        <v>861</v>
      </c>
      <c r="H899" s="47" t="n">
        <f aca="false">IF(G899="","",(Orders!G899-G899)/Orders!G899)</f>
        <v>0.397902097902098</v>
      </c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</row>
    <row r="900" customFormat="false" ht="15" hidden="false" customHeight="false" outlineLevel="0" collapsed="false">
      <c r="A900" s="46" t="str">
        <f aca="false">Orders!A900</f>
        <v>ORD-00899</v>
      </c>
      <c r="B900" s="46" t="str">
        <f aca="false">PROPER(TRIM(Orders!K900))</f>
        <v>Chennai</v>
      </c>
      <c r="C900" s="46" t="str">
        <f aca="false">IFERROR(VLOOKUP(Orders!D900,Products!$A$2:$F$61,3,FALSE()),"Not Found")</f>
        <v>Beauty</v>
      </c>
      <c r="D900" s="46" t="str">
        <f aca="false">IFERROR(VLOOKUP(Orders!C900,Customers!$A$2:$F$301,5,FALSE()),"Not Found")</f>
        <v>Retail</v>
      </c>
      <c r="E900" s="46" t="n">
        <f aca="false">IFERROR(VLOOKUP(Orders!C900,Customers!$A$2:$F$301,3,FALSE()),"Not Found")</f>
        <v>41</v>
      </c>
      <c r="F900" s="46" t="str">
        <f aca="false">IFERROR(VLOOKUP(Orders!E900,Sales_Reps!$A$2:$E$31,3,FALSE()),"Not Found")</f>
        <v>West</v>
      </c>
      <c r="G900" s="46" t="n">
        <f aca="false">IFERROR(VLOOKUP(Orders!D900,Products!$A$2:$F$61,4,FALSE()),"")</f>
        <v>2768</v>
      </c>
      <c r="H900" s="47" t="n">
        <f aca="false">IF(G900="","",(Orders!G900-G900)/Orders!G900)</f>
        <v>0.432786885245902</v>
      </c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</row>
    <row r="901" customFormat="false" ht="15" hidden="false" customHeight="false" outlineLevel="0" collapsed="false">
      <c r="A901" s="46" t="str">
        <f aca="false">Orders!A901</f>
        <v>ORD-00900</v>
      </c>
      <c r="B901" s="46" t="str">
        <f aca="false">PROPER(TRIM(Orders!K901))</f>
        <v>Hyderabad</v>
      </c>
      <c r="C901" s="46" t="str">
        <f aca="false">IFERROR(VLOOKUP(Orders!D901,Products!$A$2:$F$61,3,FALSE()),"Not Found")</f>
        <v>Beauty</v>
      </c>
      <c r="D901" s="46" t="str">
        <f aca="false">IFERROR(VLOOKUP(Orders!C901,Customers!$A$2:$F$301,5,FALSE()),"Not Found")</f>
        <v>SMB</v>
      </c>
      <c r="E901" s="46" t="n">
        <f aca="false">IFERROR(VLOOKUP(Orders!C901,Customers!$A$2:$F$301,3,FALSE()),"Not Found")</f>
        <v>31</v>
      </c>
      <c r="F901" s="46" t="str">
        <f aca="false">IFERROR(VLOOKUP(Orders!E901,Sales_Reps!$A$2:$E$31,3,FALSE()),"Not Found")</f>
        <v>West</v>
      </c>
      <c r="G901" s="46" t="n">
        <f aca="false">IFERROR(VLOOKUP(Orders!D901,Products!$A$2:$F$61,4,FALSE()),"")</f>
        <v>2617</v>
      </c>
      <c r="H901" s="47" t="n">
        <f aca="false">IF(G901="","",(Orders!G901-G901)/Orders!G901)</f>
        <v>0.569572368421053</v>
      </c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</row>
    <row r="902" customFormat="false" ht="15" hidden="false" customHeight="false" outlineLevel="0" collapsed="false">
      <c r="A902" s="46" t="str">
        <f aca="false">Orders!A902</f>
        <v>ORD-00901</v>
      </c>
      <c r="B902" s="46" t="str">
        <f aca="false">PROPER(TRIM(Orders!K902))</f>
        <v>Chennai</v>
      </c>
      <c r="C902" s="46" t="str">
        <f aca="false">IFERROR(VLOOKUP(Orders!D902,Products!$A$2:$F$61,3,FALSE()),"Not Found")</f>
        <v>Beauty</v>
      </c>
      <c r="D902" s="46" t="str">
        <f aca="false">IFERROR(VLOOKUP(Orders!C902,Customers!$A$2:$F$301,5,FALSE()),"Not Found")</f>
        <v>Corporate</v>
      </c>
      <c r="E902" s="46" t="n">
        <f aca="false">IFERROR(VLOOKUP(Orders!C902,Customers!$A$2:$F$301,3,FALSE()),"Not Found")</f>
        <v>34</v>
      </c>
      <c r="F902" s="46" t="str">
        <f aca="false">IFERROR(VLOOKUP(Orders!E902,Sales_Reps!$A$2:$E$31,3,FALSE()),"Not Found")</f>
        <v>South</v>
      </c>
      <c r="G902" s="46" t="n">
        <f aca="false">IFERROR(VLOOKUP(Orders!D902,Products!$A$2:$F$61,4,FALSE()),"")</f>
        <v>1626</v>
      </c>
      <c r="H902" s="47" t="n">
        <f aca="false">IF(G902="","",(Orders!G902-G902)/Orders!G902)</f>
        <v>0.46158940397351</v>
      </c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</row>
    <row r="903" customFormat="false" ht="15" hidden="false" customHeight="false" outlineLevel="0" collapsed="false">
      <c r="A903" s="46" t="str">
        <f aca="false">Orders!A903</f>
        <v>ORD-00902</v>
      </c>
      <c r="B903" s="46" t="str">
        <f aca="false">PROPER(TRIM(Orders!K903))</f>
        <v>Bengaluru</v>
      </c>
      <c r="C903" s="46" t="str">
        <f aca="false">IFERROR(VLOOKUP(Orders!D903,Products!$A$2:$F$61,3,FALSE()),"Not Found")</f>
        <v>Apparel</v>
      </c>
      <c r="D903" s="46" t="str">
        <f aca="false">IFERROR(VLOOKUP(Orders!C903,Customers!$A$2:$F$301,5,FALSE()),"Not Found")</f>
        <v>Corporate</v>
      </c>
      <c r="E903" s="46" t="n">
        <f aca="false">IFERROR(VLOOKUP(Orders!C903,Customers!$A$2:$F$301,3,FALSE()),"Not Found")</f>
        <v>59</v>
      </c>
      <c r="F903" s="46" t="str">
        <f aca="false">IFERROR(VLOOKUP(Orders!E903,Sales_Reps!$A$2:$E$31,3,FALSE()),"Not Found")</f>
        <v>South</v>
      </c>
      <c r="G903" s="46" t="n">
        <f aca="false">IFERROR(VLOOKUP(Orders!D903,Products!$A$2:$F$61,4,FALSE()),"")</f>
        <v>1962</v>
      </c>
      <c r="H903" s="47" t="n">
        <f aca="false">IF(G903="","",(Orders!G903-G903)/Orders!G903)</f>
        <v>0.278676470588235</v>
      </c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</row>
    <row r="904" customFormat="false" ht="15" hidden="false" customHeight="false" outlineLevel="0" collapsed="false">
      <c r="A904" s="46" t="str">
        <f aca="false">Orders!A904</f>
        <v>ORD-00903</v>
      </c>
      <c r="B904" s="46" t="str">
        <f aca="false">PROPER(TRIM(Orders!K904))</f>
        <v>Chennai</v>
      </c>
      <c r="C904" s="46" t="str">
        <f aca="false">IFERROR(VLOOKUP(Orders!D904,Products!$A$2:$F$61,3,FALSE()),"Not Found")</f>
        <v>Electronics</v>
      </c>
      <c r="D904" s="46" t="str">
        <f aca="false">IFERROR(VLOOKUP(Orders!C904,Customers!$A$2:$F$301,5,FALSE()),"Not Found")</f>
        <v>SMB</v>
      </c>
      <c r="E904" s="46" t="n">
        <f aca="false">IFERROR(VLOOKUP(Orders!C904,Customers!$A$2:$F$301,3,FALSE()),"Not Found")</f>
        <v>55</v>
      </c>
      <c r="F904" s="46" t="str">
        <f aca="false">IFERROR(VLOOKUP(Orders!E904,Sales_Reps!$A$2:$E$31,3,FALSE()),"Not Found")</f>
        <v>West</v>
      </c>
      <c r="G904" s="46" t="n">
        <f aca="false">IFERROR(VLOOKUP(Orders!D904,Products!$A$2:$F$61,4,FALSE()),"")</f>
        <v>1665</v>
      </c>
      <c r="H904" s="47" t="n">
        <f aca="false">IF(G904="","",(Orders!G904-G904)/Orders!G904)</f>
        <v>0.533613445378151</v>
      </c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</row>
    <row r="905" customFormat="false" ht="15" hidden="false" customHeight="false" outlineLevel="0" collapsed="false">
      <c r="A905" s="46" t="str">
        <f aca="false">Orders!A905</f>
        <v>ORD-00904</v>
      </c>
      <c r="B905" s="46" t="str">
        <f aca="false">PROPER(TRIM(Orders!K905))</f>
        <v>Mumbai</v>
      </c>
      <c r="C905" s="46" t="str">
        <f aca="false">IFERROR(VLOOKUP(Orders!D905,Products!$A$2:$F$61,3,FALSE()),"Not Found")</f>
        <v>Home</v>
      </c>
      <c r="D905" s="46" t="str">
        <f aca="false">IFERROR(VLOOKUP(Orders!C905,Customers!$A$2:$F$301,5,FALSE()),"Not Found")</f>
        <v>SMB</v>
      </c>
      <c r="E905" s="46" t="n">
        <f aca="false">IFERROR(VLOOKUP(Orders!C905,Customers!$A$2:$F$301,3,FALSE()),"Not Found")</f>
        <v>47</v>
      </c>
      <c r="F905" s="46" t="str">
        <f aca="false">IFERROR(VLOOKUP(Orders!E905,Sales_Reps!$A$2:$E$31,3,FALSE()),"Not Found")</f>
        <v>South</v>
      </c>
      <c r="G905" s="46" t="n">
        <f aca="false">IFERROR(VLOOKUP(Orders!D905,Products!$A$2:$F$61,4,FALSE()),"")</f>
        <v>519</v>
      </c>
      <c r="H905" s="47" t="n">
        <f aca="false">IF(G905="","",(Orders!G905-G905)/Orders!G905)</f>
        <v>0.519444444444445</v>
      </c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</row>
    <row r="906" customFormat="false" ht="15" hidden="false" customHeight="false" outlineLevel="0" collapsed="false">
      <c r="A906" s="46" t="str">
        <f aca="false">Orders!A906</f>
        <v>ORD-00905</v>
      </c>
      <c r="B906" s="46" t="str">
        <f aca="false">PROPER(TRIM(Orders!K906))</f>
        <v>Bengaluru</v>
      </c>
      <c r="C906" s="46" t="str">
        <f aca="false">IFERROR(VLOOKUP(Orders!D906,Products!$A$2:$F$61,3,FALSE()),"Not Found")</f>
        <v>Home</v>
      </c>
      <c r="D906" s="46" t="str">
        <f aca="false">IFERROR(VLOOKUP(Orders!C906,Customers!$A$2:$F$301,5,FALSE()),"Not Found")</f>
        <v>Retail</v>
      </c>
      <c r="E906" s="46" t="n">
        <f aca="false">IFERROR(VLOOKUP(Orders!C906,Customers!$A$2:$F$301,3,FALSE()),"Not Found")</f>
        <v>37</v>
      </c>
      <c r="F906" s="46" t="str">
        <f aca="false">IFERROR(VLOOKUP(Orders!E906,Sales_Reps!$A$2:$E$31,3,FALSE()),"Not Found")</f>
        <v>South</v>
      </c>
      <c r="G906" s="46" t="n">
        <f aca="false">IFERROR(VLOOKUP(Orders!D906,Products!$A$2:$F$61,4,FALSE()),"")</f>
        <v>464</v>
      </c>
      <c r="H906" s="47" t="n">
        <f aca="false">IF(G906="","",(Orders!G906-G906)/Orders!G906)</f>
        <v>0.574311926605505</v>
      </c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</row>
    <row r="907" customFormat="false" ht="15" hidden="false" customHeight="false" outlineLevel="0" collapsed="false">
      <c r="A907" s="46" t="str">
        <f aca="false">Orders!A907</f>
        <v>ORD-00906</v>
      </c>
      <c r="B907" s="46" t="str">
        <f aca="false">PROPER(TRIM(Orders!K907))</f>
        <v>Chennai</v>
      </c>
      <c r="C907" s="46" t="str">
        <f aca="false">IFERROR(VLOOKUP(Orders!D907,Products!$A$2:$F$61,3,FALSE()),"Not Found")</f>
        <v>Apparel</v>
      </c>
      <c r="D907" s="46" t="str">
        <f aca="false">IFERROR(VLOOKUP(Orders!C907,Customers!$A$2:$F$301,5,FALSE()),"Not Found")</f>
        <v>SMB</v>
      </c>
      <c r="E907" s="46" t="n">
        <f aca="false">IFERROR(VLOOKUP(Orders!C907,Customers!$A$2:$F$301,3,FALSE()),"Not Found")</f>
        <v>51</v>
      </c>
      <c r="F907" s="46" t="str">
        <f aca="false">IFERROR(VLOOKUP(Orders!E907,Sales_Reps!$A$2:$E$31,3,FALSE()),"Not Found")</f>
        <v>West</v>
      </c>
      <c r="G907" s="46" t="n">
        <f aca="false">IFERROR(VLOOKUP(Orders!D907,Products!$A$2:$F$61,4,FALSE()),"")</f>
        <v>2629</v>
      </c>
      <c r="H907" s="47" t="n">
        <f aca="false">IF(G907="","",(Orders!G907-G907)/Orders!G907)</f>
        <v>0.261516853932584</v>
      </c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</row>
    <row r="908" customFormat="false" ht="15" hidden="false" customHeight="false" outlineLevel="0" collapsed="false">
      <c r="A908" s="46" t="str">
        <f aca="false">Orders!A908</f>
        <v>ORD-00907</v>
      </c>
      <c r="B908" s="46" t="str">
        <f aca="false">PROPER(TRIM(Orders!K908))</f>
        <v>Mumbai</v>
      </c>
      <c r="C908" s="46" t="str">
        <f aca="false">IFERROR(VLOOKUP(Orders!D908,Products!$A$2:$F$61,3,FALSE()),"Not Found")</f>
        <v>Sports</v>
      </c>
      <c r="D908" s="46" t="str">
        <f aca="false">IFERROR(VLOOKUP(Orders!C908,Customers!$A$2:$F$301,5,FALSE()),"Not Found")</f>
        <v>SMB</v>
      </c>
      <c r="E908" s="46" t="n">
        <f aca="false">IFERROR(VLOOKUP(Orders!C908,Customers!$A$2:$F$301,3,FALSE()),"Not Found")</f>
        <v>54</v>
      </c>
      <c r="F908" s="46" t="str">
        <f aca="false">IFERROR(VLOOKUP(Orders!E908,Sales_Reps!$A$2:$E$31,3,FALSE()),"Not Found")</f>
        <v>East</v>
      </c>
      <c r="G908" s="46" t="n">
        <f aca="false">IFERROR(VLOOKUP(Orders!D908,Products!$A$2:$F$61,4,FALSE()),"")</f>
        <v>147</v>
      </c>
      <c r="H908" s="47" t="n">
        <f aca="false">IF(G908="","",(Orders!G908-G908)/Orders!G908)</f>
        <v>0.226315789473684</v>
      </c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</row>
    <row r="909" customFormat="false" ht="15" hidden="false" customHeight="false" outlineLevel="0" collapsed="false">
      <c r="A909" s="46" t="str">
        <f aca="false">Orders!A909</f>
        <v>ORD-00908</v>
      </c>
      <c r="B909" s="46" t="str">
        <f aca="false">PROPER(TRIM(Orders!K909))</f>
        <v>Chennai</v>
      </c>
      <c r="C909" s="46" t="str">
        <f aca="false">IFERROR(VLOOKUP(Orders!D909,Products!$A$2:$F$61,3,FALSE()),"Not Found")</f>
        <v>Grocery</v>
      </c>
      <c r="D909" s="46" t="str">
        <f aca="false">IFERROR(VLOOKUP(Orders!C909,Customers!$A$2:$F$301,5,FALSE()),"Not Found")</f>
        <v>Retail</v>
      </c>
      <c r="E909" s="46" t="n">
        <f aca="false">IFERROR(VLOOKUP(Orders!C909,Customers!$A$2:$F$301,3,FALSE()),"Not Found")</f>
        <v>24</v>
      </c>
      <c r="F909" s="46" t="str">
        <f aca="false">IFERROR(VLOOKUP(Orders!E909,Sales_Reps!$A$2:$E$31,3,FALSE()),"Not Found")</f>
        <v>West</v>
      </c>
      <c r="G909" s="46" t="n">
        <f aca="false">IFERROR(VLOOKUP(Orders!D909,Products!$A$2:$F$61,4,FALSE()),"")</f>
        <v>2911</v>
      </c>
      <c r="H909" s="47" t="n">
        <f aca="false">IF(G909="","",(Orders!G909-G909)/Orders!G909)</f>
        <v>0.283004926108374</v>
      </c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</row>
    <row r="910" customFormat="false" ht="15" hidden="false" customHeight="false" outlineLevel="0" collapsed="false">
      <c r="A910" s="46" t="str">
        <f aca="false">Orders!A910</f>
        <v>ORD-00909</v>
      </c>
      <c r="B910" s="46" t="str">
        <f aca="false">PROPER(TRIM(Orders!K910))</f>
        <v>Pune</v>
      </c>
      <c r="C910" s="46" t="str">
        <f aca="false">IFERROR(VLOOKUP(Orders!D910,Products!$A$2:$F$61,3,FALSE()),"Not Found")</f>
        <v>Home</v>
      </c>
      <c r="D910" s="46" t="str">
        <f aca="false">IFERROR(VLOOKUP(Orders!C910,Customers!$A$2:$F$301,5,FALSE()),"Not Found")</f>
        <v>Corporate</v>
      </c>
      <c r="E910" s="46" t="n">
        <f aca="false">IFERROR(VLOOKUP(Orders!C910,Customers!$A$2:$F$301,3,FALSE()),"Not Found")</f>
        <v>40</v>
      </c>
      <c r="F910" s="46" t="str">
        <f aca="false">IFERROR(VLOOKUP(Orders!E910,Sales_Reps!$A$2:$E$31,3,FALSE()),"Not Found")</f>
        <v>East</v>
      </c>
      <c r="G910" s="46" t="n">
        <f aca="false">IFERROR(VLOOKUP(Orders!D910,Products!$A$2:$F$61,4,FALSE()),"")</f>
        <v>1850</v>
      </c>
      <c r="H910" s="47" t="n">
        <f aca="false">IF(G910="","",(Orders!G910-G910)/Orders!G910)</f>
        <v>0.598698481561822</v>
      </c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</row>
    <row r="911" customFormat="false" ht="15" hidden="false" customHeight="false" outlineLevel="0" collapsed="false">
      <c r="A911" s="46" t="str">
        <f aca="false">Orders!A911</f>
        <v>ORD-00910</v>
      </c>
      <c r="B911" s="46" t="str">
        <f aca="false">PROPER(TRIM(Orders!K911))</f>
        <v>Chennai</v>
      </c>
      <c r="C911" s="46" t="str">
        <f aca="false">IFERROR(VLOOKUP(Orders!D911,Products!$A$2:$F$61,3,FALSE()),"Not Found")</f>
        <v>Grocery</v>
      </c>
      <c r="D911" s="46" t="str">
        <f aca="false">IFERROR(VLOOKUP(Orders!C911,Customers!$A$2:$F$301,5,FALSE()),"Not Found")</f>
        <v>Corporate</v>
      </c>
      <c r="E911" s="46" t="n">
        <f aca="false">IFERROR(VLOOKUP(Orders!C911,Customers!$A$2:$F$301,3,FALSE()),"Not Found")</f>
        <v>22</v>
      </c>
      <c r="F911" s="46" t="str">
        <f aca="false">IFERROR(VLOOKUP(Orders!E911,Sales_Reps!$A$2:$E$31,3,FALSE()),"Not Found")</f>
        <v>East</v>
      </c>
      <c r="G911" s="46" t="n">
        <f aca="false">IFERROR(VLOOKUP(Orders!D911,Products!$A$2:$F$61,4,FALSE()),"")</f>
        <v>2027</v>
      </c>
      <c r="H911" s="47" t="n">
        <f aca="false">IF(G911="","",(Orders!G911-G911)/Orders!G911)</f>
        <v>0.501965601965602</v>
      </c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</row>
    <row r="912" customFormat="false" ht="15" hidden="false" customHeight="false" outlineLevel="0" collapsed="false">
      <c r="A912" s="46" t="str">
        <f aca="false">Orders!A912</f>
        <v>ORD-00911</v>
      </c>
      <c r="B912" s="46" t="str">
        <f aca="false">PROPER(TRIM(Orders!K912))</f>
        <v>Hyderabad</v>
      </c>
      <c r="C912" s="46" t="str">
        <f aca="false">IFERROR(VLOOKUP(Orders!D912,Products!$A$2:$F$61,3,FALSE()),"Not Found")</f>
        <v>Apparel</v>
      </c>
      <c r="D912" s="46" t="str">
        <f aca="false">IFERROR(VLOOKUP(Orders!C912,Customers!$A$2:$F$301,5,FALSE()),"Not Found")</f>
        <v>Retail</v>
      </c>
      <c r="E912" s="46" t="n">
        <f aca="false">IFERROR(VLOOKUP(Orders!C912,Customers!$A$2:$F$301,3,FALSE()),"Not Found")</f>
        <v>27</v>
      </c>
      <c r="F912" s="46" t="str">
        <f aca="false">IFERROR(VLOOKUP(Orders!E912,Sales_Reps!$A$2:$E$31,3,FALSE()),"Not Found")</f>
        <v>North</v>
      </c>
      <c r="G912" s="46" t="n">
        <f aca="false">IFERROR(VLOOKUP(Orders!D912,Products!$A$2:$F$61,4,FALSE()),"")</f>
        <v>2509</v>
      </c>
      <c r="H912" s="47" t="n">
        <f aca="false">IF(G912="","",(Orders!G912-G912)/Orders!G912)</f>
        <v>0.306906077348066</v>
      </c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</row>
    <row r="913" customFormat="false" ht="15" hidden="false" customHeight="false" outlineLevel="0" collapsed="false">
      <c r="A913" s="46" t="str">
        <f aca="false">Orders!A913</f>
        <v>ORD-00912</v>
      </c>
      <c r="B913" s="46" t="str">
        <f aca="false">PROPER(TRIM(Orders!K913))</f>
        <v>Chennai</v>
      </c>
      <c r="C913" s="46" t="str">
        <f aca="false">IFERROR(VLOOKUP(Orders!D913,Products!$A$2:$F$61,3,FALSE()),"Not Found")</f>
        <v>Electronics</v>
      </c>
      <c r="D913" s="46" t="str">
        <f aca="false">IFERROR(VLOOKUP(Orders!C913,Customers!$A$2:$F$301,5,FALSE()),"Not Found")</f>
        <v>SMB</v>
      </c>
      <c r="E913" s="46" t="n">
        <f aca="false">IFERROR(VLOOKUP(Orders!C913,Customers!$A$2:$F$301,3,FALSE()),"Not Found")</f>
        <v>57</v>
      </c>
      <c r="F913" s="46" t="str">
        <f aca="false">IFERROR(VLOOKUP(Orders!E913,Sales_Reps!$A$2:$E$31,3,FALSE()),"Not Found")</f>
        <v>West</v>
      </c>
      <c r="G913" s="46" t="n">
        <f aca="false">IFERROR(VLOOKUP(Orders!D913,Products!$A$2:$F$61,4,FALSE()),"")</f>
        <v>2865</v>
      </c>
      <c r="H913" s="47" t="n">
        <f aca="false">IF(G913="","",(Orders!G913-G913)/Orders!G913)</f>
        <v>0.278337531486146</v>
      </c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</row>
    <row r="914" customFormat="false" ht="15" hidden="false" customHeight="false" outlineLevel="0" collapsed="false">
      <c r="A914" s="46" t="str">
        <f aca="false">Orders!A914</f>
        <v>ORD-00913</v>
      </c>
      <c r="B914" s="46" t="str">
        <f aca="false">PROPER(TRIM(Orders!K914))</f>
        <v>Bengaluru</v>
      </c>
      <c r="C914" s="46" t="str">
        <f aca="false">IFERROR(VLOOKUP(Orders!D914,Products!$A$2:$F$61,3,FALSE()),"Not Found")</f>
        <v>Grocery</v>
      </c>
      <c r="D914" s="46" t="str">
        <f aca="false">IFERROR(VLOOKUP(Orders!C914,Customers!$A$2:$F$301,5,FALSE()),"Not Found")</f>
        <v>Corporate</v>
      </c>
      <c r="E914" s="46" t="n">
        <f aca="false">IFERROR(VLOOKUP(Orders!C914,Customers!$A$2:$F$301,3,FALSE()),"Not Found")</f>
        <v>42</v>
      </c>
      <c r="F914" s="46" t="str">
        <f aca="false">IFERROR(VLOOKUP(Orders!E914,Sales_Reps!$A$2:$E$31,3,FALSE()),"Not Found")</f>
        <v>West</v>
      </c>
      <c r="G914" s="46" t="n">
        <f aca="false">IFERROR(VLOOKUP(Orders!D914,Products!$A$2:$F$61,4,FALSE()),"")</f>
        <v>434</v>
      </c>
      <c r="H914" s="47" t="n">
        <f aca="false">IF(G914="","",(Orders!G914-G914)/Orders!G914)</f>
        <v>0.552577319587629</v>
      </c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</row>
    <row r="915" customFormat="false" ht="15" hidden="false" customHeight="false" outlineLevel="0" collapsed="false">
      <c r="A915" s="46" t="str">
        <f aca="false">Orders!A915</f>
        <v>ORD-00914</v>
      </c>
      <c r="B915" s="46" t="str">
        <f aca="false">PROPER(TRIM(Orders!K915))</f>
        <v>Hyderabad</v>
      </c>
      <c r="C915" s="46" t="str">
        <f aca="false">IFERROR(VLOOKUP(Orders!D915,Products!$A$2:$F$61,3,FALSE()),"Not Found")</f>
        <v>Sports</v>
      </c>
      <c r="D915" s="46" t="str">
        <f aca="false">IFERROR(VLOOKUP(Orders!C915,Customers!$A$2:$F$301,5,FALSE()),"Not Found")</f>
        <v>Retail</v>
      </c>
      <c r="E915" s="46" t="n">
        <f aca="false">IFERROR(VLOOKUP(Orders!C915,Customers!$A$2:$F$301,3,FALSE()),"Not Found")</f>
        <v>29</v>
      </c>
      <c r="F915" s="46" t="str">
        <f aca="false">IFERROR(VLOOKUP(Orders!E915,Sales_Reps!$A$2:$E$31,3,FALSE()),"Not Found")</f>
        <v>East</v>
      </c>
      <c r="G915" s="46" t="n">
        <f aca="false">IFERROR(VLOOKUP(Orders!D915,Products!$A$2:$F$61,4,FALSE()),"")</f>
        <v>705</v>
      </c>
      <c r="H915" s="47" t="n">
        <f aca="false">IF(G915="","",(Orders!G915-G915)/Orders!G915)</f>
        <v>0.265625</v>
      </c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</row>
    <row r="916" customFormat="false" ht="15" hidden="false" customHeight="false" outlineLevel="0" collapsed="false">
      <c r="A916" s="46" t="str">
        <f aca="false">Orders!A916</f>
        <v>ORD-00915</v>
      </c>
      <c r="B916" s="46" t="str">
        <f aca="false">PROPER(TRIM(Orders!K916))</f>
        <v>Mumbai</v>
      </c>
      <c r="C916" s="46" t="str">
        <f aca="false">IFERROR(VLOOKUP(Orders!D916,Products!$A$2:$F$61,3,FALSE()),"Not Found")</f>
        <v>Electronics</v>
      </c>
      <c r="D916" s="46" t="str">
        <f aca="false">IFERROR(VLOOKUP(Orders!C916,Customers!$A$2:$F$301,5,FALSE()),"Not Found")</f>
        <v>Retail</v>
      </c>
      <c r="E916" s="46" t="n">
        <f aca="false">IFERROR(VLOOKUP(Orders!C916,Customers!$A$2:$F$301,3,FALSE()),"Not Found")</f>
        <v>54</v>
      </c>
      <c r="F916" s="46" t="str">
        <f aca="false">IFERROR(VLOOKUP(Orders!E916,Sales_Reps!$A$2:$E$31,3,FALSE()),"Not Found")</f>
        <v>South</v>
      </c>
      <c r="G916" s="46" t="n">
        <f aca="false">IFERROR(VLOOKUP(Orders!D916,Products!$A$2:$F$61,4,FALSE()),"")</f>
        <v>128</v>
      </c>
      <c r="H916" s="47" t="n">
        <f aca="false">IF(G916="","",(Orders!G916-G916)/Orders!G916)</f>
        <v>0.573333333333333</v>
      </c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</row>
    <row r="917" customFormat="false" ht="15" hidden="false" customHeight="false" outlineLevel="0" collapsed="false">
      <c r="A917" s="46" t="str">
        <f aca="false">Orders!A917</f>
        <v>ORD-00916</v>
      </c>
      <c r="B917" s="46" t="str">
        <f aca="false">PROPER(TRIM(Orders!K917))</f>
        <v>Hyderabad</v>
      </c>
      <c r="C917" s="46" t="str">
        <f aca="false">IFERROR(VLOOKUP(Orders!D917,Products!$A$2:$F$61,3,FALSE()),"Not Found")</f>
        <v>Electronics</v>
      </c>
      <c r="D917" s="46" t="str">
        <f aca="false">IFERROR(VLOOKUP(Orders!C917,Customers!$A$2:$F$301,5,FALSE()),"Not Found")</f>
        <v>Retail</v>
      </c>
      <c r="E917" s="46" t="n">
        <f aca="false">IFERROR(VLOOKUP(Orders!C917,Customers!$A$2:$F$301,3,FALSE()),"Not Found")</f>
        <v>46</v>
      </c>
      <c r="F917" s="46" t="str">
        <f aca="false">IFERROR(VLOOKUP(Orders!E917,Sales_Reps!$A$2:$E$31,3,FALSE()),"Not Found")</f>
        <v>South</v>
      </c>
      <c r="G917" s="46" t="n">
        <f aca="false">IFERROR(VLOOKUP(Orders!D917,Products!$A$2:$F$61,4,FALSE()),"")</f>
        <v>1052</v>
      </c>
      <c r="H917" s="47" t="n">
        <f aca="false">IF(G917="","",(Orders!G917-G917)/Orders!G917)</f>
        <v>0.595384615384615</v>
      </c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</row>
    <row r="918" customFormat="false" ht="15" hidden="false" customHeight="false" outlineLevel="0" collapsed="false">
      <c r="A918" s="46" t="str">
        <f aca="false">Orders!A918</f>
        <v>ORD-00917</v>
      </c>
      <c r="B918" s="46" t="str">
        <f aca="false">PROPER(TRIM(Orders!K918))</f>
        <v>Pune</v>
      </c>
      <c r="C918" s="46" t="str">
        <f aca="false">IFERROR(VLOOKUP(Orders!D918,Products!$A$2:$F$61,3,FALSE()),"Not Found")</f>
        <v>Home</v>
      </c>
      <c r="D918" s="46" t="str">
        <f aca="false">IFERROR(VLOOKUP(Orders!C918,Customers!$A$2:$F$301,5,FALSE()),"Not Found")</f>
        <v>Retail</v>
      </c>
      <c r="E918" s="46" t="n">
        <f aca="false">IFERROR(VLOOKUP(Orders!C918,Customers!$A$2:$F$301,3,FALSE()),"Not Found")</f>
        <v>49</v>
      </c>
      <c r="F918" s="46" t="str">
        <f aca="false">IFERROR(VLOOKUP(Orders!E918,Sales_Reps!$A$2:$E$31,3,FALSE()),"Not Found")</f>
        <v>North</v>
      </c>
      <c r="G918" s="46" t="n">
        <f aca="false">IFERROR(VLOOKUP(Orders!D918,Products!$A$2:$F$61,4,FALSE()),"")</f>
        <v>288</v>
      </c>
      <c r="H918" s="47" t="n">
        <f aca="false">IF(G918="","",(Orders!G918-G918)/Orders!G918)</f>
        <v>0.221621621621622</v>
      </c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</row>
    <row r="919" customFormat="false" ht="15" hidden="false" customHeight="false" outlineLevel="0" collapsed="false">
      <c r="A919" s="46" t="str">
        <f aca="false">Orders!A919</f>
        <v>ORD-00918</v>
      </c>
      <c r="B919" s="46" t="str">
        <f aca="false">PROPER(TRIM(Orders!K919))</f>
        <v>Chennai</v>
      </c>
      <c r="C919" s="46" t="str">
        <f aca="false">IFERROR(VLOOKUP(Orders!D919,Products!$A$2:$F$61,3,FALSE()),"Not Found")</f>
        <v>Beauty</v>
      </c>
      <c r="D919" s="46" t="str">
        <f aca="false">IFERROR(VLOOKUP(Orders!C919,Customers!$A$2:$F$301,5,FALSE()),"Not Found")</f>
        <v>Corporate</v>
      </c>
      <c r="E919" s="46" t="n">
        <f aca="false">IFERROR(VLOOKUP(Orders!C919,Customers!$A$2:$F$301,3,FALSE()),"Not Found")</f>
        <v>55</v>
      </c>
      <c r="F919" s="46" t="str">
        <f aca="false">IFERROR(VLOOKUP(Orders!E919,Sales_Reps!$A$2:$E$31,3,FALSE()),"Not Found")</f>
        <v>West</v>
      </c>
      <c r="G919" s="46" t="n">
        <f aca="false">IFERROR(VLOOKUP(Orders!D919,Products!$A$2:$F$61,4,FALSE()),"")</f>
        <v>2420</v>
      </c>
      <c r="H919" s="47" t="n">
        <f aca="false">IF(G919="","",(Orders!G919-G919)/Orders!G919)</f>
        <v>0.298550724637681</v>
      </c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</row>
    <row r="920" customFormat="false" ht="15" hidden="false" customHeight="false" outlineLevel="0" collapsed="false">
      <c r="A920" s="46" t="str">
        <f aca="false">Orders!A920</f>
        <v>ORD-00919</v>
      </c>
      <c r="B920" s="46" t="str">
        <f aca="false">PROPER(TRIM(Orders!K920))</f>
        <v>Delhi</v>
      </c>
      <c r="C920" s="46" t="str">
        <f aca="false">IFERROR(VLOOKUP(Orders!D920,Products!$A$2:$F$61,3,FALSE()),"Not Found")</f>
        <v>Apparel</v>
      </c>
      <c r="D920" s="46" t="str">
        <f aca="false">IFERROR(VLOOKUP(Orders!C920,Customers!$A$2:$F$301,5,FALSE()),"Not Found")</f>
        <v>SMB</v>
      </c>
      <c r="E920" s="46" t="n">
        <f aca="false">IFERROR(VLOOKUP(Orders!C920,Customers!$A$2:$F$301,3,FALSE()),"Not Found")</f>
        <v>29</v>
      </c>
      <c r="F920" s="46" t="str">
        <f aca="false">IFERROR(VLOOKUP(Orders!E920,Sales_Reps!$A$2:$E$31,3,FALSE()),"Not Found")</f>
        <v>East</v>
      </c>
      <c r="G920" s="46" t="n">
        <f aca="false">IFERROR(VLOOKUP(Orders!D920,Products!$A$2:$F$61,4,FALSE()),"")</f>
        <v>1173</v>
      </c>
      <c r="H920" s="47" t="n">
        <f aca="false">IF(G920="","",(Orders!G920-G920)/Orders!G920)</f>
        <v>0.527016129032258</v>
      </c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</row>
    <row r="921" customFormat="false" ht="15" hidden="false" customHeight="false" outlineLevel="0" collapsed="false">
      <c r="A921" s="46" t="str">
        <f aca="false">Orders!A921</f>
        <v>ORD-00920</v>
      </c>
      <c r="B921" s="46" t="str">
        <f aca="false">PROPER(TRIM(Orders!K921))</f>
        <v>Mumbai</v>
      </c>
      <c r="C921" s="46" t="str">
        <f aca="false">IFERROR(VLOOKUP(Orders!D921,Products!$A$2:$F$61,3,FALSE()),"Not Found")</f>
        <v>Grocery</v>
      </c>
      <c r="D921" s="46" t="str">
        <f aca="false">IFERROR(VLOOKUP(Orders!C921,Customers!$A$2:$F$301,5,FALSE()),"Not Found")</f>
        <v>Corporate</v>
      </c>
      <c r="E921" s="46" t="n">
        <f aca="false">IFERROR(VLOOKUP(Orders!C921,Customers!$A$2:$F$301,3,FALSE()),"Not Found")</f>
        <v>60</v>
      </c>
      <c r="F921" s="46" t="str">
        <f aca="false">IFERROR(VLOOKUP(Orders!E921,Sales_Reps!$A$2:$E$31,3,FALSE()),"Not Found")</f>
        <v>East</v>
      </c>
      <c r="G921" s="46" t="n">
        <f aca="false">IFERROR(VLOOKUP(Orders!D921,Products!$A$2:$F$61,4,FALSE()),"")</f>
        <v>2214</v>
      </c>
      <c r="H921" s="47" t="n">
        <f aca="false">IF(G921="","",(Orders!G921-G921)/Orders!G921)</f>
        <v>0.395081967213115</v>
      </c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</row>
    <row r="922" customFormat="false" ht="15" hidden="false" customHeight="false" outlineLevel="0" collapsed="false">
      <c r="A922" s="46" t="str">
        <f aca="false">Orders!A922</f>
        <v>ORD-00921</v>
      </c>
      <c r="B922" s="46" t="str">
        <f aca="false">PROPER(TRIM(Orders!K922))</f>
        <v>Chennai</v>
      </c>
      <c r="C922" s="46" t="str">
        <f aca="false">IFERROR(VLOOKUP(Orders!D922,Products!$A$2:$F$61,3,FALSE()),"Not Found")</f>
        <v>Beauty</v>
      </c>
      <c r="D922" s="46" t="str">
        <f aca="false">IFERROR(VLOOKUP(Orders!C922,Customers!$A$2:$F$301,5,FALSE()),"Not Found")</f>
        <v>Retail</v>
      </c>
      <c r="E922" s="46" t="n">
        <f aca="false">IFERROR(VLOOKUP(Orders!C922,Customers!$A$2:$F$301,3,FALSE()),"Not Found")</f>
        <v>26</v>
      </c>
      <c r="F922" s="46" t="str">
        <f aca="false">IFERROR(VLOOKUP(Orders!E922,Sales_Reps!$A$2:$E$31,3,FALSE()),"Not Found")</f>
        <v>East</v>
      </c>
      <c r="G922" s="46" t="n">
        <f aca="false">IFERROR(VLOOKUP(Orders!D922,Products!$A$2:$F$61,4,FALSE()),"")</f>
        <v>1222</v>
      </c>
      <c r="H922" s="47" t="n">
        <f aca="false">IF(G922="","",(Orders!G922-G922)/Orders!G922)</f>
        <v>0.259393939393939</v>
      </c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</row>
    <row r="923" customFormat="false" ht="15" hidden="false" customHeight="false" outlineLevel="0" collapsed="false">
      <c r="A923" s="46" t="str">
        <f aca="false">Orders!A923</f>
        <v>ORD-00922</v>
      </c>
      <c r="B923" s="46" t="str">
        <f aca="false">PROPER(TRIM(Orders!K923))</f>
        <v>Hyderabad</v>
      </c>
      <c r="C923" s="46" t="str">
        <f aca="false">IFERROR(VLOOKUP(Orders!D923,Products!$A$2:$F$61,3,FALSE()),"Not Found")</f>
        <v>Sports</v>
      </c>
      <c r="D923" s="46" t="str">
        <f aca="false">IFERROR(VLOOKUP(Orders!C923,Customers!$A$2:$F$301,5,FALSE()),"Not Found")</f>
        <v>Corporate</v>
      </c>
      <c r="E923" s="46" t="n">
        <f aca="false">IFERROR(VLOOKUP(Orders!C923,Customers!$A$2:$F$301,3,FALSE()),"Not Found")</f>
        <v>56</v>
      </c>
      <c r="F923" s="46" t="str">
        <f aca="false">IFERROR(VLOOKUP(Orders!E923,Sales_Reps!$A$2:$E$31,3,FALSE()),"Not Found")</f>
        <v>West</v>
      </c>
      <c r="G923" s="46" t="n">
        <f aca="false">IFERROR(VLOOKUP(Orders!D923,Products!$A$2:$F$61,4,FALSE()),"")</f>
        <v>147</v>
      </c>
      <c r="H923" s="47" t="n">
        <f aca="false">IF(G923="","",(Orders!G923-G923)/Orders!G923)</f>
        <v>0.226315789473684</v>
      </c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</row>
    <row r="924" customFormat="false" ht="15" hidden="false" customHeight="false" outlineLevel="0" collapsed="false">
      <c r="A924" s="46" t="str">
        <f aca="false">Orders!A924</f>
        <v>ORD-00923</v>
      </c>
      <c r="B924" s="46" t="str">
        <f aca="false">PROPER(TRIM(Orders!K924))</f>
        <v>Pune</v>
      </c>
      <c r="C924" s="46" t="str">
        <f aca="false">IFERROR(VLOOKUP(Orders!D924,Products!$A$2:$F$61,3,FALSE()),"Not Found")</f>
        <v>Grocery</v>
      </c>
      <c r="D924" s="46" t="str">
        <f aca="false">IFERROR(VLOOKUP(Orders!C924,Customers!$A$2:$F$301,5,FALSE()),"Not Found")</f>
        <v>Corporate</v>
      </c>
      <c r="E924" s="46" t="n">
        <f aca="false">IFERROR(VLOOKUP(Orders!C924,Customers!$A$2:$F$301,3,FALSE()),"Not Found")</f>
        <v>40</v>
      </c>
      <c r="F924" s="46" t="str">
        <f aca="false">IFERROR(VLOOKUP(Orders!E924,Sales_Reps!$A$2:$E$31,3,FALSE()),"Not Found")</f>
        <v>North</v>
      </c>
      <c r="G924" s="46" t="n">
        <f aca="false">IFERROR(VLOOKUP(Orders!D924,Products!$A$2:$F$61,4,FALSE()),"")</f>
        <v>1412</v>
      </c>
      <c r="H924" s="47" t="n">
        <f aca="false">IF(G924="","",(Orders!G924-G924)/Orders!G924)</f>
        <v>0.377973568281938</v>
      </c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</row>
    <row r="925" customFormat="false" ht="15" hidden="false" customHeight="false" outlineLevel="0" collapsed="false">
      <c r="A925" s="46" t="str">
        <f aca="false">Orders!A925</f>
        <v>ORD-00924</v>
      </c>
      <c r="B925" s="46" t="str">
        <f aca="false">PROPER(TRIM(Orders!K925))</f>
        <v>Bengaluru</v>
      </c>
      <c r="C925" s="46" t="str">
        <f aca="false">IFERROR(VLOOKUP(Orders!D925,Products!$A$2:$F$61,3,FALSE()),"Not Found")</f>
        <v>Grocery</v>
      </c>
      <c r="D925" s="46" t="str">
        <f aca="false">IFERROR(VLOOKUP(Orders!C925,Customers!$A$2:$F$301,5,FALSE()),"Not Found")</f>
        <v>Retail</v>
      </c>
      <c r="E925" s="46" t="n">
        <f aca="false">IFERROR(VLOOKUP(Orders!C925,Customers!$A$2:$F$301,3,FALSE()),"Not Found")</f>
        <v>61</v>
      </c>
      <c r="F925" s="46" t="str">
        <f aca="false">IFERROR(VLOOKUP(Orders!E925,Sales_Reps!$A$2:$E$31,3,FALSE()),"Not Found")</f>
        <v>South</v>
      </c>
      <c r="G925" s="46" t="n">
        <f aca="false">IFERROR(VLOOKUP(Orders!D925,Products!$A$2:$F$61,4,FALSE()),"")</f>
        <v>1203</v>
      </c>
      <c r="H925" s="47" t="n">
        <f aca="false">IF(G925="","",(Orders!G925-G925)/Orders!G925)</f>
        <v>0.470044052863436</v>
      </c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</row>
    <row r="926" customFormat="false" ht="15" hidden="false" customHeight="false" outlineLevel="0" collapsed="false">
      <c r="A926" s="46" t="str">
        <f aca="false">Orders!A926</f>
        <v>ORD-00925</v>
      </c>
      <c r="B926" s="46" t="str">
        <f aca="false">PROPER(TRIM(Orders!K926))</f>
        <v>Mumbai</v>
      </c>
      <c r="C926" s="46" t="str">
        <f aca="false">IFERROR(VLOOKUP(Orders!D926,Products!$A$2:$F$61,3,FALSE()),"Not Found")</f>
        <v>Apparel</v>
      </c>
      <c r="D926" s="46" t="str">
        <f aca="false">IFERROR(VLOOKUP(Orders!C926,Customers!$A$2:$F$301,5,FALSE()),"Not Found")</f>
        <v>Retail</v>
      </c>
      <c r="E926" s="46" t="n">
        <f aca="false">IFERROR(VLOOKUP(Orders!C926,Customers!$A$2:$F$301,3,FALSE()),"Not Found")</f>
        <v>52</v>
      </c>
      <c r="F926" s="46" t="str">
        <f aca="false">IFERROR(VLOOKUP(Orders!E926,Sales_Reps!$A$2:$E$31,3,FALSE()),"Not Found")</f>
        <v>East</v>
      </c>
      <c r="G926" s="46" t="n">
        <f aca="false">IFERROR(VLOOKUP(Orders!D926,Products!$A$2:$F$61,4,FALSE()),"")</f>
        <v>1748</v>
      </c>
      <c r="H926" s="47" t="n">
        <f aca="false">IF(G926="","",(Orders!G926-G926)/Orders!G926)</f>
        <v>0.493333333333333</v>
      </c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</row>
    <row r="927" customFormat="false" ht="15" hidden="false" customHeight="false" outlineLevel="0" collapsed="false">
      <c r="A927" s="46" t="str">
        <f aca="false">Orders!A927</f>
        <v>ORD-00926</v>
      </c>
      <c r="B927" s="46" t="str">
        <f aca="false">PROPER(TRIM(Orders!K927))</f>
        <v>Mumbai</v>
      </c>
      <c r="C927" s="46" t="str">
        <f aca="false">IFERROR(VLOOKUP(Orders!D927,Products!$A$2:$F$61,3,FALSE()),"Not Found")</f>
        <v>Beauty</v>
      </c>
      <c r="D927" s="46" t="str">
        <f aca="false">IFERROR(VLOOKUP(Orders!C927,Customers!$A$2:$F$301,5,FALSE()),"Not Found")</f>
        <v>Retail</v>
      </c>
      <c r="E927" s="46" t="n">
        <f aca="false">IFERROR(VLOOKUP(Orders!C927,Customers!$A$2:$F$301,3,FALSE()),"Not Found")</f>
        <v>44</v>
      </c>
      <c r="F927" s="46" t="str">
        <f aca="false">IFERROR(VLOOKUP(Orders!E927,Sales_Reps!$A$2:$E$31,3,FALSE()),"Not Found")</f>
        <v>West</v>
      </c>
      <c r="G927" s="46" t="n">
        <f aca="false">IFERROR(VLOOKUP(Orders!D927,Products!$A$2:$F$61,4,FALSE()),"")</f>
        <v>1626</v>
      </c>
      <c r="H927" s="47" t="n">
        <f aca="false">IF(G927="","",(Orders!G927-G927)/Orders!G927)</f>
        <v>0.46158940397351</v>
      </c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</row>
    <row r="928" customFormat="false" ht="15" hidden="false" customHeight="false" outlineLevel="0" collapsed="false">
      <c r="A928" s="46" t="str">
        <f aca="false">Orders!A928</f>
        <v>ORD-00927</v>
      </c>
      <c r="B928" s="46" t="str">
        <f aca="false">PROPER(TRIM(Orders!K928))</f>
        <v>Bengaluru</v>
      </c>
      <c r="C928" s="46" t="str">
        <f aca="false">IFERROR(VLOOKUP(Orders!D928,Products!$A$2:$F$61,3,FALSE()),"Not Found")</f>
        <v>Home</v>
      </c>
      <c r="D928" s="46" t="str">
        <f aca="false">IFERROR(VLOOKUP(Orders!C928,Customers!$A$2:$F$301,5,FALSE()),"Not Found")</f>
        <v>Retail</v>
      </c>
      <c r="E928" s="46" t="n">
        <f aca="false">IFERROR(VLOOKUP(Orders!C928,Customers!$A$2:$F$301,3,FALSE()),"Not Found")</f>
        <v>47</v>
      </c>
      <c r="F928" s="46" t="str">
        <f aca="false">IFERROR(VLOOKUP(Orders!E928,Sales_Reps!$A$2:$E$31,3,FALSE()),"Not Found")</f>
        <v>South</v>
      </c>
      <c r="G928" s="46" t="n">
        <f aca="false">IFERROR(VLOOKUP(Orders!D928,Products!$A$2:$F$61,4,FALSE()),"")</f>
        <v>1143</v>
      </c>
      <c r="H928" s="47" t="n">
        <f aca="false">IF(G928="","",(Orders!G928-G928)/Orders!G928)</f>
        <v>0.436945812807882</v>
      </c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</row>
    <row r="929" customFormat="false" ht="15" hidden="false" customHeight="false" outlineLevel="0" collapsed="false">
      <c r="A929" s="46" t="str">
        <f aca="false">Orders!A929</f>
        <v>ORD-00928</v>
      </c>
      <c r="B929" s="46" t="str">
        <f aca="false">PROPER(TRIM(Orders!K929))</f>
        <v>Chennai</v>
      </c>
      <c r="C929" s="46" t="str">
        <f aca="false">IFERROR(VLOOKUP(Orders!D929,Products!$A$2:$F$61,3,FALSE()),"Not Found")</f>
        <v>Apparel</v>
      </c>
      <c r="D929" s="46" t="str">
        <f aca="false">IFERROR(VLOOKUP(Orders!C929,Customers!$A$2:$F$301,5,FALSE()),"Not Found")</f>
        <v>Retail</v>
      </c>
      <c r="E929" s="46" t="n">
        <f aca="false">IFERROR(VLOOKUP(Orders!C929,Customers!$A$2:$F$301,3,FALSE()),"Not Found")</f>
        <v>38</v>
      </c>
      <c r="F929" s="46" t="str">
        <f aca="false">IFERROR(VLOOKUP(Orders!E929,Sales_Reps!$A$2:$E$31,3,FALSE()),"Not Found")</f>
        <v>South</v>
      </c>
      <c r="G929" s="46" t="n">
        <f aca="false">IFERROR(VLOOKUP(Orders!D929,Products!$A$2:$F$61,4,FALSE()),"")</f>
        <v>1748</v>
      </c>
      <c r="H929" s="47" t="n">
        <f aca="false">IF(G929="","",(Orders!G929-G929)/Orders!G929)</f>
        <v>0.493333333333333</v>
      </c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</row>
    <row r="930" customFormat="false" ht="15" hidden="false" customHeight="false" outlineLevel="0" collapsed="false">
      <c r="A930" s="46" t="str">
        <f aca="false">Orders!A930</f>
        <v>ORD-00929</v>
      </c>
      <c r="B930" s="46" t="str">
        <f aca="false">PROPER(TRIM(Orders!K930))</f>
        <v>Mumbai</v>
      </c>
      <c r="C930" s="46" t="str">
        <f aca="false">IFERROR(VLOOKUP(Orders!D930,Products!$A$2:$F$61,3,FALSE()),"Not Found")</f>
        <v>Beauty</v>
      </c>
      <c r="D930" s="46" t="str">
        <f aca="false">IFERROR(VLOOKUP(Orders!C930,Customers!$A$2:$F$301,5,FALSE()),"Not Found")</f>
        <v>Retail</v>
      </c>
      <c r="E930" s="46" t="n">
        <f aca="false">IFERROR(VLOOKUP(Orders!C930,Customers!$A$2:$F$301,3,FALSE()),"Not Found")</f>
        <v>44</v>
      </c>
      <c r="F930" s="46" t="str">
        <f aca="false">IFERROR(VLOOKUP(Orders!E930,Sales_Reps!$A$2:$E$31,3,FALSE()),"Not Found")</f>
        <v>West</v>
      </c>
      <c r="G930" s="46" t="n">
        <f aca="false">IFERROR(VLOOKUP(Orders!D930,Products!$A$2:$F$61,4,FALSE()),"")</f>
        <v>675</v>
      </c>
      <c r="H930" s="47" t="n">
        <f aca="false">IF(G930="","",(Orders!G930-G930)/Orders!G930)</f>
        <v>0.296875</v>
      </c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</row>
    <row r="931" customFormat="false" ht="15" hidden="false" customHeight="false" outlineLevel="0" collapsed="false">
      <c r="A931" s="46" t="str">
        <f aca="false">Orders!A931</f>
        <v>ORD-00930</v>
      </c>
      <c r="B931" s="46" t="str">
        <f aca="false">PROPER(TRIM(Orders!K931))</f>
        <v>Delhi</v>
      </c>
      <c r="C931" s="46" t="str">
        <f aca="false">IFERROR(VLOOKUP(Orders!D931,Products!$A$2:$F$61,3,FALSE()),"Not Found")</f>
        <v>Electronics</v>
      </c>
      <c r="D931" s="46" t="str">
        <f aca="false">IFERROR(VLOOKUP(Orders!C931,Customers!$A$2:$F$301,5,FALSE()),"Not Found")</f>
        <v>Retail</v>
      </c>
      <c r="E931" s="46" t="n">
        <f aca="false">IFERROR(VLOOKUP(Orders!C931,Customers!$A$2:$F$301,3,FALSE()),"Not Found")</f>
        <v>52</v>
      </c>
      <c r="F931" s="46" t="str">
        <f aca="false">IFERROR(VLOOKUP(Orders!E931,Sales_Reps!$A$2:$E$31,3,FALSE()),"Not Found")</f>
        <v>North</v>
      </c>
      <c r="G931" s="46" t="n">
        <f aca="false">IFERROR(VLOOKUP(Orders!D931,Products!$A$2:$F$61,4,FALSE()),"")</f>
        <v>2865</v>
      </c>
      <c r="H931" s="47" t="n">
        <f aca="false">IF(G931="","",(Orders!G931-G931)/Orders!G931)</f>
        <v>0.278337531486146</v>
      </c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</row>
    <row r="932" customFormat="false" ht="15" hidden="false" customHeight="false" outlineLevel="0" collapsed="false">
      <c r="A932" s="46" t="str">
        <f aca="false">Orders!A932</f>
        <v>ORD-00931</v>
      </c>
      <c r="B932" s="46" t="str">
        <f aca="false">PROPER(TRIM(Orders!K932))</f>
        <v>Hyderabad</v>
      </c>
      <c r="C932" s="46" t="str">
        <f aca="false">IFERROR(VLOOKUP(Orders!D932,Products!$A$2:$F$61,3,FALSE()),"Not Found")</f>
        <v>Sports</v>
      </c>
      <c r="D932" s="46" t="str">
        <f aca="false">IFERROR(VLOOKUP(Orders!C932,Customers!$A$2:$F$301,5,FALSE()),"Not Found")</f>
        <v>Corporate</v>
      </c>
      <c r="E932" s="46" t="n">
        <f aca="false">IFERROR(VLOOKUP(Orders!C932,Customers!$A$2:$F$301,3,FALSE()),"Not Found")</f>
        <v>46</v>
      </c>
      <c r="F932" s="46" t="str">
        <f aca="false">IFERROR(VLOOKUP(Orders!E932,Sales_Reps!$A$2:$E$31,3,FALSE()),"Not Found")</f>
        <v>West</v>
      </c>
      <c r="G932" s="46" t="n">
        <f aca="false">IFERROR(VLOOKUP(Orders!D932,Products!$A$2:$F$61,4,FALSE()),"")</f>
        <v>2265</v>
      </c>
      <c r="H932" s="47" t="n">
        <f aca="false">IF(G932="","",(Orders!G932-G932)/Orders!G932)</f>
        <v>0.581330868761553</v>
      </c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</row>
    <row r="933" customFormat="false" ht="15" hidden="false" customHeight="false" outlineLevel="0" collapsed="false">
      <c r="A933" s="46" t="str">
        <f aca="false">Orders!A933</f>
        <v>ORD-00932</v>
      </c>
      <c r="B933" s="46" t="str">
        <f aca="false">PROPER(TRIM(Orders!K933))</f>
        <v>Pune</v>
      </c>
      <c r="C933" s="46" t="str">
        <f aca="false">IFERROR(VLOOKUP(Orders!D933,Products!$A$2:$F$61,3,FALSE()),"Not Found")</f>
        <v>Electronics</v>
      </c>
      <c r="D933" s="46" t="str">
        <f aca="false">IFERROR(VLOOKUP(Orders!C933,Customers!$A$2:$F$301,5,FALSE()),"Not Found")</f>
        <v>Corporate</v>
      </c>
      <c r="E933" s="46" t="n">
        <f aca="false">IFERROR(VLOOKUP(Orders!C933,Customers!$A$2:$F$301,3,FALSE()),"Not Found")</f>
        <v>37</v>
      </c>
      <c r="F933" s="46" t="str">
        <f aca="false">IFERROR(VLOOKUP(Orders!E933,Sales_Reps!$A$2:$E$31,3,FALSE()),"Not Found")</f>
        <v>North</v>
      </c>
      <c r="G933" s="46" t="n">
        <f aca="false">IFERROR(VLOOKUP(Orders!D933,Products!$A$2:$F$61,4,FALSE()),"")</f>
        <v>1665</v>
      </c>
      <c r="H933" s="47" t="n">
        <f aca="false">IF(G933="","",(Orders!G933-G933)/Orders!G933)</f>
        <v>0.533613445378151</v>
      </c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</row>
    <row r="934" customFormat="false" ht="15" hidden="false" customHeight="false" outlineLevel="0" collapsed="false">
      <c r="A934" s="46" t="str">
        <f aca="false">Orders!A934</f>
        <v>ORD-00933</v>
      </c>
      <c r="B934" s="46" t="str">
        <f aca="false">PROPER(TRIM(Orders!K934))</f>
        <v>Mumbai</v>
      </c>
      <c r="C934" s="46" t="str">
        <f aca="false">IFERROR(VLOOKUP(Orders!D934,Products!$A$2:$F$61,3,FALSE()),"Not Found")</f>
        <v>Electronics</v>
      </c>
      <c r="D934" s="46" t="str">
        <f aca="false">IFERROR(VLOOKUP(Orders!C934,Customers!$A$2:$F$301,5,FALSE()),"Not Found")</f>
        <v>SMB</v>
      </c>
      <c r="E934" s="46" t="n">
        <f aca="false">IFERROR(VLOOKUP(Orders!C934,Customers!$A$2:$F$301,3,FALSE()),"Not Found")</f>
        <v>54</v>
      </c>
      <c r="F934" s="46" t="str">
        <f aca="false">IFERROR(VLOOKUP(Orders!E934,Sales_Reps!$A$2:$E$31,3,FALSE()),"Not Found")</f>
        <v>South</v>
      </c>
      <c r="G934" s="46" t="n">
        <f aca="false">IFERROR(VLOOKUP(Orders!D934,Products!$A$2:$F$61,4,FALSE()),"")</f>
        <v>1052</v>
      </c>
      <c r="H934" s="47" t="n">
        <f aca="false">IF(G934="","",(Orders!G934-G934)/Orders!G934)</f>
        <v>0.595384615384615</v>
      </c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</row>
    <row r="935" customFormat="false" ht="15" hidden="false" customHeight="false" outlineLevel="0" collapsed="false">
      <c r="A935" s="46" t="str">
        <f aca="false">Orders!A935</f>
        <v>ORD-00934</v>
      </c>
      <c r="B935" s="46" t="str">
        <f aca="false">PROPER(TRIM(Orders!K935))</f>
        <v>Delhi</v>
      </c>
      <c r="C935" s="46" t="str">
        <f aca="false">IFERROR(VLOOKUP(Orders!D935,Products!$A$2:$F$61,3,FALSE()),"Not Found")</f>
        <v>Sports</v>
      </c>
      <c r="D935" s="46" t="str">
        <f aca="false">IFERROR(VLOOKUP(Orders!C935,Customers!$A$2:$F$301,5,FALSE()),"Not Found")</f>
        <v>Corporate</v>
      </c>
      <c r="E935" s="46" t="n">
        <f aca="false">IFERROR(VLOOKUP(Orders!C935,Customers!$A$2:$F$301,3,FALSE()),"Not Found")</f>
        <v>55</v>
      </c>
      <c r="F935" s="46" t="str">
        <f aca="false">IFERROR(VLOOKUP(Orders!E935,Sales_Reps!$A$2:$E$31,3,FALSE()),"Not Found")</f>
        <v>West</v>
      </c>
      <c r="G935" s="46" t="n">
        <f aca="false">IFERROR(VLOOKUP(Orders!D935,Products!$A$2:$F$61,4,FALSE()),"")</f>
        <v>302</v>
      </c>
      <c r="H935" s="47" t="n">
        <f aca="false">IF(G935="","",(Orders!G935-G935)/Orders!G935)</f>
        <v>0.357446808510638</v>
      </c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</row>
    <row r="936" customFormat="false" ht="15" hidden="false" customHeight="false" outlineLevel="0" collapsed="false">
      <c r="A936" s="46" t="str">
        <f aca="false">Orders!A936</f>
        <v>ORD-00935</v>
      </c>
      <c r="B936" s="46" t="str">
        <f aca="false">PROPER(TRIM(Orders!K936))</f>
        <v>Bengaluru</v>
      </c>
      <c r="C936" s="46" t="str">
        <f aca="false">IFERROR(VLOOKUP(Orders!D936,Products!$A$2:$F$61,3,FALSE()),"Not Found")</f>
        <v>Sports</v>
      </c>
      <c r="D936" s="46" t="str">
        <f aca="false">IFERROR(VLOOKUP(Orders!C936,Customers!$A$2:$F$301,5,FALSE()),"Not Found")</f>
        <v>Retail</v>
      </c>
      <c r="E936" s="46" t="n">
        <f aca="false">IFERROR(VLOOKUP(Orders!C936,Customers!$A$2:$F$301,3,FALSE()),"Not Found")</f>
        <v>29</v>
      </c>
      <c r="F936" s="46" t="str">
        <f aca="false">IFERROR(VLOOKUP(Orders!E936,Sales_Reps!$A$2:$E$31,3,FALSE()),"Not Found")</f>
        <v>West</v>
      </c>
      <c r="G936" s="46" t="n">
        <f aca="false">IFERROR(VLOOKUP(Orders!D936,Products!$A$2:$F$61,4,FALSE()),"")</f>
        <v>302</v>
      </c>
      <c r="H936" s="47" t="n">
        <f aca="false">IF(G936="","",(Orders!G936-G936)/Orders!G936)</f>
        <v>0.357446808510638</v>
      </c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</row>
    <row r="937" customFormat="false" ht="15" hidden="false" customHeight="false" outlineLevel="0" collapsed="false">
      <c r="A937" s="46" t="str">
        <f aca="false">Orders!A937</f>
        <v>ORD-00936</v>
      </c>
      <c r="B937" s="46" t="str">
        <f aca="false">PROPER(TRIM(Orders!K937))</f>
        <v>Chennai</v>
      </c>
      <c r="C937" s="46" t="str">
        <f aca="false">IFERROR(VLOOKUP(Orders!D937,Products!$A$2:$F$61,3,FALSE()),"Not Found")</f>
        <v>Sports</v>
      </c>
      <c r="D937" s="46" t="str">
        <f aca="false">IFERROR(VLOOKUP(Orders!C937,Customers!$A$2:$F$301,5,FALSE()),"Not Found")</f>
        <v>SMB</v>
      </c>
      <c r="E937" s="46" t="n">
        <f aca="false">IFERROR(VLOOKUP(Orders!C937,Customers!$A$2:$F$301,3,FALSE()),"Not Found")</f>
        <v>51</v>
      </c>
      <c r="F937" s="46" t="str">
        <f aca="false">IFERROR(VLOOKUP(Orders!E937,Sales_Reps!$A$2:$E$31,3,FALSE()),"Not Found")</f>
        <v>North</v>
      </c>
      <c r="G937" s="46" t="n">
        <f aca="false">IFERROR(VLOOKUP(Orders!D937,Products!$A$2:$F$61,4,FALSE()),"")</f>
        <v>1860</v>
      </c>
      <c r="H937" s="47" t="n">
        <f aca="false">IF(G937="","",(Orders!G937-G937)/Orders!G937)</f>
        <v>0.507936507936508</v>
      </c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</row>
    <row r="938" customFormat="false" ht="15" hidden="false" customHeight="false" outlineLevel="0" collapsed="false">
      <c r="A938" s="46" t="str">
        <f aca="false">Orders!A938</f>
        <v>ORD-00937</v>
      </c>
      <c r="B938" s="46" t="str">
        <f aca="false">PROPER(TRIM(Orders!K938))</f>
        <v>Pune</v>
      </c>
      <c r="C938" s="46" t="str">
        <f aca="false">IFERROR(VLOOKUP(Orders!D938,Products!$A$2:$F$61,3,FALSE()),"Not Found")</f>
        <v>Sports</v>
      </c>
      <c r="D938" s="46" t="str">
        <f aca="false">IFERROR(VLOOKUP(Orders!C938,Customers!$A$2:$F$301,5,FALSE()),"Not Found")</f>
        <v>Retail</v>
      </c>
      <c r="E938" s="46" t="n">
        <f aca="false">IFERROR(VLOOKUP(Orders!C938,Customers!$A$2:$F$301,3,FALSE()),"Not Found")</f>
        <v>56</v>
      </c>
      <c r="F938" s="46" t="str">
        <f aca="false">IFERROR(VLOOKUP(Orders!E938,Sales_Reps!$A$2:$E$31,3,FALSE()),"Not Found")</f>
        <v>East</v>
      </c>
      <c r="G938" s="46" t="n">
        <f aca="false">IFERROR(VLOOKUP(Orders!D938,Products!$A$2:$F$61,4,FALSE()),"")</f>
        <v>2827</v>
      </c>
      <c r="H938" s="47" t="n">
        <f aca="false">IF(G938="","",(Orders!G938-G938)/Orders!G938)</f>
        <v>0.592651296829971</v>
      </c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</row>
    <row r="939" customFormat="false" ht="15" hidden="false" customHeight="false" outlineLevel="0" collapsed="false">
      <c r="A939" s="46" t="str">
        <f aca="false">Orders!A939</f>
        <v>ORD-00938</v>
      </c>
      <c r="B939" s="46" t="str">
        <f aca="false">PROPER(TRIM(Orders!K939))</f>
        <v>Pune</v>
      </c>
      <c r="C939" s="46" t="str">
        <f aca="false">IFERROR(VLOOKUP(Orders!D939,Products!$A$2:$F$61,3,FALSE()),"Not Found")</f>
        <v>Electronics</v>
      </c>
      <c r="D939" s="46" t="str">
        <f aca="false">IFERROR(VLOOKUP(Orders!C939,Customers!$A$2:$F$301,5,FALSE()),"Not Found")</f>
        <v>Retail</v>
      </c>
      <c r="E939" s="46" t="n">
        <f aca="false">IFERROR(VLOOKUP(Orders!C939,Customers!$A$2:$F$301,3,FALSE()),"Not Found")</f>
        <v>22</v>
      </c>
      <c r="F939" s="46" t="str">
        <f aca="false">IFERROR(VLOOKUP(Orders!E939,Sales_Reps!$A$2:$E$31,3,FALSE()),"Not Found")</f>
        <v>West</v>
      </c>
      <c r="G939" s="46" t="n">
        <f aca="false">IFERROR(VLOOKUP(Orders!D939,Products!$A$2:$F$61,4,FALSE()),"")</f>
        <v>1559</v>
      </c>
      <c r="H939" s="47" t="n">
        <f aca="false">IF(G939="","",(Orders!G939-G939)/Orders!G939)</f>
        <v>0.597157622739018</v>
      </c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</row>
    <row r="940" customFormat="false" ht="15" hidden="false" customHeight="false" outlineLevel="0" collapsed="false">
      <c r="A940" s="46" t="str">
        <f aca="false">Orders!A940</f>
        <v>ORD-00939</v>
      </c>
      <c r="B940" s="46" t="str">
        <f aca="false">PROPER(TRIM(Orders!K940))</f>
        <v>Bengaluru</v>
      </c>
      <c r="C940" s="46" t="str">
        <f aca="false">IFERROR(VLOOKUP(Orders!D940,Products!$A$2:$F$61,3,FALSE()),"Not Found")</f>
        <v>Sports</v>
      </c>
      <c r="D940" s="46" t="str">
        <f aca="false">IFERROR(VLOOKUP(Orders!C940,Customers!$A$2:$F$301,5,FALSE()),"Not Found")</f>
        <v>Corporate</v>
      </c>
      <c r="E940" s="46" t="n">
        <f aca="false">IFERROR(VLOOKUP(Orders!C940,Customers!$A$2:$F$301,3,FALSE()),"Not Found")</f>
        <v>41</v>
      </c>
      <c r="F940" s="46" t="str">
        <f aca="false">IFERROR(VLOOKUP(Orders!E940,Sales_Reps!$A$2:$E$31,3,FALSE()),"Not Found")</f>
        <v>South</v>
      </c>
      <c r="G940" s="46" t="n">
        <f aca="false">IFERROR(VLOOKUP(Orders!D940,Products!$A$2:$F$61,4,FALSE()),"")</f>
        <v>2265</v>
      </c>
      <c r="H940" s="47" t="n">
        <f aca="false">IF(G940="","",(Orders!G940-G940)/Orders!G940)</f>
        <v>0.581330868761553</v>
      </c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</row>
    <row r="941" customFormat="false" ht="15" hidden="false" customHeight="false" outlineLevel="0" collapsed="false">
      <c r="A941" s="46" t="str">
        <f aca="false">Orders!A941</f>
        <v>ORD-00940</v>
      </c>
      <c r="B941" s="46" t="str">
        <f aca="false">PROPER(TRIM(Orders!K941))</f>
        <v>Pune</v>
      </c>
      <c r="C941" s="46" t="str">
        <f aca="false">IFERROR(VLOOKUP(Orders!D941,Products!$A$2:$F$61,3,FALSE()),"Not Found")</f>
        <v>Electronics</v>
      </c>
      <c r="D941" s="46" t="str">
        <f aca="false">IFERROR(VLOOKUP(Orders!C941,Customers!$A$2:$F$301,5,FALSE()),"Not Found")</f>
        <v>Corporate</v>
      </c>
      <c r="E941" s="46" t="n">
        <f aca="false">IFERROR(VLOOKUP(Orders!C941,Customers!$A$2:$F$301,3,FALSE()),"Not Found")</f>
        <v>47</v>
      </c>
      <c r="F941" s="46" t="str">
        <f aca="false">IFERROR(VLOOKUP(Orders!E941,Sales_Reps!$A$2:$E$31,3,FALSE()),"Not Found")</f>
        <v>West</v>
      </c>
      <c r="G941" s="46" t="n">
        <f aca="false">IFERROR(VLOOKUP(Orders!D941,Products!$A$2:$F$61,4,FALSE()),"")</f>
        <v>2865</v>
      </c>
      <c r="H941" s="47" t="n">
        <f aca="false">IF(G941="","",(Orders!G941-G941)/Orders!G941)</f>
        <v>0.278337531486146</v>
      </c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</row>
    <row r="942" customFormat="false" ht="15" hidden="false" customHeight="false" outlineLevel="0" collapsed="false">
      <c r="A942" s="46" t="str">
        <f aca="false">Orders!A942</f>
        <v>ORD-00941</v>
      </c>
      <c r="B942" s="46" t="str">
        <f aca="false">PROPER(TRIM(Orders!K942))</f>
        <v>Mumbai</v>
      </c>
      <c r="C942" s="46" t="str">
        <f aca="false">IFERROR(VLOOKUP(Orders!D942,Products!$A$2:$F$61,3,FALSE()),"Not Found")</f>
        <v>Sports</v>
      </c>
      <c r="D942" s="46" t="str">
        <f aca="false">IFERROR(VLOOKUP(Orders!C942,Customers!$A$2:$F$301,5,FALSE()),"Not Found")</f>
        <v>Retail</v>
      </c>
      <c r="E942" s="46" t="n">
        <f aca="false">IFERROR(VLOOKUP(Orders!C942,Customers!$A$2:$F$301,3,FALSE()),"Not Found")</f>
        <v>53</v>
      </c>
      <c r="F942" s="46" t="str">
        <f aca="false">IFERROR(VLOOKUP(Orders!E942,Sales_Reps!$A$2:$E$31,3,FALSE()),"Not Found")</f>
        <v>North</v>
      </c>
      <c r="G942" s="46" t="n">
        <f aca="false">IFERROR(VLOOKUP(Orders!D942,Products!$A$2:$F$61,4,FALSE()),"")</f>
        <v>2827</v>
      </c>
      <c r="H942" s="47" t="n">
        <f aca="false">IF(G942="","",(Orders!G942-G942)/Orders!G942)</f>
        <v>0.592651296829971</v>
      </c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</row>
    <row r="943" customFormat="false" ht="15" hidden="false" customHeight="false" outlineLevel="0" collapsed="false">
      <c r="A943" s="46" t="str">
        <f aca="false">Orders!A943</f>
        <v>ORD-00942</v>
      </c>
      <c r="B943" s="46" t="str">
        <f aca="false">PROPER(TRIM(Orders!K943))</f>
        <v>Bengaluru</v>
      </c>
      <c r="C943" s="46" t="str">
        <f aca="false">IFERROR(VLOOKUP(Orders!D943,Products!$A$2:$F$61,3,FALSE()),"Not Found")</f>
        <v>Apparel</v>
      </c>
      <c r="D943" s="46" t="str">
        <f aca="false">IFERROR(VLOOKUP(Orders!C943,Customers!$A$2:$F$301,5,FALSE()),"Not Found")</f>
        <v>Corporate</v>
      </c>
      <c r="E943" s="46" t="n">
        <f aca="false">IFERROR(VLOOKUP(Orders!C943,Customers!$A$2:$F$301,3,FALSE()),"Not Found")</f>
        <v>55</v>
      </c>
      <c r="F943" s="46" t="str">
        <f aca="false">IFERROR(VLOOKUP(Orders!E943,Sales_Reps!$A$2:$E$31,3,FALSE()),"Not Found")</f>
        <v>North</v>
      </c>
      <c r="G943" s="46" t="n">
        <f aca="false">IFERROR(VLOOKUP(Orders!D943,Products!$A$2:$F$61,4,FALSE()),"")</f>
        <v>1886</v>
      </c>
      <c r="H943" s="47" t="n">
        <f aca="false">IF(G943="","",(Orders!G943-G943)/Orders!G943)</f>
        <v>0.403164556962025</v>
      </c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</row>
    <row r="944" customFormat="false" ht="15" hidden="false" customHeight="false" outlineLevel="0" collapsed="false">
      <c r="A944" s="46" t="str">
        <f aca="false">Orders!A944</f>
        <v>ORD-00943</v>
      </c>
      <c r="B944" s="46" t="str">
        <f aca="false">PROPER(TRIM(Orders!K944))</f>
        <v>Bengaluru</v>
      </c>
      <c r="C944" s="46" t="str">
        <f aca="false">IFERROR(VLOOKUP(Orders!D944,Products!$A$2:$F$61,3,FALSE()),"Not Found")</f>
        <v>Apparel</v>
      </c>
      <c r="D944" s="46" t="str">
        <f aca="false">IFERROR(VLOOKUP(Orders!C944,Customers!$A$2:$F$301,5,FALSE()),"Not Found")</f>
        <v>Corporate</v>
      </c>
      <c r="E944" s="46" t="n">
        <f aca="false">IFERROR(VLOOKUP(Orders!C944,Customers!$A$2:$F$301,3,FALSE()),"Not Found")</f>
        <v>43</v>
      </c>
      <c r="F944" s="46" t="str">
        <f aca="false">IFERROR(VLOOKUP(Orders!E944,Sales_Reps!$A$2:$E$31,3,FALSE()),"Not Found")</f>
        <v>West</v>
      </c>
      <c r="G944" s="46" t="n">
        <f aca="false">IFERROR(VLOOKUP(Orders!D944,Products!$A$2:$F$61,4,FALSE()),"")</f>
        <v>391</v>
      </c>
      <c r="H944" s="47" t="n">
        <f aca="false">IF(G944="","",(Orders!G944-G944)/Orders!G944)</f>
        <v>0.523170731707317</v>
      </c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</row>
    <row r="945" customFormat="false" ht="15" hidden="false" customHeight="false" outlineLevel="0" collapsed="false">
      <c r="A945" s="46" t="str">
        <f aca="false">Orders!A945</f>
        <v>ORD-00944</v>
      </c>
      <c r="B945" s="46" t="str">
        <f aca="false">PROPER(TRIM(Orders!K945))</f>
        <v>Bengaluru</v>
      </c>
      <c r="C945" s="46" t="str">
        <f aca="false">IFERROR(VLOOKUP(Orders!D945,Products!$A$2:$F$61,3,FALSE()),"Not Found")</f>
        <v>Beauty</v>
      </c>
      <c r="D945" s="46" t="str">
        <f aca="false">IFERROR(VLOOKUP(Orders!C945,Customers!$A$2:$F$301,5,FALSE()),"Not Found")</f>
        <v>SMB</v>
      </c>
      <c r="E945" s="46" t="n">
        <f aca="false">IFERROR(VLOOKUP(Orders!C945,Customers!$A$2:$F$301,3,FALSE()),"Not Found")</f>
        <v>34</v>
      </c>
      <c r="F945" s="46" t="str">
        <f aca="false">IFERROR(VLOOKUP(Orders!E945,Sales_Reps!$A$2:$E$31,3,FALSE()),"Not Found")</f>
        <v>West</v>
      </c>
      <c r="G945" s="46" t="n">
        <f aca="false">IFERROR(VLOOKUP(Orders!D945,Products!$A$2:$F$61,4,FALSE()),"")</f>
        <v>647</v>
      </c>
      <c r="H945" s="47" t="n">
        <f aca="false">IF(G945="","",(Orders!G945-G945)/Orders!G945)</f>
        <v>0.57987012987013</v>
      </c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</row>
    <row r="946" customFormat="false" ht="15" hidden="false" customHeight="false" outlineLevel="0" collapsed="false">
      <c r="A946" s="46" t="str">
        <f aca="false">Orders!A946</f>
        <v>ORD-00945</v>
      </c>
      <c r="B946" s="46" t="str">
        <f aca="false">PROPER(TRIM(Orders!K946))</f>
        <v>Bengaluru</v>
      </c>
      <c r="C946" s="46" t="str">
        <f aca="false">IFERROR(VLOOKUP(Orders!D946,Products!$A$2:$F$61,3,FALSE()),"Not Found")</f>
        <v>Electronics</v>
      </c>
      <c r="D946" s="46" t="str">
        <f aca="false">IFERROR(VLOOKUP(Orders!C946,Customers!$A$2:$F$301,5,FALSE()),"Not Found")</f>
        <v>Retail</v>
      </c>
      <c r="E946" s="46" t="n">
        <f aca="false">IFERROR(VLOOKUP(Orders!C946,Customers!$A$2:$F$301,3,FALSE()),"Not Found")</f>
        <v>29</v>
      </c>
      <c r="F946" s="46" t="str">
        <f aca="false">IFERROR(VLOOKUP(Orders!E946,Sales_Reps!$A$2:$E$31,3,FALSE()),"Not Found")</f>
        <v>North</v>
      </c>
      <c r="G946" s="46" t="n">
        <f aca="false">IFERROR(VLOOKUP(Orders!D946,Products!$A$2:$F$61,4,FALSE()),"")</f>
        <v>1559</v>
      </c>
      <c r="H946" s="47" t="n">
        <f aca="false">IF(G946="","",(Orders!G946-G946)/Orders!G946)</f>
        <v>0.597157622739018</v>
      </c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</row>
    <row r="947" customFormat="false" ht="15" hidden="false" customHeight="false" outlineLevel="0" collapsed="false">
      <c r="A947" s="46" t="str">
        <f aca="false">Orders!A947</f>
        <v>ORD-00946</v>
      </c>
      <c r="B947" s="46" t="str">
        <f aca="false">PROPER(TRIM(Orders!K947))</f>
        <v>Mumbai</v>
      </c>
      <c r="C947" s="46" t="str">
        <f aca="false">IFERROR(VLOOKUP(Orders!D947,Products!$A$2:$F$61,3,FALSE()),"Not Found")</f>
        <v>Electronics</v>
      </c>
      <c r="D947" s="46" t="str">
        <f aca="false">IFERROR(VLOOKUP(Orders!C947,Customers!$A$2:$F$301,5,FALSE()),"Not Found")</f>
        <v>Retail</v>
      </c>
      <c r="E947" s="46" t="n">
        <f aca="false">IFERROR(VLOOKUP(Orders!C947,Customers!$A$2:$F$301,3,FALSE()),"Not Found")</f>
        <v>50</v>
      </c>
      <c r="F947" s="46" t="str">
        <f aca="false">IFERROR(VLOOKUP(Orders!E947,Sales_Reps!$A$2:$E$31,3,FALSE()),"Not Found")</f>
        <v>North</v>
      </c>
      <c r="G947" s="46" t="n">
        <f aca="false">IFERROR(VLOOKUP(Orders!D947,Products!$A$2:$F$61,4,FALSE()),"")</f>
        <v>1259</v>
      </c>
      <c r="H947" s="47" t="n">
        <f aca="false">IF(G947="","",(Orders!G947-G947)/Orders!G947)</f>
        <v>0.526691729323308</v>
      </c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</row>
    <row r="948" customFormat="false" ht="15" hidden="false" customHeight="false" outlineLevel="0" collapsed="false">
      <c r="A948" s="46" t="str">
        <f aca="false">Orders!A948</f>
        <v>ORD-00947</v>
      </c>
      <c r="B948" s="46" t="str">
        <f aca="false">PROPER(TRIM(Orders!K948))</f>
        <v>Chennai</v>
      </c>
      <c r="C948" s="46" t="str">
        <f aca="false">IFERROR(VLOOKUP(Orders!D948,Products!$A$2:$F$61,3,FALSE()),"Not Found")</f>
        <v>Electronics</v>
      </c>
      <c r="D948" s="46" t="str">
        <f aca="false">IFERROR(VLOOKUP(Orders!C948,Customers!$A$2:$F$301,5,FALSE()),"Not Found")</f>
        <v>SMB</v>
      </c>
      <c r="E948" s="46" t="n">
        <f aca="false">IFERROR(VLOOKUP(Orders!C948,Customers!$A$2:$F$301,3,FALSE()),"Not Found")</f>
        <v>51</v>
      </c>
      <c r="F948" s="46" t="str">
        <f aca="false">IFERROR(VLOOKUP(Orders!E948,Sales_Reps!$A$2:$E$31,3,FALSE()),"Not Found")</f>
        <v>South</v>
      </c>
      <c r="G948" s="46" t="n">
        <f aca="false">IFERROR(VLOOKUP(Orders!D948,Products!$A$2:$F$61,4,FALSE()),"")</f>
        <v>1665</v>
      </c>
      <c r="H948" s="47" t="n">
        <f aca="false">IF(G948="","",(Orders!G948-G948)/Orders!G948)</f>
        <v>0.533613445378151</v>
      </c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</row>
    <row r="949" customFormat="false" ht="15" hidden="false" customHeight="false" outlineLevel="0" collapsed="false">
      <c r="A949" s="46" t="str">
        <f aca="false">Orders!A949</f>
        <v>ORD-00948</v>
      </c>
      <c r="B949" s="46" t="str">
        <f aca="false">PROPER(TRIM(Orders!K949))</f>
        <v>Chennai</v>
      </c>
      <c r="C949" s="46" t="str">
        <f aca="false">IFERROR(VLOOKUP(Orders!D949,Products!$A$2:$F$61,3,FALSE()),"Not Found")</f>
        <v>Home</v>
      </c>
      <c r="D949" s="46" t="str">
        <f aca="false">IFERROR(VLOOKUP(Orders!C949,Customers!$A$2:$F$301,5,FALSE()),"Not Found")</f>
        <v>SMB</v>
      </c>
      <c r="E949" s="46" t="n">
        <f aca="false">IFERROR(VLOOKUP(Orders!C949,Customers!$A$2:$F$301,3,FALSE()),"Not Found")</f>
        <v>52</v>
      </c>
      <c r="F949" s="46" t="str">
        <f aca="false">IFERROR(VLOOKUP(Orders!E949,Sales_Reps!$A$2:$E$31,3,FALSE()),"Not Found")</f>
        <v>North</v>
      </c>
      <c r="G949" s="46" t="n">
        <f aca="false">IFERROR(VLOOKUP(Orders!D949,Products!$A$2:$F$61,4,FALSE()),"")</f>
        <v>1143</v>
      </c>
      <c r="H949" s="47" t="n">
        <f aca="false">IF(G949="","",(Orders!G949-G949)/Orders!G949)</f>
        <v>0.436945812807882</v>
      </c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</row>
    <row r="950" customFormat="false" ht="15" hidden="false" customHeight="false" outlineLevel="0" collapsed="false">
      <c r="A950" s="46" t="str">
        <f aca="false">Orders!A950</f>
        <v>ORD-00949</v>
      </c>
      <c r="B950" s="46" t="str">
        <f aca="false">PROPER(TRIM(Orders!K950))</f>
        <v>Hyderabad</v>
      </c>
      <c r="C950" s="46" t="str">
        <f aca="false">IFERROR(VLOOKUP(Orders!D950,Products!$A$2:$F$61,3,FALSE()),"Not Found")</f>
        <v>Apparel</v>
      </c>
      <c r="D950" s="46" t="str">
        <f aca="false">IFERROR(VLOOKUP(Orders!C950,Customers!$A$2:$F$301,5,FALSE()),"Not Found")</f>
        <v>Corporate</v>
      </c>
      <c r="E950" s="46" t="n">
        <f aca="false">IFERROR(VLOOKUP(Orders!C950,Customers!$A$2:$F$301,3,FALSE()),"Not Found")</f>
        <v>43</v>
      </c>
      <c r="F950" s="46" t="str">
        <f aca="false">IFERROR(VLOOKUP(Orders!E950,Sales_Reps!$A$2:$E$31,3,FALSE()),"Not Found")</f>
        <v>South</v>
      </c>
      <c r="G950" s="46" t="n">
        <f aca="false">IFERROR(VLOOKUP(Orders!D950,Products!$A$2:$F$61,4,FALSE()),"")</f>
        <v>1886</v>
      </c>
      <c r="H950" s="47" t="n">
        <f aca="false">IF(G950="","",(Orders!G950-G950)/Orders!G950)</f>
        <v>0.403164556962025</v>
      </c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</row>
    <row r="951" customFormat="false" ht="15" hidden="false" customHeight="false" outlineLevel="0" collapsed="false">
      <c r="A951" s="46" t="str">
        <f aca="false">Orders!A951</f>
        <v>ORD-00950</v>
      </c>
      <c r="B951" s="46" t="str">
        <f aca="false">PROPER(TRIM(Orders!K951))</f>
        <v>Delhi</v>
      </c>
      <c r="C951" s="46" t="str">
        <f aca="false">IFERROR(VLOOKUP(Orders!D951,Products!$A$2:$F$61,3,FALSE()),"Not Found")</f>
        <v>Home</v>
      </c>
      <c r="D951" s="46" t="str">
        <f aca="false">IFERROR(VLOOKUP(Orders!C951,Customers!$A$2:$F$301,5,FALSE()),"Not Found")</f>
        <v>SMB</v>
      </c>
      <c r="E951" s="46" t="n">
        <f aca="false">IFERROR(VLOOKUP(Orders!C951,Customers!$A$2:$F$301,3,FALSE()),"Not Found")</f>
        <v>55</v>
      </c>
      <c r="F951" s="46" t="str">
        <f aca="false">IFERROR(VLOOKUP(Orders!E951,Sales_Reps!$A$2:$E$31,3,FALSE()),"Not Found")</f>
        <v>South</v>
      </c>
      <c r="G951" s="46" t="n">
        <f aca="false">IFERROR(VLOOKUP(Orders!D951,Products!$A$2:$F$61,4,FALSE()),"")</f>
        <v>2459</v>
      </c>
      <c r="H951" s="47" t="n">
        <f aca="false">IF(G951="","",(Orders!G951-G951)/Orders!G951)</f>
        <v>0.515944881889764</v>
      </c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</row>
    <row r="952" customFormat="false" ht="15" hidden="false" customHeight="false" outlineLevel="0" collapsed="false">
      <c r="A952" s="46" t="str">
        <f aca="false">Orders!A952</f>
        <v>ORD-00951</v>
      </c>
      <c r="B952" s="46" t="str">
        <f aca="false">PROPER(TRIM(Orders!K952))</f>
        <v>Pune</v>
      </c>
      <c r="C952" s="46" t="str">
        <f aca="false">IFERROR(VLOOKUP(Orders!D952,Products!$A$2:$F$61,3,FALSE()),"Not Found")</f>
        <v>Beauty</v>
      </c>
      <c r="D952" s="46" t="str">
        <f aca="false">IFERROR(VLOOKUP(Orders!C952,Customers!$A$2:$F$301,5,FALSE()),"Not Found")</f>
        <v>Corporate</v>
      </c>
      <c r="E952" s="46" t="n">
        <f aca="false">IFERROR(VLOOKUP(Orders!C952,Customers!$A$2:$F$301,3,FALSE()),"Not Found")</f>
        <v>37</v>
      </c>
      <c r="F952" s="46" t="str">
        <f aca="false">IFERROR(VLOOKUP(Orders!E952,Sales_Reps!$A$2:$E$31,3,FALSE()),"Not Found")</f>
        <v>South</v>
      </c>
      <c r="G952" s="46" t="n">
        <f aca="false">IFERROR(VLOOKUP(Orders!D952,Products!$A$2:$F$61,4,FALSE()),"")</f>
        <v>2420</v>
      </c>
      <c r="H952" s="47" t="n">
        <f aca="false">IF(G952="","",(Orders!G952-G952)/Orders!G952)</f>
        <v>0.298550724637681</v>
      </c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</row>
    <row r="953" customFormat="false" ht="15" hidden="false" customHeight="false" outlineLevel="0" collapsed="false">
      <c r="A953" s="46" t="str">
        <f aca="false">Orders!A953</f>
        <v>ORD-00952</v>
      </c>
      <c r="B953" s="46" t="str">
        <f aca="false">PROPER(TRIM(Orders!K953))</f>
        <v>Mumbai</v>
      </c>
      <c r="C953" s="46" t="str">
        <f aca="false">IFERROR(VLOOKUP(Orders!D953,Products!$A$2:$F$61,3,FALSE()),"Not Found")</f>
        <v>Sports</v>
      </c>
      <c r="D953" s="46" t="str">
        <f aca="false">IFERROR(VLOOKUP(Orders!C953,Customers!$A$2:$F$301,5,FALSE()),"Not Found")</f>
        <v>Retail</v>
      </c>
      <c r="E953" s="46" t="n">
        <f aca="false">IFERROR(VLOOKUP(Orders!C953,Customers!$A$2:$F$301,3,FALSE()),"Not Found")</f>
        <v>39</v>
      </c>
      <c r="F953" s="46" t="str">
        <f aca="false">IFERROR(VLOOKUP(Orders!E953,Sales_Reps!$A$2:$E$31,3,FALSE()),"Not Found")</f>
        <v>South</v>
      </c>
      <c r="G953" s="46" t="n">
        <f aca="false">IFERROR(VLOOKUP(Orders!D953,Products!$A$2:$F$61,4,FALSE()),"")</f>
        <v>2467</v>
      </c>
      <c r="H953" s="47" t="n">
        <f aca="false">IF(G953="","",(Orders!G953-G953)/Orders!G953)</f>
        <v>0.284927536231884</v>
      </c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</row>
    <row r="954" customFormat="false" ht="15" hidden="false" customHeight="false" outlineLevel="0" collapsed="false">
      <c r="A954" s="46" t="str">
        <f aca="false">Orders!A954</f>
        <v>ORD-00953</v>
      </c>
      <c r="B954" s="46" t="str">
        <f aca="false">PROPER(TRIM(Orders!K954))</f>
        <v>Hyderabad</v>
      </c>
      <c r="C954" s="46" t="str">
        <f aca="false">IFERROR(VLOOKUP(Orders!D954,Products!$A$2:$F$61,3,FALSE()),"Not Found")</f>
        <v>Electronics</v>
      </c>
      <c r="D954" s="46" t="str">
        <f aca="false">IFERROR(VLOOKUP(Orders!C954,Customers!$A$2:$F$301,5,FALSE()),"Not Found")</f>
        <v>Retail</v>
      </c>
      <c r="E954" s="46" t="n">
        <f aca="false">IFERROR(VLOOKUP(Orders!C954,Customers!$A$2:$F$301,3,FALSE()),"Not Found")</f>
        <v>26</v>
      </c>
      <c r="F954" s="46" t="str">
        <f aca="false">IFERROR(VLOOKUP(Orders!E954,Sales_Reps!$A$2:$E$31,3,FALSE()),"Not Found")</f>
        <v>West</v>
      </c>
      <c r="G954" s="46" t="n">
        <f aca="false">IFERROR(VLOOKUP(Orders!D954,Products!$A$2:$F$61,4,FALSE()),"")</f>
        <v>2405</v>
      </c>
      <c r="H954" s="47" t="n">
        <f aca="false">IF(G954="","",(Orders!G954-G954)/Orders!G954)</f>
        <v>0.548780487804878</v>
      </c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</row>
    <row r="955" customFormat="false" ht="15" hidden="false" customHeight="false" outlineLevel="0" collapsed="false">
      <c r="A955" s="46" t="str">
        <f aca="false">Orders!A955</f>
        <v>ORD-00954</v>
      </c>
      <c r="B955" s="46" t="str">
        <f aca="false">PROPER(TRIM(Orders!K955))</f>
        <v>Mumbai</v>
      </c>
      <c r="C955" s="46" t="str">
        <f aca="false">IFERROR(VLOOKUP(Orders!D955,Products!$A$2:$F$61,3,FALSE()),"Not Found")</f>
        <v>Grocery</v>
      </c>
      <c r="D955" s="46" t="str">
        <f aca="false">IFERROR(VLOOKUP(Orders!C955,Customers!$A$2:$F$301,5,FALSE()),"Not Found")</f>
        <v>Retail</v>
      </c>
      <c r="E955" s="46" t="n">
        <f aca="false">IFERROR(VLOOKUP(Orders!C955,Customers!$A$2:$F$301,3,FALSE()),"Not Found")</f>
        <v>52</v>
      </c>
      <c r="F955" s="46" t="str">
        <f aca="false">IFERROR(VLOOKUP(Orders!E955,Sales_Reps!$A$2:$E$31,3,FALSE()),"Not Found")</f>
        <v>North</v>
      </c>
      <c r="G955" s="46" t="n">
        <f aca="false">IFERROR(VLOOKUP(Orders!D955,Products!$A$2:$F$61,4,FALSE()),"")</f>
        <v>1010</v>
      </c>
      <c r="H955" s="47" t="n">
        <f aca="false">IF(G955="","",(Orders!G955-G955)/Orders!G955)</f>
        <v>0.542986425339367</v>
      </c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</row>
    <row r="956" customFormat="false" ht="15" hidden="false" customHeight="false" outlineLevel="0" collapsed="false">
      <c r="A956" s="46" t="str">
        <f aca="false">Orders!A956</f>
        <v>ORD-00955</v>
      </c>
      <c r="B956" s="46" t="str">
        <f aca="false">PROPER(TRIM(Orders!K956))</f>
        <v>Mumbai</v>
      </c>
      <c r="C956" s="46" t="str">
        <f aca="false">IFERROR(VLOOKUP(Orders!D956,Products!$A$2:$F$61,3,FALSE()),"Not Found")</f>
        <v>Home</v>
      </c>
      <c r="D956" s="46" t="str">
        <f aca="false">IFERROR(VLOOKUP(Orders!C956,Customers!$A$2:$F$301,5,FALSE()),"Not Found")</f>
        <v>Retail</v>
      </c>
      <c r="E956" s="46" t="n">
        <f aca="false">IFERROR(VLOOKUP(Orders!C956,Customers!$A$2:$F$301,3,FALSE()),"Not Found")</f>
        <v>41</v>
      </c>
      <c r="F956" s="46" t="str">
        <f aca="false">IFERROR(VLOOKUP(Orders!E956,Sales_Reps!$A$2:$E$31,3,FALSE()),"Not Found")</f>
        <v>West</v>
      </c>
      <c r="G956" s="46" t="n">
        <f aca="false">IFERROR(VLOOKUP(Orders!D956,Products!$A$2:$F$61,4,FALSE()),"")</f>
        <v>519</v>
      </c>
      <c r="H956" s="47" t="n">
        <f aca="false">IF(G956="","",(Orders!G956-G956)/Orders!G956)</f>
        <v>0.519444444444445</v>
      </c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</row>
    <row r="957" customFormat="false" ht="15" hidden="false" customHeight="false" outlineLevel="0" collapsed="false">
      <c r="A957" s="46" t="str">
        <f aca="false">Orders!A957</f>
        <v>ORD-00956</v>
      </c>
      <c r="B957" s="46" t="str">
        <f aca="false">PROPER(TRIM(Orders!K957))</f>
        <v>Bengaluru</v>
      </c>
      <c r="C957" s="46" t="str">
        <f aca="false">IFERROR(VLOOKUP(Orders!D957,Products!$A$2:$F$61,3,FALSE()),"Not Found")</f>
        <v>Apparel</v>
      </c>
      <c r="D957" s="46" t="str">
        <f aca="false">IFERROR(VLOOKUP(Orders!C957,Customers!$A$2:$F$301,5,FALSE()),"Not Found")</f>
        <v>SMB</v>
      </c>
      <c r="E957" s="46" t="n">
        <f aca="false">IFERROR(VLOOKUP(Orders!C957,Customers!$A$2:$F$301,3,FALSE()),"Not Found")</f>
        <v>44</v>
      </c>
      <c r="F957" s="46" t="str">
        <f aca="false">IFERROR(VLOOKUP(Orders!E957,Sales_Reps!$A$2:$E$31,3,FALSE()),"Not Found")</f>
        <v>South</v>
      </c>
      <c r="G957" s="46" t="n">
        <f aca="false">IFERROR(VLOOKUP(Orders!D957,Products!$A$2:$F$61,4,FALSE()),"")</f>
        <v>2509</v>
      </c>
      <c r="H957" s="47" t="n">
        <f aca="false">IF(G957="","",(Orders!G957-G957)/Orders!G957)</f>
        <v>0.306906077348066</v>
      </c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</row>
    <row r="958" customFormat="false" ht="15" hidden="false" customHeight="false" outlineLevel="0" collapsed="false">
      <c r="A958" s="46" t="str">
        <f aca="false">Orders!A958</f>
        <v>ORD-00957</v>
      </c>
      <c r="B958" s="46" t="str">
        <f aca="false">PROPER(TRIM(Orders!K958))</f>
        <v>Mumbai</v>
      </c>
      <c r="C958" s="46" t="str">
        <f aca="false">IFERROR(VLOOKUP(Orders!D958,Products!$A$2:$F$61,3,FALSE()),"Not Found")</f>
        <v>Apparel</v>
      </c>
      <c r="D958" s="46" t="str">
        <f aca="false">IFERROR(VLOOKUP(Orders!C958,Customers!$A$2:$F$301,5,FALSE()),"Not Found")</f>
        <v>Retail</v>
      </c>
      <c r="E958" s="46" t="n">
        <f aca="false">IFERROR(VLOOKUP(Orders!C958,Customers!$A$2:$F$301,3,FALSE()),"Not Found")</f>
        <v>36</v>
      </c>
      <c r="F958" s="46" t="str">
        <f aca="false">IFERROR(VLOOKUP(Orders!E958,Sales_Reps!$A$2:$E$31,3,FALSE()),"Not Found")</f>
        <v>South</v>
      </c>
      <c r="G958" s="46" t="n">
        <f aca="false">IFERROR(VLOOKUP(Orders!D958,Products!$A$2:$F$61,4,FALSE()),"")</f>
        <v>2629</v>
      </c>
      <c r="H958" s="47" t="n">
        <f aca="false">IF(G958="","",(Orders!G958-G958)/Orders!G958)</f>
        <v>0.261516853932584</v>
      </c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</row>
    <row r="959" customFormat="false" ht="15" hidden="false" customHeight="false" outlineLevel="0" collapsed="false">
      <c r="A959" s="46" t="str">
        <f aca="false">Orders!A959</f>
        <v>ORD-00958</v>
      </c>
      <c r="B959" s="46" t="str">
        <f aca="false">PROPER(TRIM(Orders!K959))</f>
        <v>Chennai</v>
      </c>
      <c r="C959" s="46" t="str">
        <f aca="false">IFERROR(VLOOKUP(Orders!D959,Products!$A$2:$F$61,3,FALSE()),"Not Found")</f>
        <v>Home</v>
      </c>
      <c r="D959" s="46" t="str">
        <f aca="false">IFERROR(VLOOKUP(Orders!C959,Customers!$A$2:$F$301,5,FALSE()),"Not Found")</f>
        <v>Retail</v>
      </c>
      <c r="E959" s="46" t="n">
        <f aca="false">IFERROR(VLOOKUP(Orders!C959,Customers!$A$2:$F$301,3,FALSE()),"Not Found")</f>
        <v>41</v>
      </c>
      <c r="F959" s="46" t="str">
        <f aca="false">IFERROR(VLOOKUP(Orders!E959,Sales_Reps!$A$2:$E$31,3,FALSE()),"Not Found")</f>
        <v>West</v>
      </c>
      <c r="G959" s="46" t="n">
        <f aca="false">IFERROR(VLOOKUP(Orders!D959,Products!$A$2:$F$61,4,FALSE()),"")</f>
        <v>1143</v>
      </c>
      <c r="H959" s="47" t="n">
        <f aca="false">IF(G959="","",(Orders!G959-G959)/Orders!G959)</f>
        <v>0.436945812807882</v>
      </c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</row>
    <row r="960" customFormat="false" ht="15" hidden="false" customHeight="false" outlineLevel="0" collapsed="false">
      <c r="A960" s="46" t="str">
        <f aca="false">Orders!A960</f>
        <v>ORD-00959</v>
      </c>
      <c r="B960" s="46" t="str">
        <f aca="false">PROPER(TRIM(Orders!K960))</f>
        <v>Chennai</v>
      </c>
      <c r="C960" s="46" t="str">
        <f aca="false">IFERROR(VLOOKUP(Orders!D960,Products!$A$2:$F$61,3,FALSE()),"Not Found")</f>
        <v>Beauty</v>
      </c>
      <c r="D960" s="46" t="str">
        <f aca="false">IFERROR(VLOOKUP(Orders!C960,Customers!$A$2:$F$301,5,FALSE()),"Not Found")</f>
        <v>SMB</v>
      </c>
      <c r="E960" s="46" t="n">
        <f aca="false">IFERROR(VLOOKUP(Orders!C960,Customers!$A$2:$F$301,3,FALSE()),"Not Found")</f>
        <v>51</v>
      </c>
      <c r="F960" s="46" t="str">
        <f aca="false">IFERROR(VLOOKUP(Orders!E960,Sales_Reps!$A$2:$E$31,3,FALSE()),"Not Found")</f>
        <v>South</v>
      </c>
      <c r="G960" s="46" t="n">
        <f aca="false">IFERROR(VLOOKUP(Orders!D960,Products!$A$2:$F$61,4,FALSE()),"")</f>
        <v>1222</v>
      </c>
      <c r="H960" s="47" t="n">
        <f aca="false">IF(G960="","",(Orders!G960-G960)/Orders!G960)</f>
        <v>0.259393939393939</v>
      </c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</row>
    <row r="961" customFormat="false" ht="15" hidden="false" customHeight="false" outlineLevel="0" collapsed="false">
      <c r="A961" s="46" t="str">
        <f aca="false">Orders!A961</f>
        <v>ORD-00960</v>
      </c>
      <c r="B961" s="46" t="str">
        <f aca="false">PROPER(TRIM(Orders!K961))</f>
        <v>Hyderabad</v>
      </c>
      <c r="C961" s="46" t="str">
        <f aca="false">IFERROR(VLOOKUP(Orders!D961,Products!$A$2:$F$61,3,FALSE()),"Not Found")</f>
        <v>Grocery</v>
      </c>
      <c r="D961" s="46" t="str">
        <f aca="false">IFERROR(VLOOKUP(Orders!C961,Customers!$A$2:$F$301,5,FALSE()),"Not Found")</f>
        <v>SMB</v>
      </c>
      <c r="E961" s="46" t="n">
        <f aca="false">IFERROR(VLOOKUP(Orders!C961,Customers!$A$2:$F$301,3,FALSE()),"Not Found")</f>
        <v>65</v>
      </c>
      <c r="F961" s="46" t="str">
        <f aca="false">IFERROR(VLOOKUP(Orders!E961,Sales_Reps!$A$2:$E$31,3,FALSE()),"Not Found")</f>
        <v>East</v>
      </c>
      <c r="G961" s="46" t="n">
        <f aca="false">IFERROR(VLOOKUP(Orders!D961,Products!$A$2:$F$61,4,FALSE()),"")</f>
        <v>1435</v>
      </c>
      <c r="H961" s="47" t="n">
        <f aca="false">IF(G961="","",(Orders!G961-G961)/Orders!G961)</f>
        <v>0.480072463768116</v>
      </c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</row>
    <row r="962" customFormat="false" ht="15" hidden="false" customHeight="false" outlineLevel="0" collapsed="false">
      <c r="A962" s="46" t="str">
        <f aca="false">Orders!A962</f>
        <v>ORD-00961</v>
      </c>
      <c r="B962" s="46" t="str">
        <f aca="false">PROPER(TRIM(Orders!K962))</f>
        <v>Delhi</v>
      </c>
      <c r="C962" s="46" t="str">
        <f aca="false">IFERROR(VLOOKUP(Orders!D962,Products!$A$2:$F$61,3,FALSE()),"Not Found")</f>
        <v>Electronics</v>
      </c>
      <c r="D962" s="46" t="str">
        <f aca="false">IFERROR(VLOOKUP(Orders!C962,Customers!$A$2:$F$301,5,FALSE()),"Not Found")</f>
        <v>Corporate</v>
      </c>
      <c r="E962" s="46" t="n">
        <f aca="false">IFERROR(VLOOKUP(Orders!C962,Customers!$A$2:$F$301,3,FALSE()),"Not Found")</f>
        <v>47</v>
      </c>
      <c r="F962" s="46" t="str">
        <f aca="false">IFERROR(VLOOKUP(Orders!E962,Sales_Reps!$A$2:$E$31,3,FALSE()),"Not Found")</f>
        <v>South</v>
      </c>
      <c r="G962" s="46" t="n">
        <f aca="false">IFERROR(VLOOKUP(Orders!D962,Products!$A$2:$F$61,4,FALSE()),"")</f>
        <v>2865</v>
      </c>
      <c r="H962" s="47" t="n">
        <f aca="false">IF(G962="","",(Orders!G962-G962)/Orders!G962)</f>
        <v>0.278337531486146</v>
      </c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</row>
    <row r="963" customFormat="false" ht="15" hidden="false" customHeight="false" outlineLevel="0" collapsed="false">
      <c r="A963" s="46" t="str">
        <f aca="false">Orders!A963</f>
        <v>ORD-00962</v>
      </c>
      <c r="B963" s="46" t="str">
        <f aca="false">PROPER(TRIM(Orders!K963))</f>
        <v>Pune</v>
      </c>
      <c r="C963" s="46" t="str">
        <f aca="false">IFERROR(VLOOKUP(Orders!D963,Products!$A$2:$F$61,3,FALSE()),"Not Found")</f>
        <v>Beauty</v>
      </c>
      <c r="D963" s="46" t="str">
        <f aca="false">IFERROR(VLOOKUP(Orders!C963,Customers!$A$2:$F$301,5,FALSE()),"Not Found")</f>
        <v>SMB</v>
      </c>
      <c r="E963" s="46" t="n">
        <f aca="false">IFERROR(VLOOKUP(Orders!C963,Customers!$A$2:$F$301,3,FALSE()),"Not Found")</f>
        <v>49</v>
      </c>
      <c r="F963" s="46" t="str">
        <f aca="false">IFERROR(VLOOKUP(Orders!E963,Sales_Reps!$A$2:$E$31,3,FALSE()),"Not Found")</f>
        <v>South</v>
      </c>
      <c r="G963" s="46" t="n">
        <f aca="false">IFERROR(VLOOKUP(Orders!D963,Products!$A$2:$F$61,4,FALSE()),"")</f>
        <v>2617</v>
      </c>
      <c r="H963" s="47" t="n">
        <f aca="false">IF(G963="","",(Orders!G963-G963)/Orders!G963)</f>
        <v>0.569572368421053</v>
      </c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</row>
    <row r="964" customFormat="false" ht="15" hidden="false" customHeight="false" outlineLevel="0" collapsed="false">
      <c r="A964" s="46" t="str">
        <f aca="false">Orders!A964</f>
        <v>ORD-00963</v>
      </c>
      <c r="B964" s="46" t="str">
        <f aca="false">PROPER(TRIM(Orders!K964))</f>
        <v>Pune</v>
      </c>
      <c r="C964" s="46" t="str">
        <f aca="false">IFERROR(VLOOKUP(Orders!D964,Products!$A$2:$F$61,3,FALSE()),"Not Found")</f>
        <v>Grocery</v>
      </c>
      <c r="D964" s="46" t="str">
        <f aca="false">IFERROR(VLOOKUP(Orders!C964,Customers!$A$2:$F$301,5,FALSE()),"Not Found")</f>
        <v>Retail</v>
      </c>
      <c r="E964" s="46" t="n">
        <f aca="false">IFERROR(VLOOKUP(Orders!C964,Customers!$A$2:$F$301,3,FALSE()),"Not Found")</f>
        <v>43</v>
      </c>
      <c r="F964" s="46" t="str">
        <f aca="false">IFERROR(VLOOKUP(Orders!E964,Sales_Reps!$A$2:$E$31,3,FALSE()),"Not Found")</f>
        <v>North</v>
      </c>
      <c r="G964" s="46" t="n">
        <f aca="false">IFERROR(VLOOKUP(Orders!D964,Products!$A$2:$F$61,4,FALSE()),"")</f>
        <v>1203</v>
      </c>
      <c r="H964" s="47" t="n">
        <f aca="false">IF(G964="","",(Orders!G964-G964)/Orders!G964)</f>
        <v>0.470044052863436</v>
      </c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</row>
    <row r="965" customFormat="false" ht="15" hidden="false" customHeight="false" outlineLevel="0" collapsed="false">
      <c r="A965" s="46" t="str">
        <f aca="false">Orders!A965</f>
        <v>ORD-00964</v>
      </c>
      <c r="B965" s="46" t="str">
        <f aca="false">PROPER(TRIM(Orders!K965))</f>
        <v>Pune</v>
      </c>
      <c r="C965" s="46" t="str">
        <f aca="false">IFERROR(VLOOKUP(Orders!D965,Products!$A$2:$F$61,3,FALSE()),"Not Found")</f>
        <v>Electronics</v>
      </c>
      <c r="D965" s="46" t="str">
        <f aca="false">IFERROR(VLOOKUP(Orders!C965,Customers!$A$2:$F$301,5,FALSE()),"Not Found")</f>
        <v>Corporate</v>
      </c>
      <c r="E965" s="46" t="n">
        <f aca="false">IFERROR(VLOOKUP(Orders!C965,Customers!$A$2:$F$301,3,FALSE()),"Not Found")</f>
        <v>47</v>
      </c>
      <c r="F965" s="46" t="str">
        <f aca="false">IFERROR(VLOOKUP(Orders!E965,Sales_Reps!$A$2:$E$31,3,FALSE()),"Not Found")</f>
        <v>North</v>
      </c>
      <c r="G965" s="46" t="n">
        <f aca="false">IFERROR(VLOOKUP(Orders!D965,Products!$A$2:$F$61,4,FALSE()),"")</f>
        <v>2865</v>
      </c>
      <c r="H965" s="47" t="n">
        <f aca="false">IF(G965="","",(Orders!G965-G965)/Orders!G965)</f>
        <v>0.278337531486146</v>
      </c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</row>
    <row r="966" customFormat="false" ht="15" hidden="false" customHeight="false" outlineLevel="0" collapsed="false">
      <c r="A966" s="46" t="str">
        <f aca="false">Orders!A966</f>
        <v>ORD-00965</v>
      </c>
      <c r="B966" s="46" t="str">
        <f aca="false">PROPER(TRIM(Orders!K966))</f>
        <v>Chennai</v>
      </c>
      <c r="C966" s="46" t="str">
        <f aca="false">IFERROR(VLOOKUP(Orders!D966,Products!$A$2:$F$61,3,FALSE()),"Not Found")</f>
        <v>Beauty</v>
      </c>
      <c r="D966" s="46" t="str">
        <f aca="false">IFERROR(VLOOKUP(Orders!C966,Customers!$A$2:$F$301,5,FALSE()),"Not Found")</f>
        <v>Retail</v>
      </c>
      <c r="E966" s="46" t="n">
        <f aca="false">IFERROR(VLOOKUP(Orders!C966,Customers!$A$2:$F$301,3,FALSE()),"Not Found")</f>
        <v>26</v>
      </c>
      <c r="F966" s="46" t="str">
        <f aca="false">IFERROR(VLOOKUP(Orders!E966,Sales_Reps!$A$2:$E$31,3,FALSE()),"Not Found")</f>
        <v>South</v>
      </c>
      <c r="G966" s="46" t="n">
        <f aca="false">IFERROR(VLOOKUP(Orders!D966,Products!$A$2:$F$61,4,FALSE()),"")</f>
        <v>2237</v>
      </c>
      <c r="H966" s="47" t="n">
        <f aca="false">IF(G966="","",(Orders!G966-G966)/Orders!G966)</f>
        <v>0.561372549019608</v>
      </c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</row>
    <row r="967" customFormat="false" ht="15" hidden="false" customHeight="false" outlineLevel="0" collapsed="false">
      <c r="A967" s="46" t="str">
        <f aca="false">Orders!A967</f>
        <v>ORD-00966</v>
      </c>
      <c r="B967" s="46" t="str">
        <f aca="false">PROPER(TRIM(Orders!K967))</f>
        <v>Pune</v>
      </c>
      <c r="C967" s="46" t="str">
        <f aca="false">IFERROR(VLOOKUP(Orders!D967,Products!$A$2:$F$61,3,FALSE()),"Not Found")</f>
        <v>Beauty</v>
      </c>
      <c r="D967" s="46" t="str">
        <f aca="false">IFERROR(VLOOKUP(Orders!C967,Customers!$A$2:$F$301,5,FALSE()),"Not Found")</f>
        <v>Corporate</v>
      </c>
      <c r="E967" s="46" t="n">
        <f aca="false">IFERROR(VLOOKUP(Orders!C967,Customers!$A$2:$F$301,3,FALSE()),"Not Found")</f>
        <v>33</v>
      </c>
      <c r="F967" s="46" t="str">
        <f aca="false">IFERROR(VLOOKUP(Orders!E967,Sales_Reps!$A$2:$E$31,3,FALSE()),"Not Found")</f>
        <v>West</v>
      </c>
      <c r="G967" s="46" t="n">
        <f aca="false">IFERROR(VLOOKUP(Orders!D967,Products!$A$2:$F$61,4,FALSE()),"")</f>
        <v>1626</v>
      </c>
      <c r="H967" s="47" t="n">
        <f aca="false">IF(G967="","",(Orders!G967-G967)/Orders!G967)</f>
        <v>0.46158940397351</v>
      </c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</row>
    <row r="968" customFormat="false" ht="15" hidden="false" customHeight="false" outlineLevel="0" collapsed="false">
      <c r="A968" s="46" t="str">
        <f aca="false">Orders!A968</f>
        <v>ORD-00967</v>
      </c>
      <c r="B968" s="46" t="str">
        <f aca="false">PROPER(TRIM(Orders!K968))</f>
        <v>Mumbai</v>
      </c>
      <c r="C968" s="46" t="str">
        <f aca="false">IFERROR(VLOOKUP(Orders!D968,Products!$A$2:$F$61,3,FALSE()),"Not Found")</f>
        <v>Sports</v>
      </c>
      <c r="D968" s="46" t="str">
        <f aca="false">IFERROR(VLOOKUP(Orders!C968,Customers!$A$2:$F$301,5,FALSE()),"Not Found")</f>
        <v>Retail</v>
      </c>
      <c r="E968" s="46" t="n">
        <f aca="false">IFERROR(VLOOKUP(Orders!C968,Customers!$A$2:$F$301,3,FALSE()),"Not Found")</f>
        <v>37</v>
      </c>
      <c r="F968" s="46" t="str">
        <f aca="false">IFERROR(VLOOKUP(Orders!E968,Sales_Reps!$A$2:$E$31,3,FALSE()),"Not Found")</f>
        <v>South</v>
      </c>
      <c r="G968" s="46" t="n">
        <f aca="false">IFERROR(VLOOKUP(Orders!D968,Products!$A$2:$F$61,4,FALSE()),"")</f>
        <v>705</v>
      </c>
      <c r="H968" s="47" t="n">
        <f aca="false">IF(G968="","",(Orders!G968-G968)/Orders!G968)</f>
        <v>0.265625</v>
      </c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</row>
    <row r="969" customFormat="false" ht="15" hidden="false" customHeight="false" outlineLevel="0" collapsed="false">
      <c r="A969" s="46" t="str">
        <f aca="false">Orders!A969</f>
        <v>ORD-00968</v>
      </c>
      <c r="B969" s="46" t="str">
        <f aca="false">PROPER(TRIM(Orders!K969))</f>
        <v>Mumbai</v>
      </c>
      <c r="C969" s="46" t="str">
        <f aca="false">IFERROR(VLOOKUP(Orders!D969,Products!$A$2:$F$61,3,FALSE()),"Not Found")</f>
        <v>Apparel</v>
      </c>
      <c r="D969" s="46" t="str">
        <f aca="false">IFERROR(VLOOKUP(Orders!C969,Customers!$A$2:$F$301,5,FALSE()),"Not Found")</f>
        <v>SMB</v>
      </c>
      <c r="E969" s="46" t="n">
        <f aca="false">IFERROR(VLOOKUP(Orders!C969,Customers!$A$2:$F$301,3,FALSE()),"Not Found")</f>
        <v>65</v>
      </c>
      <c r="F969" s="46" t="str">
        <f aca="false">IFERROR(VLOOKUP(Orders!E969,Sales_Reps!$A$2:$E$31,3,FALSE()),"Not Found")</f>
        <v>North</v>
      </c>
      <c r="G969" s="46" t="n">
        <f aca="false">IFERROR(VLOOKUP(Orders!D969,Products!$A$2:$F$61,4,FALSE()),"")</f>
        <v>1173</v>
      </c>
      <c r="H969" s="47" t="n">
        <f aca="false">IF(G969="","",(Orders!G969-G969)/Orders!G969)</f>
        <v>0.527016129032258</v>
      </c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</row>
    <row r="970" customFormat="false" ht="15" hidden="false" customHeight="false" outlineLevel="0" collapsed="false">
      <c r="A970" s="46" t="str">
        <f aca="false">Orders!A970</f>
        <v>ORD-00969</v>
      </c>
      <c r="B970" s="46" t="str">
        <f aca="false">PROPER(TRIM(Orders!K970))</f>
        <v>Bengaluru</v>
      </c>
      <c r="C970" s="46" t="str">
        <f aca="false">IFERROR(VLOOKUP(Orders!D970,Products!$A$2:$F$61,3,FALSE()),"Not Found")</f>
        <v>Grocery</v>
      </c>
      <c r="D970" s="46" t="str">
        <f aca="false">IFERROR(VLOOKUP(Orders!C970,Customers!$A$2:$F$301,5,FALSE()),"Not Found")</f>
        <v>Not Found</v>
      </c>
      <c r="E970" s="46" t="str">
        <f aca="false">IFERROR(VLOOKUP(Orders!C970,Customers!$A$2:$F$301,3,FALSE()),"Not Found")</f>
        <v>Not Found</v>
      </c>
      <c r="F970" s="46" t="str">
        <f aca="false">IFERROR(VLOOKUP(Orders!E970,Sales_Reps!$A$2:$E$31,3,FALSE()),"Not Found")</f>
        <v>South</v>
      </c>
      <c r="G970" s="46" t="n">
        <f aca="false">IFERROR(VLOOKUP(Orders!D970,Products!$A$2:$F$61,4,FALSE()),"")</f>
        <v>434</v>
      </c>
      <c r="H970" s="47" t="n">
        <f aca="false">IF(G970="","",(Orders!G970-G970)/Orders!G970)</f>
        <v>0.552577319587629</v>
      </c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</row>
    <row r="971" customFormat="false" ht="15" hidden="false" customHeight="false" outlineLevel="0" collapsed="false">
      <c r="A971" s="46" t="str">
        <f aca="false">Orders!A971</f>
        <v>ORD-00970</v>
      </c>
      <c r="B971" s="46" t="str">
        <f aca="false">PROPER(TRIM(Orders!K971))</f>
        <v>Pune</v>
      </c>
      <c r="C971" s="46" t="str">
        <f aca="false">IFERROR(VLOOKUP(Orders!D971,Products!$A$2:$F$61,3,FALSE()),"Not Found")</f>
        <v>Grocery</v>
      </c>
      <c r="D971" s="46" t="str">
        <f aca="false">IFERROR(VLOOKUP(Orders!C971,Customers!$A$2:$F$301,5,FALSE()),"Not Found")</f>
        <v>SMB</v>
      </c>
      <c r="E971" s="46" t="n">
        <f aca="false">IFERROR(VLOOKUP(Orders!C971,Customers!$A$2:$F$301,3,FALSE()),"Not Found")</f>
        <v>53</v>
      </c>
      <c r="F971" s="46" t="str">
        <f aca="false">IFERROR(VLOOKUP(Orders!E971,Sales_Reps!$A$2:$E$31,3,FALSE()),"Not Found")</f>
        <v>East</v>
      </c>
      <c r="G971" s="46" t="n">
        <f aca="false">IFERROR(VLOOKUP(Orders!D971,Products!$A$2:$F$61,4,FALSE()),"")</f>
        <v>1182</v>
      </c>
      <c r="H971" s="47" t="n">
        <f aca="false">IF(G971="","",(Orders!G971-G971)/Orders!G971)</f>
        <v>0.503361344537815</v>
      </c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</row>
    <row r="972" customFormat="false" ht="15" hidden="false" customHeight="false" outlineLevel="0" collapsed="false">
      <c r="A972" s="46" t="str">
        <f aca="false">Orders!A972</f>
        <v>ORD-00971</v>
      </c>
      <c r="B972" s="46" t="str">
        <f aca="false">PROPER(TRIM(Orders!K972))</f>
        <v>Hyderabad</v>
      </c>
      <c r="C972" s="46" t="str">
        <f aca="false">IFERROR(VLOOKUP(Orders!D972,Products!$A$2:$F$61,3,FALSE()),"Not Found")</f>
        <v>Sports</v>
      </c>
      <c r="D972" s="46" t="str">
        <f aca="false">IFERROR(VLOOKUP(Orders!C972,Customers!$A$2:$F$301,5,FALSE()),"Not Found")</f>
        <v>Retail</v>
      </c>
      <c r="E972" s="46" t="n">
        <f aca="false">IFERROR(VLOOKUP(Orders!C972,Customers!$A$2:$F$301,3,FALSE()),"Not Found")</f>
        <v>60</v>
      </c>
      <c r="F972" s="46" t="str">
        <f aca="false">IFERROR(VLOOKUP(Orders!E972,Sales_Reps!$A$2:$E$31,3,FALSE()),"Not Found")</f>
        <v>North</v>
      </c>
      <c r="G972" s="46" t="n">
        <f aca="false">IFERROR(VLOOKUP(Orders!D972,Products!$A$2:$F$61,4,FALSE()),"")</f>
        <v>2265</v>
      </c>
      <c r="H972" s="47" t="n">
        <f aca="false">IF(G972="","",(Orders!G972-G972)/Orders!G972)</f>
        <v>0.581330868761553</v>
      </c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</row>
    <row r="973" customFormat="false" ht="15" hidden="false" customHeight="false" outlineLevel="0" collapsed="false">
      <c r="A973" s="46" t="str">
        <f aca="false">Orders!A973</f>
        <v>ORD-00972</v>
      </c>
      <c r="B973" s="46" t="str">
        <f aca="false">PROPER(TRIM(Orders!K973))</f>
        <v>Chennai</v>
      </c>
      <c r="C973" s="46" t="str">
        <f aca="false">IFERROR(VLOOKUP(Orders!D973,Products!$A$2:$F$61,3,FALSE()),"Not Found")</f>
        <v>Home</v>
      </c>
      <c r="D973" s="46" t="str">
        <f aca="false">IFERROR(VLOOKUP(Orders!C973,Customers!$A$2:$F$301,5,FALSE()),"Not Found")</f>
        <v>Retail</v>
      </c>
      <c r="E973" s="46" t="n">
        <f aca="false">IFERROR(VLOOKUP(Orders!C973,Customers!$A$2:$F$301,3,FALSE()),"Not Found")</f>
        <v>28</v>
      </c>
      <c r="F973" s="46" t="str">
        <f aca="false">IFERROR(VLOOKUP(Orders!E973,Sales_Reps!$A$2:$E$31,3,FALSE()),"Not Found")</f>
        <v>East</v>
      </c>
      <c r="G973" s="46" t="n">
        <f aca="false">IFERROR(VLOOKUP(Orders!D973,Products!$A$2:$F$61,4,FALSE()),"")</f>
        <v>2459</v>
      </c>
      <c r="H973" s="47" t="n">
        <f aca="false">IF(G973="","",(Orders!G973-G973)/Orders!G973)</f>
        <v>0.515944881889764</v>
      </c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</row>
    <row r="974" customFormat="false" ht="15" hidden="false" customHeight="false" outlineLevel="0" collapsed="false">
      <c r="A974" s="46" t="str">
        <f aca="false">Orders!A974</f>
        <v>ORD-00973</v>
      </c>
      <c r="B974" s="46" t="str">
        <f aca="false">PROPER(TRIM(Orders!K974))</f>
        <v>Pune</v>
      </c>
      <c r="C974" s="46" t="str">
        <f aca="false">IFERROR(VLOOKUP(Orders!D974,Products!$A$2:$F$61,3,FALSE()),"Not Found")</f>
        <v>Electronics</v>
      </c>
      <c r="D974" s="46" t="str">
        <f aca="false">IFERROR(VLOOKUP(Orders!C974,Customers!$A$2:$F$301,5,FALSE()),"Not Found")</f>
        <v>Retail</v>
      </c>
      <c r="E974" s="46" t="n">
        <f aca="false">IFERROR(VLOOKUP(Orders!C974,Customers!$A$2:$F$301,3,FALSE()),"Not Found")</f>
        <v>39</v>
      </c>
      <c r="F974" s="46" t="str">
        <f aca="false">IFERROR(VLOOKUP(Orders!E974,Sales_Reps!$A$2:$E$31,3,FALSE()),"Not Found")</f>
        <v>West</v>
      </c>
      <c r="G974" s="46" t="n">
        <f aca="false">IFERROR(VLOOKUP(Orders!D974,Products!$A$2:$F$61,4,FALSE()),"")</f>
        <v>861</v>
      </c>
      <c r="H974" s="47" t="n">
        <f aca="false">IF(G974="","",(Orders!G974-G974)/Orders!G974)</f>
        <v>0.397902097902098</v>
      </c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</row>
    <row r="975" customFormat="false" ht="15" hidden="false" customHeight="false" outlineLevel="0" collapsed="false">
      <c r="A975" s="46" t="str">
        <f aca="false">Orders!A975</f>
        <v>ORD-00974</v>
      </c>
      <c r="B975" s="46" t="str">
        <f aca="false">PROPER(TRIM(Orders!K975))</f>
        <v>Delhi</v>
      </c>
      <c r="C975" s="46" t="str">
        <f aca="false">IFERROR(VLOOKUP(Orders!D975,Products!$A$2:$F$61,3,FALSE()),"Not Found")</f>
        <v>Home</v>
      </c>
      <c r="D975" s="46" t="str">
        <f aca="false">IFERROR(VLOOKUP(Orders!C975,Customers!$A$2:$F$301,5,FALSE()),"Not Found")</f>
        <v>SMB</v>
      </c>
      <c r="E975" s="46" t="n">
        <f aca="false">IFERROR(VLOOKUP(Orders!C975,Customers!$A$2:$F$301,3,FALSE()),"Not Found")</f>
        <v>38</v>
      </c>
      <c r="F975" s="46" t="str">
        <f aca="false">IFERROR(VLOOKUP(Orders!E975,Sales_Reps!$A$2:$E$31,3,FALSE()),"Not Found")</f>
        <v>South</v>
      </c>
      <c r="G975" s="46" t="n">
        <f aca="false">IFERROR(VLOOKUP(Orders!D975,Products!$A$2:$F$61,4,FALSE()),"")</f>
        <v>329</v>
      </c>
      <c r="H975" s="47" t="n">
        <f aca="false">IF(G975="","",(Orders!G975-G975)/Orders!G975)</f>
        <v>0.501515151515152</v>
      </c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</row>
    <row r="976" customFormat="false" ht="15" hidden="false" customHeight="false" outlineLevel="0" collapsed="false">
      <c r="A976" s="46" t="str">
        <f aca="false">Orders!A976</f>
        <v>ORD-00975</v>
      </c>
      <c r="B976" s="46" t="str">
        <f aca="false">PROPER(TRIM(Orders!K976))</f>
        <v>Pune</v>
      </c>
      <c r="C976" s="46" t="str">
        <f aca="false">IFERROR(VLOOKUP(Orders!D976,Products!$A$2:$F$61,3,FALSE()),"Not Found")</f>
        <v>Beauty</v>
      </c>
      <c r="D976" s="46" t="str">
        <f aca="false">IFERROR(VLOOKUP(Orders!C976,Customers!$A$2:$F$301,5,FALSE()),"Not Found")</f>
        <v>Retail</v>
      </c>
      <c r="E976" s="46" t="n">
        <f aca="false">IFERROR(VLOOKUP(Orders!C976,Customers!$A$2:$F$301,3,FALSE()),"Not Found")</f>
        <v>36</v>
      </c>
      <c r="F976" s="46" t="str">
        <f aca="false">IFERROR(VLOOKUP(Orders!E976,Sales_Reps!$A$2:$E$31,3,FALSE()),"Not Found")</f>
        <v>North</v>
      </c>
      <c r="G976" s="46" t="n">
        <f aca="false">IFERROR(VLOOKUP(Orders!D976,Products!$A$2:$F$61,4,FALSE()),"")</f>
        <v>647</v>
      </c>
      <c r="H976" s="47" t="n">
        <f aca="false">IF(G976="","",(Orders!G976-G976)/Orders!G976)</f>
        <v>0.57987012987013</v>
      </c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</row>
    <row r="977" customFormat="false" ht="15" hidden="false" customHeight="false" outlineLevel="0" collapsed="false">
      <c r="A977" s="46" t="str">
        <f aca="false">Orders!A977</f>
        <v>ORD-01662</v>
      </c>
      <c r="B977" s="46" t="str">
        <f aca="false">PROPER(TRIM(Orders!K977))</f>
        <v>Delhi</v>
      </c>
      <c r="C977" s="46" t="str">
        <f aca="false">IFERROR(VLOOKUP(Orders!D977,Products!$A$2:$F$61,3,FALSE()),"Not Found")</f>
        <v>Grocery</v>
      </c>
      <c r="D977" s="46" t="str">
        <f aca="false">IFERROR(VLOOKUP(Orders!C977,Customers!$A$2:$F$301,5,FALSE()),"Not Found")</f>
        <v>SMB</v>
      </c>
      <c r="E977" s="46" t="n">
        <f aca="false">IFERROR(VLOOKUP(Orders!C977,Customers!$A$2:$F$301,3,FALSE()),"Not Found")</f>
        <v>48</v>
      </c>
      <c r="F977" s="46" t="str">
        <f aca="false">IFERROR(VLOOKUP(Orders!E977,Sales_Reps!$A$2:$E$31,3,FALSE()),"Not Found")</f>
        <v>North</v>
      </c>
      <c r="G977" s="46" t="n">
        <f aca="false">IFERROR(VLOOKUP(Orders!D977,Products!$A$2:$F$61,4,FALSE()),"")</f>
        <v>1010</v>
      </c>
      <c r="H977" s="47" t="n">
        <f aca="false">IF(G977="","",(Orders!G977-G977)/Orders!G977)</f>
        <v>0.542986425339367</v>
      </c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</row>
    <row r="978" customFormat="false" ht="15" hidden="false" customHeight="false" outlineLevel="0" collapsed="false">
      <c r="A978" s="46" t="str">
        <f aca="false">Orders!A978</f>
        <v>ORD-00977</v>
      </c>
      <c r="B978" s="46" t="str">
        <f aca="false">PROPER(TRIM(Orders!K978))</f>
        <v>Mumbai</v>
      </c>
      <c r="C978" s="46" t="str">
        <f aca="false">IFERROR(VLOOKUP(Orders!D978,Products!$A$2:$F$61,3,FALSE()),"Not Found")</f>
        <v>Sports</v>
      </c>
      <c r="D978" s="46" t="str">
        <f aca="false">IFERROR(VLOOKUP(Orders!C978,Customers!$A$2:$F$301,5,FALSE()),"Not Found")</f>
        <v>Retail</v>
      </c>
      <c r="E978" s="46" t="n">
        <f aca="false">IFERROR(VLOOKUP(Orders!C978,Customers!$A$2:$F$301,3,FALSE()),"Not Found")</f>
        <v>44</v>
      </c>
      <c r="F978" s="46" t="str">
        <f aca="false">IFERROR(VLOOKUP(Orders!E978,Sales_Reps!$A$2:$E$31,3,FALSE()),"Not Found")</f>
        <v>East</v>
      </c>
      <c r="G978" s="46" t="n">
        <f aca="false">IFERROR(VLOOKUP(Orders!D978,Products!$A$2:$F$61,4,FALSE()),"")</f>
        <v>705</v>
      </c>
      <c r="H978" s="47" t="n">
        <f aca="false">IF(G978="","",(Orders!G978-G978)/Orders!G978)</f>
        <v>0.265625</v>
      </c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</row>
    <row r="979" customFormat="false" ht="15" hidden="false" customHeight="false" outlineLevel="0" collapsed="false">
      <c r="A979" s="46" t="str">
        <f aca="false">Orders!A979</f>
        <v>ORD-00978</v>
      </c>
      <c r="B979" s="46" t="str">
        <f aca="false">PROPER(TRIM(Orders!K979))</f>
        <v>Mumbai</v>
      </c>
      <c r="C979" s="46" t="str">
        <f aca="false">IFERROR(VLOOKUP(Orders!D979,Products!$A$2:$F$61,3,FALSE()),"Not Found")</f>
        <v>Beauty</v>
      </c>
      <c r="D979" s="46" t="str">
        <f aca="false">IFERROR(VLOOKUP(Orders!C979,Customers!$A$2:$F$301,5,FALSE()),"Not Found")</f>
        <v>Retail</v>
      </c>
      <c r="E979" s="46" t="n">
        <f aca="false">IFERROR(VLOOKUP(Orders!C979,Customers!$A$2:$F$301,3,FALSE()),"Not Found")</f>
        <v>38</v>
      </c>
      <c r="F979" s="46" t="str">
        <f aca="false">IFERROR(VLOOKUP(Orders!E979,Sales_Reps!$A$2:$E$31,3,FALSE()),"Not Found")</f>
        <v>East</v>
      </c>
      <c r="G979" s="46" t="n">
        <f aca="false">IFERROR(VLOOKUP(Orders!D979,Products!$A$2:$F$61,4,FALSE()),"")</f>
        <v>2420</v>
      </c>
      <c r="H979" s="47" t="n">
        <f aca="false">IF(G979="","",(Orders!G979-G979)/Orders!G979)</f>
        <v>0.298550724637681</v>
      </c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</row>
    <row r="980" customFormat="false" ht="15" hidden="false" customHeight="false" outlineLevel="0" collapsed="false">
      <c r="A980" s="46" t="str">
        <f aca="false">Orders!A980</f>
        <v>ORD-00979</v>
      </c>
      <c r="B980" s="46" t="str">
        <f aca="false">PROPER(TRIM(Orders!K980))</f>
        <v>Mumbai</v>
      </c>
      <c r="C980" s="46" t="str">
        <f aca="false">IFERROR(VLOOKUP(Orders!D980,Products!$A$2:$F$61,3,FALSE()),"Not Found")</f>
        <v>Home</v>
      </c>
      <c r="D980" s="46" t="str">
        <f aca="false">IFERROR(VLOOKUP(Orders!C980,Customers!$A$2:$F$301,5,FALSE()),"Not Found")</f>
        <v>Not Found</v>
      </c>
      <c r="E980" s="46" t="str">
        <f aca="false">IFERROR(VLOOKUP(Orders!C980,Customers!$A$2:$F$301,3,FALSE()),"Not Found")</f>
        <v>Not Found</v>
      </c>
      <c r="F980" s="46" t="str">
        <f aca="false">IFERROR(VLOOKUP(Orders!E980,Sales_Reps!$A$2:$E$31,3,FALSE()),"Not Found")</f>
        <v>North</v>
      </c>
      <c r="G980" s="46" t="n">
        <f aca="false">IFERROR(VLOOKUP(Orders!D980,Products!$A$2:$F$61,4,FALSE()),"")</f>
        <v>1143</v>
      </c>
      <c r="H980" s="47" t="n">
        <f aca="false">IF(G980="","",(Orders!G980-G980)/Orders!G980)</f>
        <v>0.436945812807882</v>
      </c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</row>
    <row r="981" customFormat="false" ht="15" hidden="false" customHeight="false" outlineLevel="0" collapsed="false">
      <c r="A981" s="46" t="str">
        <f aca="false">Orders!A981</f>
        <v>ORD-00980</v>
      </c>
      <c r="B981" s="46" t="str">
        <f aca="false">PROPER(TRIM(Orders!K981))</f>
        <v>Pune</v>
      </c>
      <c r="C981" s="46" t="str">
        <f aca="false">IFERROR(VLOOKUP(Orders!D981,Products!$A$2:$F$61,3,FALSE()),"Not Found")</f>
        <v>Apparel</v>
      </c>
      <c r="D981" s="46" t="str">
        <f aca="false">IFERROR(VLOOKUP(Orders!C981,Customers!$A$2:$F$301,5,FALSE()),"Not Found")</f>
        <v>SMB</v>
      </c>
      <c r="E981" s="46" t="n">
        <f aca="false">IFERROR(VLOOKUP(Orders!C981,Customers!$A$2:$F$301,3,FALSE()),"Not Found")</f>
        <v>24</v>
      </c>
      <c r="F981" s="46" t="str">
        <f aca="false">IFERROR(VLOOKUP(Orders!E981,Sales_Reps!$A$2:$E$31,3,FALSE()),"Not Found")</f>
        <v>South</v>
      </c>
      <c r="G981" s="46" t="n">
        <f aca="false">IFERROR(VLOOKUP(Orders!D981,Products!$A$2:$F$61,4,FALSE()),"")</f>
        <v>1748</v>
      </c>
      <c r="H981" s="47" t="n">
        <f aca="false">IF(G981="","",(Orders!G981-G981)/Orders!G981)</f>
        <v>0.493333333333333</v>
      </c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</row>
    <row r="982" customFormat="false" ht="15" hidden="false" customHeight="false" outlineLevel="0" collapsed="false">
      <c r="A982" s="46" t="str">
        <f aca="false">Orders!A982</f>
        <v>ORD-00981</v>
      </c>
      <c r="B982" s="46" t="str">
        <f aca="false">PROPER(TRIM(Orders!K982))</f>
        <v>Pune</v>
      </c>
      <c r="C982" s="46" t="str">
        <f aca="false">IFERROR(VLOOKUP(Orders!D982,Products!$A$2:$F$61,3,FALSE()),"Not Found")</f>
        <v>Grocery</v>
      </c>
      <c r="D982" s="46" t="str">
        <f aca="false">IFERROR(VLOOKUP(Orders!C982,Customers!$A$2:$F$301,5,FALSE()),"Not Found")</f>
        <v>Retail</v>
      </c>
      <c r="E982" s="46" t="n">
        <f aca="false">IFERROR(VLOOKUP(Orders!C982,Customers!$A$2:$F$301,3,FALSE()),"Not Found")</f>
        <v>49</v>
      </c>
      <c r="F982" s="46" t="str">
        <f aca="false">IFERROR(VLOOKUP(Orders!E982,Sales_Reps!$A$2:$E$31,3,FALSE()),"Not Found")</f>
        <v>South</v>
      </c>
      <c r="G982" s="46" t="n">
        <f aca="false">IFERROR(VLOOKUP(Orders!D982,Products!$A$2:$F$61,4,FALSE()),"")</f>
        <v>2436</v>
      </c>
      <c r="H982" s="47" t="n">
        <f aca="false">IF(G982="","",(Orders!G982-G982)/Orders!G982)</f>
        <v>0.355555555555556</v>
      </c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</row>
    <row r="983" customFormat="false" ht="15" hidden="false" customHeight="false" outlineLevel="0" collapsed="false">
      <c r="A983" s="46" t="str">
        <f aca="false">Orders!A983</f>
        <v>ORD-00947</v>
      </c>
      <c r="B983" s="46" t="str">
        <f aca="false">PROPER(TRIM(Orders!K983))</f>
        <v>Pune</v>
      </c>
      <c r="C983" s="46" t="str">
        <f aca="false">IFERROR(VLOOKUP(Orders!D983,Products!$A$2:$F$61,3,FALSE()),"Not Found")</f>
        <v>Grocery</v>
      </c>
      <c r="D983" s="46" t="str">
        <f aca="false">IFERROR(VLOOKUP(Orders!C983,Customers!$A$2:$F$301,5,FALSE()),"Not Found")</f>
        <v>Retail</v>
      </c>
      <c r="E983" s="46" t="n">
        <f aca="false">IFERROR(VLOOKUP(Orders!C983,Customers!$A$2:$F$301,3,FALSE()),"Not Found")</f>
        <v>50</v>
      </c>
      <c r="F983" s="46" t="str">
        <f aca="false">IFERROR(VLOOKUP(Orders!E983,Sales_Reps!$A$2:$E$31,3,FALSE()),"Not Found")</f>
        <v>North</v>
      </c>
      <c r="G983" s="46" t="n">
        <f aca="false">IFERROR(VLOOKUP(Orders!D983,Products!$A$2:$F$61,4,FALSE()),"")</f>
        <v>1435</v>
      </c>
      <c r="H983" s="47" t="n">
        <f aca="false">IF(G983="","",(Orders!G983-G983)/Orders!G983)</f>
        <v>0.480072463768116</v>
      </c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</row>
    <row r="984" customFormat="false" ht="15" hidden="false" customHeight="false" outlineLevel="0" collapsed="false">
      <c r="A984" s="46" t="str">
        <f aca="false">Orders!A984</f>
        <v>ORD-00983</v>
      </c>
      <c r="B984" s="46" t="str">
        <f aca="false">PROPER(TRIM(Orders!K984))</f>
        <v>Pune</v>
      </c>
      <c r="C984" s="46" t="str">
        <f aca="false">IFERROR(VLOOKUP(Orders!D984,Products!$A$2:$F$61,3,FALSE()),"Not Found")</f>
        <v>Beauty</v>
      </c>
      <c r="D984" s="46" t="str">
        <f aca="false">IFERROR(VLOOKUP(Orders!C984,Customers!$A$2:$F$301,5,FALSE()),"Not Found")</f>
        <v>Retail</v>
      </c>
      <c r="E984" s="46" t="n">
        <f aca="false">IFERROR(VLOOKUP(Orders!C984,Customers!$A$2:$F$301,3,FALSE()),"Not Found")</f>
        <v>31</v>
      </c>
      <c r="F984" s="46" t="str">
        <f aca="false">IFERROR(VLOOKUP(Orders!E984,Sales_Reps!$A$2:$E$31,3,FALSE()),"Not Found")</f>
        <v>West</v>
      </c>
      <c r="G984" s="46" t="n">
        <f aca="false">IFERROR(VLOOKUP(Orders!D984,Products!$A$2:$F$61,4,FALSE()),"")</f>
        <v>647</v>
      </c>
      <c r="H984" s="47" t="n">
        <f aca="false">IF(G984="","",(Orders!G984-G984)/Orders!G984)</f>
        <v>0.57987012987013</v>
      </c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</row>
    <row r="985" customFormat="false" ht="15" hidden="false" customHeight="false" outlineLevel="0" collapsed="false">
      <c r="A985" s="46" t="str">
        <f aca="false">Orders!A985</f>
        <v>ORD-00984</v>
      </c>
      <c r="B985" s="46" t="str">
        <f aca="false">PROPER(TRIM(Orders!K985))</f>
        <v>Bengaluru</v>
      </c>
      <c r="C985" s="46" t="str">
        <f aca="false">IFERROR(VLOOKUP(Orders!D985,Products!$A$2:$F$61,3,FALSE()),"Not Found")</f>
        <v>Home</v>
      </c>
      <c r="D985" s="46" t="str">
        <f aca="false">IFERROR(VLOOKUP(Orders!C985,Customers!$A$2:$F$301,5,FALSE()),"Not Found")</f>
        <v>Retail</v>
      </c>
      <c r="E985" s="46" t="n">
        <f aca="false">IFERROR(VLOOKUP(Orders!C985,Customers!$A$2:$F$301,3,FALSE()),"Not Found")</f>
        <v>27</v>
      </c>
      <c r="F985" s="46" t="str">
        <f aca="false">IFERROR(VLOOKUP(Orders!E985,Sales_Reps!$A$2:$E$31,3,FALSE()),"Not Found")</f>
        <v>North</v>
      </c>
      <c r="G985" s="46" t="n">
        <f aca="false">IFERROR(VLOOKUP(Orders!D985,Products!$A$2:$F$61,4,FALSE()),"")</f>
        <v>2135</v>
      </c>
      <c r="H985" s="47" t="n">
        <f aca="false">IF(G985="","",(Orders!G985-G985)/Orders!G985)</f>
        <v>0.427613941018767</v>
      </c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</row>
    <row r="986" customFormat="false" ht="15" hidden="false" customHeight="false" outlineLevel="0" collapsed="false">
      <c r="A986" s="46" t="str">
        <f aca="false">Orders!A986</f>
        <v>ORD-00985</v>
      </c>
      <c r="B986" s="46" t="str">
        <f aca="false">PROPER(TRIM(Orders!K986))</f>
        <v>Bengaluru</v>
      </c>
      <c r="C986" s="46" t="str">
        <f aca="false">IFERROR(VLOOKUP(Orders!D986,Products!$A$2:$F$61,3,FALSE()),"Not Found")</f>
        <v>Home</v>
      </c>
      <c r="D986" s="46" t="str">
        <f aca="false">IFERROR(VLOOKUP(Orders!C986,Customers!$A$2:$F$301,5,FALSE()),"Not Found")</f>
        <v>Retail</v>
      </c>
      <c r="E986" s="46" t="n">
        <f aca="false">IFERROR(VLOOKUP(Orders!C986,Customers!$A$2:$F$301,3,FALSE()),"Not Found")</f>
        <v>52</v>
      </c>
      <c r="F986" s="46" t="str">
        <f aca="false">IFERROR(VLOOKUP(Orders!E986,Sales_Reps!$A$2:$E$31,3,FALSE()),"Not Found")</f>
        <v>West</v>
      </c>
      <c r="G986" s="46" t="n">
        <f aca="false">IFERROR(VLOOKUP(Orders!D986,Products!$A$2:$F$61,4,FALSE()),"")</f>
        <v>2135</v>
      </c>
      <c r="H986" s="47" t="n">
        <f aca="false">IF(G986="","",(Orders!G986-G986)/Orders!G986)</f>
        <v>0.427613941018767</v>
      </c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</row>
    <row r="987" customFormat="false" ht="15" hidden="false" customHeight="false" outlineLevel="0" collapsed="false">
      <c r="A987" s="46" t="str">
        <f aca="false">Orders!A987</f>
        <v>ORD-00986</v>
      </c>
      <c r="B987" s="46" t="str">
        <f aca="false">PROPER(TRIM(Orders!K987))</f>
        <v>Pune</v>
      </c>
      <c r="C987" s="46" t="str">
        <f aca="false">IFERROR(VLOOKUP(Orders!D987,Products!$A$2:$F$61,3,FALSE()),"Not Found")</f>
        <v>Apparel</v>
      </c>
      <c r="D987" s="46" t="str">
        <f aca="false">IFERROR(VLOOKUP(Orders!C987,Customers!$A$2:$F$301,5,FALSE()),"Not Found")</f>
        <v>Retail</v>
      </c>
      <c r="E987" s="46" t="n">
        <f aca="false">IFERROR(VLOOKUP(Orders!C987,Customers!$A$2:$F$301,3,FALSE()),"Not Found")</f>
        <v>62</v>
      </c>
      <c r="F987" s="46" t="str">
        <f aca="false">IFERROR(VLOOKUP(Orders!E987,Sales_Reps!$A$2:$E$31,3,FALSE()),"Not Found")</f>
        <v>South</v>
      </c>
      <c r="G987" s="46" t="n">
        <f aca="false">IFERROR(VLOOKUP(Orders!D987,Products!$A$2:$F$61,4,FALSE()),"")</f>
        <v>1886</v>
      </c>
      <c r="H987" s="47" t="n">
        <f aca="false">IF(G987="","",(Orders!G987-G987)/Orders!G987)</f>
        <v>0.403164556962025</v>
      </c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</row>
    <row r="988" customFormat="false" ht="15" hidden="false" customHeight="false" outlineLevel="0" collapsed="false">
      <c r="A988" s="46" t="str">
        <f aca="false">Orders!A988</f>
        <v>ORD-00987</v>
      </c>
      <c r="B988" s="46" t="str">
        <f aca="false">PROPER(TRIM(Orders!K988))</f>
        <v>Mumbai</v>
      </c>
      <c r="C988" s="46" t="str">
        <f aca="false">IFERROR(VLOOKUP(Orders!D988,Products!$A$2:$F$61,3,FALSE()),"Not Found")</f>
        <v>Beauty</v>
      </c>
      <c r="D988" s="46" t="str">
        <f aca="false">IFERROR(VLOOKUP(Orders!C988,Customers!$A$2:$F$301,5,FALSE()),"Not Found")</f>
        <v>Retail</v>
      </c>
      <c r="E988" s="46" t="n">
        <f aca="false">IFERROR(VLOOKUP(Orders!C988,Customers!$A$2:$F$301,3,FALSE()),"Not Found")</f>
        <v>53</v>
      </c>
      <c r="F988" s="46" t="str">
        <f aca="false">IFERROR(VLOOKUP(Orders!E988,Sales_Reps!$A$2:$E$31,3,FALSE()),"Not Found")</f>
        <v>East</v>
      </c>
      <c r="G988" s="46" t="n">
        <f aca="false">IFERROR(VLOOKUP(Orders!D988,Products!$A$2:$F$61,4,FALSE()),"")</f>
        <v>1219</v>
      </c>
      <c r="H988" s="47" t="n">
        <f aca="false">IF(G988="","",(Orders!G988-G988)/Orders!G988)</f>
        <v>0.467685589519651</v>
      </c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</row>
    <row r="989" customFormat="false" ht="15" hidden="false" customHeight="false" outlineLevel="0" collapsed="false">
      <c r="A989" s="46" t="str">
        <f aca="false">Orders!A989</f>
        <v>ORD-00988</v>
      </c>
      <c r="B989" s="46" t="str">
        <f aca="false">PROPER(TRIM(Orders!K989))</f>
        <v>Pune</v>
      </c>
      <c r="C989" s="46" t="str">
        <f aca="false">IFERROR(VLOOKUP(Orders!D989,Products!$A$2:$F$61,3,FALSE()),"Not Found")</f>
        <v>Electronics</v>
      </c>
      <c r="D989" s="46" t="str">
        <f aca="false">IFERROR(VLOOKUP(Orders!C989,Customers!$A$2:$F$301,5,FALSE()),"Not Found")</f>
        <v>Corporate</v>
      </c>
      <c r="E989" s="46" t="n">
        <f aca="false">IFERROR(VLOOKUP(Orders!C989,Customers!$A$2:$F$301,3,FALSE()),"Not Found")</f>
        <v>48</v>
      </c>
      <c r="F989" s="46" t="str">
        <f aca="false">IFERROR(VLOOKUP(Orders!E989,Sales_Reps!$A$2:$E$31,3,FALSE()),"Not Found")</f>
        <v>South</v>
      </c>
      <c r="G989" s="46" t="n">
        <f aca="false">IFERROR(VLOOKUP(Orders!D989,Products!$A$2:$F$61,4,FALSE()),"")</f>
        <v>1559</v>
      </c>
      <c r="H989" s="47" t="n">
        <f aca="false">IF(G989="","",(Orders!G989-G989)/Orders!G989)</f>
        <v>0.597157622739018</v>
      </c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</row>
    <row r="990" customFormat="false" ht="15" hidden="false" customHeight="false" outlineLevel="0" collapsed="false">
      <c r="A990" s="46" t="str">
        <f aca="false">Orders!A990</f>
        <v>ORD-00989</v>
      </c>
      <c r="B990" s="46" t="str">
        <f aca="false">PROPER(TRIM(Orders!K990))</f>
        <v>Bengaluru</v>
      </c>
      <c r="C990" s="46" t="str">
        <f aca="false">IFERROR(VLOOKUP(Orders!D990,Products!$A$2:$F$61,3,FALSE()),"Not Found")</f>
        <v>Electronics</v>
      </c>
      <c r="D990" s="46" t="str">
        <f aca="false">IFERROR(VLOOKUP(Orders!C990,Customers!$A$2:$F$301,5,FALSE()),"Not Found")</f>
        <v>Retail</v>
      </c>
      <c r="E990" s="46" t="n">
        <f aca="false">IFERROR(VLOOKUP(Orders!C990,Customers!$A$2:$F$301,3,FALSE()),"Not Found")</f>
        <v>55</v>
      </c>
      <c r="F990" s="46" t="str">
        <f aca="false">IFERROR(VLOOKUP(Orders!E990,Sales_Reps!$A$2:$E$31,3,FALSE()),"Not Found")</f>
        <v>North</v>
      </c>
      <c r="G990" s="46" t="n">
        <f aca="false">IFERROR(VLOOKUP(Orders!D990,Products!$A$2:$F$61,4,FALSE()),"")</f>
        <v>1665</v>
      </c>
      <c r="H990" s="47" t="n">
        <f aca="false">IF(G990="","",(Orders!G990-G990)/Orders!G990)</f>
        <v>0.533613445378151</v>
      </c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</row>
    <row r="991" customFormat="false" ht="15" hidden="false" customHeight="false" outlineLevel="0" collapsed="false">
      <c r="A991" s="46" t="str">
        <f aca="false">Orders!A991</f>
        <v>ORD-00990</v>
      </c>
      <c r="B991" s="46" t="str">
        <f aca="false">PROPER(TRIM(Orders!K991))</f>
        <v>Chennai</v>
      </c>
      <c r="C991" s="46" t="str">
        <f aca="false">IFERROR(VLOOKUP(Orders!D991,Products!$A$2:$F$61,3,FALSE()),"Not Found")</f>
        <v>Sports</v>
      </c>
      <c r="D991" s="46" t="str">
        <f aca="false">IFERROR(VLOOKUP(Orders!C991,Customers!$A$2:$F$301,5,FALSE()),"Not Found")</f>
        <v>Retail</v>
      </c>
      <c r="E991" s="46" t="n">
        <f aca="false">IFERROR(VLOOKUP(Orders!C991,Customers!$A$2:$F$301,3,FALSE()),"Not Found")</f>
        <v>38</v>
      </c>
      <c r="F991" s="46" t="str">
        <f aca="false">IFERROR(VLOOKUP(Orders!E991,Sales_Reps!$A$2:$E$31,3,FALSE()),"Not Found")</f>
        <v>North</v>
      </c>
      <c r="G991" s="46" t="n">
        <f aca="false">IFERROR(VLOOKUP(Orders!D991,Products!$A$2:$F$61,4,FALSE()),"")</f>
        <v>516</v>
      </c>
      <c r="H991" s="47" t="n">
        <f aca="false">IF(G991="","",(Orders!G991-G991)/Orders!G991)</f>
        <v>0.489108910891089</v>
      </c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</row>
    <row r="992" customFormat="false" ht="15" hidden="false" customHeight="false" outlineLevel="0" collapsed="false">
      <c r="A992" s="46" t="str">
        <f aca="false">Orders!A992</f>
        <v>ORD-00991</v>
      </c>
      <c r="B992" s="46" t="str">
        <f aca="false">PROPER(TRIM(Orders!K992))</f>
        <v>Chennai</v>
      </c>
      <c r="C992" s="46" t="str">
        <f aca="false">IFERROR(VLOOKUP(Orders!D992,Products!$A$2:$F$61,3,FALSE()),"Not Found")</f>
        <v>Beauty</v>
      </c>
      <c r="D992" s="46" t="str">
        <f aca="false">IFERROR(VLOOKUP(Orders!C992,Customers!$A$2:$F$301,5,FALSE()),"Not Found")</f>
        <v>Corporate</v>
      </c>
      <c r="E992" s="46" t="n">
        <f aca="false">IFERROR(VLOOKUP(Orders!C992,Customers!$A$2:$F$301,3,FALSE()),"Not Found")</f>
        <v>51</v>
      </c>
      <c r="F992" s="46" t="str">
        <f aca="false">IFERROR(VLOOKUP(Orders!E992,Sales_Reps!$A$2:$E$31,3,FALSE()),"Not Found")</f>
        <v>North</v>
      </c>
      <c r="G992" s="46" t="n">
        <f aca="false">IFERROR(VLOOKUP(Orders!D992,Products!$A$2:$F$61,4,FALSE()),"")</f>
        <v>1219</v>
      </c>
      <c r="H992" s="47" t="n">
        <f aca="false">IF(G992="","",(Orders!G992-G992)/Orders!G992)</f>
        <v>0.467685589519651</v>
      </c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</row>
    <row r="993" customFormat="false" ht="15" hidden="false" customHeight="false" outlineLevel="0" collapsed="false">
      <c r="A993" s="46" t="str">
        <f aca="false">Orders!A993</f>
        <v>ORD-00992</v>
      </c>
      <c r="B993" s="46" t="str">
        <f aca="false">PROPER(TRIM(Orders!K993))</f>
        <v>Hyderabad</v>
      </c>
      <c r="C993" s="46" t="str">
        <f aca="false">IFERROR(VLOOKUP(Orders!D993,Products!$A$2:$F$61,3,FALSE()),"Not Found")</f>
        <v>Home</v>
      </c>
      <c r="D993" s="46" t="str">
        <f aca="false">IFERROR(VLOOKUP(Orders!C993,Customers!$A$2:$F$301,5,FALSE()),"Not Found")</f>
        <v>Corporate</v>
      </c>
      <c r="E993" s="46" t="n">
        <f aca="false">IFERROR(VLOOKUP(Orders!C993,Customers!$A$2:$F$301,3,FALSE()),"Not Found")</f>
        <v>52</v>
      </c>
      <c r="F993" s="46" t="str">
        <f aca="false">IFERROR(VLOOKUP(Orders!E993,Sales_Reps!$A$2:$E$31,3,FALSE()),"Not Found")</f>
        <v>East</v>
      </c>
      <c r="G993" s="46" t="n">
        <f aca="false">IFERROR(VLOOKUP(Orders!D993,Products!$A$2:$F$61,4,FALSE()),"")</f>
        <v>1850</v>
      </c>
      <c r="H993" s="47" t="n">
        <f aca="false">IF(G993="","",(Orders!G993-G993)/Orders!G993)</f>
        <v>0.598698481561822</v>
      </c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</row>
    <row r="994" customFormat="false" ht="15" hidden="false" customHeight="false" outlineLevel="0" collapsed="false">
      <c r="A994" s="46" t="str">
        <f aca="false">Orders!A994</f>
        <v>ORD-00993</v>
      </c>
      <c r="B994" s="46" t="str">
        <f aca="false">PROPER(TRIM(Orders!K994))</f>
        <v>Pune</v>
      </c>
      <c r="C994" s="46" t="str">
        <f aca="false">IFERROR(VLOOKUP(Orders!D994,Products!$A$2:$F$61,3,FALSE()),"Not Found")</f>
        <v>Apparel</v>
      </c>
      <c r="D994" s="46" t="str">
        <f aca="false">IFERROR(VLOOKUP(Orders!C994,Customers!$A$2:$F$301,5,FALSE()),"Not Found")</f>
        <v>Corporate</v>
      </c>
      <c r="E994" s="46" t="n">
        <f aca="false">IFERROR(VLOOKUP(Orders!C994,Customers!$A$2:$F$301,3,FALSE()),"Not Found")</f>
        <v>37</v>
      </c>
      <c r="F994" s="46" t="str">
        <f aca="false">IFERROR(VLOOKUP(Orders!E994,Sales_Reps!$A$2:$E$31,3,FALSE()),"Not Found")</f>
        <v>North</v>
      </c>
      <c r="G994" s="46" t="n">
        <f aca="false">IFERROR(VLOOKUP(Orders!D994,Products!$A$2:$F$61,4,FALSE()),"")</f>
        <v>1075</v>
      </c>
      <c r="H994" s="47" t="n">
        <f aca="false">IF(G994="","",(Orders!G994-G994)/Orders!G994)</f>
        <v>0.571713147410359</v>
      </c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</row>
    <row r="995" customFormat="false" ht="15" hidden="false" customHeight="false" outlineLevel="0" collapsed="false">
      <c r="A995" s="46" t="str">
        <f aca="false">Orders!A995</f>
        <v>ORD-00994</v>
      </c>
      <c r="B995" s="46" t="str">
        <f aca="false">PROPER(TRIM(Orders!K995))</f>
        <v>Mumbai</v>
      </c>
      <c r="C995" s="46" t="str">
        <f aca="false">IFERROR(VLOOKUP(Orders!D995,Products!$A$2:$F$61,3,FALSE()),"Not Found")</f>
        <v>Beauty</v>
      </c>
      <c r="D995" s="46" t="str">
        <f aca="false">IFERROR(VLOOKUP(Orders!C995,Customers!$A$2:$F$301,5,FALSE()),"Not Found")</f>
        <v>SMB</v>
      </c>
      <c r="E995" s="46" t="n">
        <f aca="false">IFERROR(VLOOKUP(Orders!C995,Customers!$A$2:$F$301,3,FALSE()),"Not Found")</f>
        <v>27</v>
      </c>
      <c r="F995" s="46" t="str">
        <f aca="false">IFERROR(VLOOKUP(Orders!E995,Sales_Reps!$A$2:$E$31,3,FALSE()),"Not Found")</f>
        <v>South</v>
      </c>
      <c r="G995" s="46" t="n">
        <f aca="false">IFERROR(VLOOKUP(Orders!D995,Products!$A$2:$F$61,4,FALSE()),"")</f>
        <v>1626</v>
      </c>
      <c r="H995" s="47" t="n">
        <f aca="false">IF(G995="","",(Orders!G995-G995)/Orders!G995)</f>
        <v>0.46158940397351</v>
      </c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</row>
    <row r="996" customFormat="false" ht="15" hidden="false" customHeight="false" outlineLevel="0" collapsed="false">
      <c r="A996" s="46" t="str">
        <f aca="false">Orders!A996</f>
        <v>ORD-00995</v>
      </c>
      <c r="B996" s="46" t="str">
        <f aca="false">PROPER(TRIM(Orders!K996))</f>
        <v>Pune</v>
      </c>
      <c r="C996" s="46" t="str">
        <f aca="false">IFERROR(VLOOKUP(Orders!D996,Products!$A$2:$F$61,3,FALSE()),"Not Found")</f>
        <v>Sports</v>
      </c>
      <c r="D996" s="46" t="str">
        <f aca="false">IFERROR(VLOOKUP(Orders!C996,Customers!$A$2:$F$301,5,FALSE()),"Not Found")</f>
        <v>Retail</v>
      </c>
      <c r="E996" s="46" t="n">
        <f aca="false">IFERROR(VLOOKUP(Orders!C996,Customers!$A$2:$F$301,3,FALSE()),"Not Found")</f>
        <v>62</v>
      </c>
      <c r="F996" s="46" t="str">
        <f aca="false">IFERROR(VLOOKUP(Orders!E996,Sales_Reps!$A$2:$E$31,3,FALSE()),"Not Found")</f>
        <v>South</v>
      </c>
      <c r="G996" s="46" t="n">
        <f aca="false">IFERROR(VLOOKUP(Orders!D996,Products!$A$2:$F$61,4,FALSE()),"")</f>
        <v>147</v>
      </c>
      <c r="H996" s="47" t="n">
        <f aca="false">IF(G996="","",(Orders!G996-G996)/Orders!G996)</f>
        <v>0.226315789473684</v>
      </c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</row>
    <row r="997" customFormat="false" ht="15" hidden="false" customHeight="false" outlineLevel="0" collapsed="false">
      <c r="A997" s="46" t="str">
        <f aca="false">Orders!A997</f>
        <v>ORD-00996</v>
      </c>
      <c r="B997" s="46" t="str">
        <f aca="false">PROPER(TRIM(Orders!K997))</f>
        <v>Bengaluru</v>
      </c>
      <c r="C997" s="46" t="str">
        <f aca="false">IFERROR(VLOOKUP(Orders!D997,Products!$A$2:$F$61,3,FALSE()),"Not Found")</f>
        <v>Home</v>
      </c>
      <c r="D997" s="46" t="str">
        <f aca="false">IFERROR(VLOOKUP(Orders!C997,Customers!$A$2:$F$301,5,FALSE()),"Not Found")</f>
        <v>Retail</v>
      </c>
      <c r="E997" s="46" t="n">
        <f aca="false">IFERROR(VLOOKUP(Orders!C997,Customers!$A$2:$F$301,3,FALSE()),"Not Found")</f>
        <v>36</v>
      </c>
      <c r="F997" s="46" t="str">
        <f aca="false">IFERROR(VLOOKUP(Orders!E997,Sales_Reps!$A$2:$E$31,3,FALSE()),"Not Found")</f>
        <v>North</v>
      </c>
      <c r="G997" s="46" t="n">
        <f aca="false">IFERROR(VLOOKUP(Orders!D997,Products!$A$2:$F$61,4,FALSE()),"")</f>
        <v>1143</v>
      </c>
      <c r="H997" s="47" t="n">
        <f aca="false">IF(G997="","",(Orders!G997-G997)/Orders!G997)</f>
        <v>0.436945812807882</v>
      </c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</row>
    <row r="998" customFormat="false" ht="15" hidden="false" customHeight="false" outlineLevel="0" collapsed="false">
      <c r="A998" s="46" t="str">
        <f aca="false">Orders!A998</f>
        <v>ORD-00997</v>
      </c>
      <c r="B998" s="46" t="str">
        <f aca="false">PROPER(TRIM(Orders!K998))</f>
        <v>Hyderabad</v>
      </c>
      <c r="C998" s="46" t="str">
        <f aca="false">IFERROR(VLOOKUP(Orders!D998,Products!$A$2:$F$61,3,FALSE()),"Not Found")</f>
        <v>Home</v>
      </c>
      <c r="D998" s="46" t="str">
        <f aca="false">IFERROR(VLOOKUP(Orders!C998,Customers!$A$2:$F$301,5,FALSE()),"Not Found")</f>
        <v>Retail</v>
      </c>
      <c r="E998" s="46" t="n">
        <f aca="false">IFERROR(VLOOKUP(Orders!C998,Customers!$A$2:$F$301,3,FALSE()),"Not Found")</f>
        <v>52</v>
      </c>
      <c r="F998" s="46" t="str">
        <f aca="false">IFERROR(VLOOKUP(Orders!E998,Sales_Reps!$A$2:$E$31,3,FALSE()),"Not Found")</f>
        <v>South</v>
      </c>
      <c r="G998" s="46" t="n">
        <f aca="false">IFERROR(VLOOKUP(Orders!D998,Products!$A$2:$F$61,4,FALSE()),"")</f>
        <v>1556</v>
      </c>
      <c r="H998" s="47" t="n">
        <f aca="false">IF(G998="","",(Orders!G998-G998)/Orders!G998)</f>
        <v>0.521230769230769</v>
      </c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</row>
    <row r="999" customFormat="false" ht="15" hidden="false" customHeight="false" outlineLevel="0" collapsed="false">
      <c r="A999" s="46" t="str">
        <f aca="false">Orders!A999</f>
        <v>ORD-00998</v>
      </c>
      <c r="B999" s="46" t="str">
        <f aca="false">PROPER(TRIM(Orders!K999))</f>
        <v>Pune</v>
      </c>
      <c r="C999" s="46" t="str">
        <f aca="false">IFERROR(VLOOKUP(Orders!D999,Products!$A$2:$F$61,3,FALSE()),"Not Found")</f>
        <v>Home</v>
      </c>
      <c r="D999" s="46" t="str">
        <f aca="false">IFERROR(VLOOKUP(Orders!C999,Customers!$A$2:$F$301,5,FALSE()),"Not Found")</f>
        <v>Retail</v>
      </c>
      <c r="E999" s="46" t="n">
        <f aca="false">IFERROR(VLOOKUP(Orders!C999,Customers!$A$2:$F$301,3,FALSE()),"Not Found")</f>
        <v>65</v>
      </c>
      <c r="F999" s="46" t="str">
        <f aca="false">IFERROR(VLOOKUP(Orders!E999,Sales_Reps!$A$2:$E$31,3,FALSE()),"Not Found")</f>
        <v>West</v>
      </c>
      <c r="G999" s="46" t="n">
        <f aca="false">IFERROR(VLOOKUP(Orders!D999,Products!$A$2:$F$61,4,FALSE()),"")</f>
        <v>1143</v>
      </c>
      <c r="H999" s="47" t="n">
        <f aca="false">IF(G999="","",(Orders!G999-G999)/Orders!G999)</f>
        <v>0.436945812807882</v>
      </c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</row>
    <row r="1000" customFormat="false" ht="15" hidden="false" customHeight="false" outlineLevel="0" collapsed="false">
      <c r="A1000" s="46" t="str">
        <f aca="false">Orders!A1000</f>
        <v>ORD-00999</v>
      </c>
      <c r="B1000" s="46" t="str">
        <f aca="false">PROPER(TRIM(Orders!K1000))</f>
        <v>Mumbai</v>
      </c>
      <c r="C1000" s="46" t="str">
        <f aca="false">IFERROR(VLOOKUP(Orders!D1000,Products!$A$2:$F$61,3,FALSE()),"Not Found")</f>
        <v>Grocery</v>
      </c>
      <c r="D1000" s="46" t="str">
        <f aca="false">IFERROR(VLOOKUP(Orders!C1000,Customers!$A$2:$F$301,5,FALSE()),"Not Found")</f>
        <v>SMB</v>
      </c>
      <c r="E1000" s="46" t="n">
        <f aca="false">IFERROR(VLOOKUP(Orders!C1000,Customers!$A$2:$F$301,3,FALSE()),"Not Found")</f>
        <v>47</v>
      </c>
      <c r="F1000" s="46" t="str">
        <f aca="false">IFERROR(VLOOKUP(Orders!E1000,Sales_Reps!$A$2:$E$31,3,FALSE()),"Not Found")</f>
        <v>West</v>
      </c>
      <c r="G1000" s="46" t="n">
        <f aca="false">IFERROR(VLOOKUP(Orders!D1000,Products!$A$2:$F$61,4,FALSE()),"")</f>
        <v>1182</v>
      </c>
      <c r="H1000" s="47" t="n">
        <f aca="false">IF(G1000="","",(Orders!G1000-G1000)/Orders!G1000)</f>
        <v>0.503361344537815</v>
      </c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</row>
    <row r="1001" customFormat="false" ht="15" hidden="false" customHeight="false" outlineLevel="0" collapsed="false">
      <c r="A1001" s="46" t="str">
        <f aca="false">Orders!A1001</f>
        <v>ORD-01000</v>
      </c>
      <c r="B1001" s="46" t="str">
        <f aca="false">PROPER(TRIM(Orders!K1001))</f>
        <v>Hyderabad</v>
      </c>
      <c r="C1001" s="46" t="str">
        <f aca="false">IFERROR(VLOOKUP(Orders!D1001,Products!$A$2:$F$61,3,FALSE()),"Not Found")</f>
        <v>Apparel</v>
      </c>
      <c r="D1001" s="46" t="str">
        <f aca="false">IFERROR(VLOOKUP(Orders!C1001,Customers!$A$2:$F$301,5,FALSE()),"Not Found")</f>
        <v>Retail</v>
      </c>
      <c r="E1001" s="46" t="n">
        <f aca="false">IFERROR(VLOOKUP(Orders!C1001,Customers!$A$2:$F$301,3,FALSE()),"Not Found")</f>
        <v>38</v>
      </c>
      <c r="F1001" s="46" t="str">
        <f aca="false">IFERROR(VLOOKUP(Orders!E1001,Sales_Reps!$A$2:$E$31,3,FALSE()),"Not Found")</f>
        <v>West</v>
      </c>
      <c r="G1001" s="46" t="n">
        <f aca="false">IFERROR(VLOOKUP(Orders!D1001,Products!$A$2:$F$61,4,FALSE()),"")</f>
        <v>1748</v>
      </c>
      <c r="H1001" s="47" t="n">
        <f aca="false">IF(G1001="","",(Orders!G1001-G1001)/Orders!G1001)</f>
        <v>0.493333333333333</v>
      </c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</row>
    <row r="1002" customFormat="false" ht="15" hidden="false" customHeight="false" outlineLevel="0" collapsed="false">
      <c r="A1002" s="46" t="str">
        <f aca="false">Orders!A1002</f>
        <v>ORD-01001</v>
      </c>
      <c r="B1002" s="46" t="str">
        <f aca="false">PROPER(TRIM(Orders!K1002))</f>
        <v>Hyderabad</v>
      </c>
      <c r="C1002" s="46" t="str">
        <f aca="false">IFERROR(VLOOKUP(Orders!D1002,Products!$A$2:$F$61,3,FALSE()),"Not Found")</f>
        <v>Apparel</v>
      </c>
      <c r="D1002" s="46" t="str">
        <f aca="false">IFERROR(VLOOKUP(Orders!C1002,Customers!$A$2:$F$301,5,FALSE()),"Not Found")</f>
        <v>Corporate</v>
      </c>
      <c r="E1002" s="46" t="n">
        <f aca="false">IFERROR(VLOOKUP(Orders!C1002,Customers!$A$2:$F$301,3,FALSE()),"Not Found")</f>
        <v>29</v>
      </c>
      <c r="F1002" s="46" t="str">
        <f aca="false">IFERROR(VLOOKUP(Orders!E1002,Sales_Reps!$A$2:$E$31,3,FALSE()),"Not Found")</f>
        <v>North</v>
      </c>
      <c r="G1002" s="46" t="n">
        <f aca="false">IFERROR(VLOOKUP(Orders!D1002,Products!$A$2:$F$61,4,FALSE()),"")</f>
        <v>1886</v>
      </c>
      <c r="H1002" s="47" t="n">
        <f aca="false">IF(G1002="","",(Orders!G1002-G1002)/Orders!G1002)</f>
        <v>0.403164556962025</v>
      </c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</row>
    <row r="1003" customFormat="false" ht="15" hidden="false" customHeight="false" outlineLevel="0" collapsed="false">
      <c r="A1003" s="46" t="str">
        <f aca="false">Orders!A1003</f>
        <v>ORD-01002</v>
      </c>
      <c r="B1003" s="46" t="str">
        <f aca="false">PROPER(TRIM(Orders!K1003))</f>
        <v>Chennai</v>
      </c>
      <c r="C1003" s="46" t="str">
        <f aca="false">IFERROR(VLOOKUP(Orders!D1003,Products!$A$2:$F$61,3,FALSE()),"Not Found")</f>
        <v>Home</v>
      </c>
      <c r="D1003" s="46" t="str">
        <f aca="false">IFERROR(VLOOKUP(Orders!C1003,Customers!$A$2:$F$301,5,FALSE()),"Not Found")</f>
        <v>Retail</v>
      </c>
      <c r="E1003" s="46" t="n">
        <f aca="false">IFERROR(VLOOKUP(Orders!C1003,Customers!$A$2:$F$301,3,FALSE()),"Not Found")</f>
        <v>60</v>
      </c>
      <c r="F1003" s="46" t="str">
        <f aca="false">IFERROR(VLOOKUP(Orders!E1003,Sales_Reps!$A$2:$E$31,3,FALSE()),"Not Found")</f>
        <v>West</v>
      </c>
      <c r="G1003" s="46" t="n">
        <f aca="false">IFERROR(VLOOKUP(Orders!D1003,Products!$A$2:$F$61,4,FALSE()),"")</f>
        <v>2549</v>
      </c>
      <c r="H1003" s="47" t="n">
        <f aca="false">IF(G1003="","",(Orders!G1003-G1003)/Orders!G1003)</f>
        <v>0.535701275045537</v>
      </c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</row>
    <row r="1004" customFormat="false" ht="15" hidden="false" customHeight="false" outlineLevel="0" collapsed="false">
      <c r="A1004" s="46" t="str">
        <f aca="false">Orders!A1004</f>
        <v>ORD-01003</v>
      </c>
      <c r="B1004" s="46" t="str">
        <f aca="false">PROPER(TRIM(Orders!K1004))</f>
        <v>Chennai</v>
      </c>
      <c r="C1004" s="46" t="str">
        <f aca="false">IFERROR(VLOOKUP(Orders!D1004,Products!$A$2:$F$61,3,FALSE()),"Not Found")</f>
        <v>Sports</v>
      </c>
      <c r="D1004" s="46" t="str">
        <f aca="false">IFERROR(VLOOKUP(Orders!C1004,Customers!$A$2:$F$301,5,FALSE()),"Not Found")</f>
        <v>SMB</v>
      </c>
      <c r="E1004" s="46" t="n">
        <f aca="false">IFERROR(VLOOKUP(Orders!C1004,Customers!$A$2:$F$301,3,FALSE()),"Not Found")</f>
        <v>46</v>
      </c>
      <c r="F1004" s="46" t="str">
        <f aca="false">IFERROR(VLOOKUP(Orders!E1004,Sales_Reps!$A$2:$E$31,3,FALSE()),"Not Found")</f>
        <v>North</v>
      </c>
      <c r="G1004" s="46" t="n">
        <f aca="false">IFERROR(VLOOKUP(Orders!D1004,Products!$A$2:$F$61,4,FALSE()),"")</f>
        <v>2028</v>
      </c>
      <c r="H1004" s="47" t="n">
        <f aca="false">IF(G1004="","",(Orders!G1004-G1004)/Orders!G1004)</f>
        <v>0.290909090909091</v>
      </c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</row>
    <row r="1005" customFormat="false" ht="15" hidden="false" customHeight="false" outlineLevel="0" collapsed="false">
      <c r="A1005" s="46" t="str">
        <f aca="false">Orders!A1005</f>
        <v>ORD-01004</v>
      </c>
      <c r="B1005" s="46" t="str">
        <f aca="false">PROPER(TRIM(Orders!K1005))</f>
        <v>Bengaluru</v>
      </c>
      <c r="C1005" s="46" t="str">
        <f aca="false">IFERROR(VLOOKUP(Orders!D1005,Products!$A$2:$F$61,3,FALSE()),"Not Found")</f>
        <v>Beauty</v>
      </c>
      <c r="D1005" s="46" t="str">
        <f aca="false">IFERROR(VLOOKUP(Orders!C1005,Customers!$A$2:$F$301,5,FALSE()),"Not Found")</f>
        <v>Retail</v>
      </c>
      <c r="E1005" s="46" t="n">
        <f aca="false">IFERROR(VLOOKUP(Orders!C1005,Customers!$A$2:$F$301,3,FALSE()),"Not Found")</f>
        <v>34</v>
      </c>
      <c r="F1005" s="46" t="str">
        <f aca="false">IFERROR(VLOOKUP(Orders!E1005,Sales_Reps!$A$2:$E$31,3,FALSE()),"Not Found")</f>
        <v>South</v>
      </c>
      <c r="G1005" s="46" t="n">
        <f aca="false">IFERROR(VLOOKUP(Orders!D1005,Products!$A$2:$F$61,4,FALSE()),"")</f>
        <v>675</v>
      </c>
      <c r="H1005" s="47" t="n">
        <f aca="false">IF(G1005="","",(Orders!G1005-G1005)/Orders!G1005)</f>
        <v>0.296875</v>
      </c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</row>
    <row r="1006" customFormat="false" ht="15" hidden="false" customHeight="false" outlineLevel="0" collapsed="false">
      <c r="A1006" s="46" t="str">
        <f aca="false">Orders!A1006</f>
        <v>ORD-01005</v>
      </c>
      <c r="B1006" s="46" t="str">
        <f aca="false">PROPER(TRIM(Orders!K1006))</f>
        <v>Bengaluru</v>
      </c>
      <c r="C1006" s="46" t="str">
        <f aca="false">IFERROR(VLOOKUP(Orders!D1006,Products!$A$2:$F$61,3,FALSE()),"Not Found")</f>
        <v>Home</v>
      </c>
      <c r="D1006" s="46" t="str">
        <f aca="false">IFERROR(VLOOKUP(Orders!C1006,Customers!$A$2:$F$301,5,FALSE()),"Not Found")</f>
        <v>Retail</v>
      </c>
      <c r="E1006" s="46" t="n">
        <f aca="false">IFERROR(VLOOKUP(Orders!C1006,Customers!$A$2:$F$301,3,FALSE()),"Not Found")</f>
        <v>32</v>
      </c>
      <c r="F1006" s="46" t="str">
        <f aca="false">IFERROR(VLOOKUP(Orders!E1006,Sales_Reps!$A$2:$E$31,3,FALSE()),"Not Found")</f>
        <v>North</v>
      </c>
      <c r="G1006" s="46" t="n">
        <f aca="false">IFERROR(VLOOKUP(Orders!D1006,Products!$A$2:$F$61,4,FALSE()),"")</f>
        <v>519</v>
      </c>
      <c r="H1006" s="47" t="n">
        <f aca="false">IF(G1006="","",(Orders!G1006-G1006)/Orders!G1006)</f>
        <v>0.519444444444445</v>
      </c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</row>
    <row r="1007" customFormat="false" ht="15" hidden="false" customHeight="false" outlineLevel="0" collapsed="false">
      <c r="A1007" s="46" t="str">
        <f aca="false">Orders!A1007</f>
        <v>ORD-01006</v>
      </c>
      <c r="B1007" s="46" t="str">
        <f aca="false">PROPER(TRIM(Orders!K1007))</f>
        <v>Pune</v>
      </c>
      <c r="C1007" s="46" t="str">
        <f aca="false">IFERROR(VLOOKUP(Orders!D1007,Products!$A$2:$F$61,3,FALSE()),"Not Found")</f>
        <v>Sports</v>
      </c>
      <c r="D1007" s="46" t="str">
        <f aca="false">IFERROR(VLOOKUP(Orders!C1007,Customers!$A$2:$F$301,5,FALSE()),"Not Found")</f>
        <v>SMB</v>
      </c>
      <c r="E1007" s="46" t="n">
        <f aca="false">IFERROR(VLOOKUP(Orders!C1007,Customers!$A$2:$F$301,3,FALSE()),"Not Found")</f>
        <v>54</v>
      </c>
      <c r="F1007" s="46" t="str">
        <f aca="false">IFERROR(VLOOKUP(Orders!E1007,Sales_Reps!$A$2:$E$31,3,FALSE()),"Not Found")</f>
        <v>North</v>
      </c>
      <c r="G1007" s="46" t="n">
        <f aca="false">IFERROR(VLOOKUP(Orders!D1007,Products!$A$2:$F$61,4,FALSE()),"")</f>
        <v>2028</v>
      </c>
      <c r="H1007" s="47" t="n">
        <f aca="false">IF(G1007="","",(Orders!G1007-G1007)/Orders!G1007)</f>
        <v>0.290909090909091</v>
      </c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</row>
    <row r="1008" customFormat="false" ht="15" hidden="false" customHeight="false" outlineLevel="0" collapsed="false">
      <c r="A1008" s="46" t="str">
        <f aca="false">Orders!A1008</f>
        <v>ORD-01007</v>
      </c>
      <c r="B1008" s="46" t="str">
        <f aca="false">PROPER(TRIM(Orders!K1008))</f>
        <v>Chennai</v>
      </c>
      <c r="C1008" s="46" t="str">
        <f aca="false">IFERROR(VLOOKUP(Orders!D1008,Products!$A$2:$F$61,3,FALSE()),"Not Found")</f>
        <v>Apparel</v>
      </c>
      <c r="D1008" s="46" t="str">
        <f aca="false">IFERROR(VLOOKUP(Orders!C1008,Customers!$A$2:$F$301,5,FALSE()),"Not Found")</f>
        <v>Retail</v>
      </c>
      <c r="E1008" s="46" t="n">
        <f aca="false">IFERROR(VLOOKUP(Orders!C1008,Customers!$A$2:$F$301,3,FALSE()),"Not Found")</f>
        <v>34</v>
      </c>
      <c r="F1008" s="46" t="str">
        <f aca="false">IFERROR(VLOOKUP(Orders!E1008,Sales_Reps!$A$2:$E$31,3,FALSE()),"Not Found")</f>
        <v>North</v>
      </c>
      <c r="G1008" s="46" t="n">
        <f aca="false">IFERROR(VLOOKUP(Orders!D1008,Products!$A$2:$F$61,4,FALSE()),"")</f>
        <v>2611</v>
      </c>
      <c r="H1008" s="47" t="n">
        <f aca="false">IF(G1008="","",(Orders!G1008-G1008)/Orders!G1008)</f>
        <v>0.282692307692308</v>
      </c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</row>
    <row r="1009" customFormat="false" ht="15" hidden="false" customHeight="false" outlineLevel="0" collapsed="false">
      <c r="A1009" s="46" t="str">
        <f aca="false">Orders!A1009</f>
        <v>ORD-01008</v>
      </c>
      <c r="B1009" s="46" t="str">
        <f aca="false">PROPER(TRIM(Orders!K1009))</f>
        <v>Hyderabad</v>
      </c>
      <c r="C1009" s="46" t="str">
        <f aca="false">IFERROR(VLOOKUP(Orders!D1009,Products!$A$2:$F$61,3,FALSE()),"Not Found")</f>
        <v>Apparel</v>
      </c>
      <c r="D1009" s="46" t="str">
        <f aca="false">IFERROR(VLOOKUP(Orders!C1009,Customers!$A$2:$F$301,5,FALSE()),"Not Found")</f>
        <v>SMB</v>
      </c>
      <c r="E1009" s="46" t="n">
        <f aca="false">IFERROR(VLOOKUP(Orders!C1009,Customers!$A$2:$F$301,3,FALSE()),"Not Found")</f>
        <v>40</v>
      </c>
      <c r="F1009" s="46" t="str">
        <f aca="false">IFERROR(VLOOKUP(Orders!E1009,Sales_Reps!$A$2:$E$31,3,FALSE()),"Not Found")</f>
        <v>East</v>
      </c>
      <c r="G1009" s="46" t="n">
        <f aca="false">IFERROR(VLOOKUP(Orders!D1009,Products!$A$2:$F$61,4,FALSE()),"")</f>
        <v>1962</v>
      </c>
      <c r="H1009" s="47" t="n">
        <f aca="false">IF(G1009="","",(Orders!G1009-G1009)/Orders!G1009)</f>
        <v>0.278676470588235</v>
      </c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</row>
    <row r="1010" customFormat="false" ht="15" hidden="false" customHeight="false" outlineLevel="0" collapsed="false">
      <c r="A1010" s="46" t="str">
        <f aca="false">Orders!A1010</f>
        <v>ORD-01009</v>
      </c>
      <c r="B1010" s="46" t="str">
        <f aca="false">PROPER(TRIM(Orders!K1010))</f>
        <v>Hyderabad</v>
      </c>
      <c r="C1010" s="46" t="str">
        <f aca="false">IFERROR(VLOOKUP(Orders!D1010,Products!$A$2:$F$61,3,FALSE()),"Not Found")</f>
        <v>Grocery</v>
      </c>
      <c r="D1010" s="46" t="str">
        <f aca="false">IFERROR(VLOOKUP(Orders!C1010,Customers!$A$2:$F$301,5,FALSE()),"Not Found")</f>
        <v>SMB</v>
      </c>
      <c r="E1010" s="46" t="n">
        <f aca="false">IFERROR(VLOOKUP(Orders!C1010,Customers!$A$2:$F$301,3,FALSE()),"Not Found")</f>
        <v>48</v>
      </c>
      <c r="F1010" s="46" t="str">
        <f aca="false">IFERROR(VLOOKUP(Orders!E1010,Sales_Reps!$A$2:$E$31,3,FALSE()),"Not Found")</f>
        <v>North</v>
      </c>
      <c r="G1010" s="46" t="n">
        <f aca="false">IFERROR(VLOOKUP(Orders!D1010,Products!$A$2:$F$61,4,FALSE()),"")</f>
        <v>1203</v>
      </c>
      <c r="H1010" s="47" t="n">
        <f aca="false">IF(G1010="","",(Orders!G1010-G1010)/Orders!G1010)</f>
        <v>0.470044052863436</v>
      </c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</row>
    <row r="1011" customFormat="false" ht="15" hidden="false" customHeight="false" outlineLevel="0" collapsed="false">
      <c r="A1011" s="46" t="str">
        <f aca="false">Orders!A1011</f>
        <v>ORD-01010</v>
      </c>
      <c r="B1011" s="46" t="str">
        <f aca="false">PROPER(TRIM(Orders!K1011))</f>
        <v>Hyderabad</v>
      </c>
      <c r="C1011" s="46" t="str">
        <f aca="false">IFERROR(VLOOKUP(Orders!D1011,Products!$A$2:$F$61,3,FALSE()),"Not Found")</f>
        <v>Electronics</v>
      </c>
      <c r="D1011" s="46" t="str">
        <f aca="false">IFERROR(VLOOKUP(Orders!C1011,Customers!$A$2:$F$301,5,FALSE()),"Not Found")</f>
        <v>SMB</v>
      </c>
      <c r="E1011" s="46" t="n">
        <f aca="false">IFERROR(VLOOKUP(Orders!C1011,Customers!$A$2:$F$301,3,FALSE()),"Not Found")</f>
        <v>25</v>
      </c>
      <c r="F1011" s="46" t="str">
        <f aca="false">IFERROR(VLOOKUP(Orders!E1011,Sales_Reps!$A$2:$E$31,3,FALSE()),"Not Found")</f>
        <v>West</v>
      </c>
      <c r="G1011" s="46" t="n">
        <f aca="false">IFERROR(VLOOKUP(Orders!D1011,Products!$A$2:$F$61,4,FALSE()),"")</f>
        <v>517</v>
      </c>
      <c r="H1011" s="47" t="n">
        <f aca="false">IF(G1011="","",(Orders!G1011-G1011)/Orders!G1011)</f>
        <v>0.576229508196721</v>
      </c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</row>
    <row r="1012" customFormat="false" ht="15" hidden="false" customHeight="false" outlineLevel="0" collapsed="false">
      <c r="A1012" s="46" t="str">
        <f aca="false">Orders!A1012</f>
        <v>ORD-01011</v>
      </c>
      <c r="B1012" s="46" t="str">
        <f aca="false">PROPER(TRIM(Orders!K1012))</f>
        <v>Hyderabad</v>
      </c>
      <c r="C1012" s="46" t="str">
        <f aca="false">IFERROR(VLOOKUP(Orders!D1012,Products!$A$2:$F$61,3,FALSE()),"Not Found")</f>
        <v>Electronics</v>
      </c>
      <c r="D1012" s="46" t="str">
        <f aca="false">IFERROR(VLOOKUP(Orders!C1012,Customers!$A$2:$F$301,5,FALSE()),"Not Found")</f>
        <v>Retail</v>
      </c>
      <c r="E1012" s="46" t="n">
        <f aca="false">IFERROR(VLOOKUP(Orders!C1012,Customers!$A$2:$F$301,3,FALSE()),"Not Found")</f>
        <v>29</v>
      </c>
      <c r="F1012" s="46" t="str">
        <f aca="false">IFERROR(VLOOKUP(Orders!E1012,Sales_Reps!$A$2:$E$31,3,FALSE()),"Not Found")</f>
        <v>South</v>
      </c>
      <c r="G1012" s="46" t="n">
        <f aca="false">IFERROR(VLOOKUP(Orders!D1012,Products!$A$2:$F$61,4,FALSE()),"")</f>
        <v>1149</v>
      </c>
      <c r="H1012" s="47" t="n">
        <f aca="false">IF(G1012="","",(Orders!G1012-G1012)/Orders!G1012)</f>
        <v>0.564772727272727</v>
      </c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</row>
    <row r="1013" customFormat="false" ht="15" hidden="false" customHeight="false" outlineLevel="0" collapsed="false">
      <c r="A1013" s="46" t="str">
        <f aca="false">Orders!A1013</f>
        <v>ORD-01012</v>
      </c>
      <c r="B1013" s="46" t="str">
        <f aca="false">PROPER(TRIM(Orders!K1013))</f>
        <v>Bengaluru</v>
      </c>
      <c r="C1013" s="46" t="str">
        <f aca="false">IFERROR(VLOOKUP(Orders!D1013,Products!$A$2:$F$61,3,FALSE()),"Not Found")</f>
        <v>Grocery</v>
      </c>
      <c r="D1013" s="46" t="str">
        <f aca="false">IFERROR(VLOOKUP(Orders!C1013,Customers!$A$2:$F$301,5,FALSE()),"Not Found")</f>
        <v>SMB</v>
      </c>
      <c r="E1013" s="46" t="n">
        <f aca="false">IFERROR(VLOOKUP(Orders!C1013,Customers!$A$2:$F$301,3,FALSE()),"Not Found")</f>
        <v>44</v>
      </c>
      <c r="F1013" s="46" t="str">
        <f aca="false">IFERROR(VLOOKUP(Orders!E1013,Sales_Reps!$A$2:$E$31,3,FALSE()),"Not Found")</f>
        <v>South</v>
      </c>
      <c r="G1013" s="46" t="n">
        <f aca="false">IFERROR(VLOOKUP(Orders!D1013,Products!$A$2:$F$61,4,FALSE()),"")</f>
        <v>434</v>
      </c>
      <c r="H1013" s="47" t="n">
        <f aca="false">IF(G1013="","",(Orders!G1013-G1013)/Orders!G1013)</f>
        <v>0.552577319587629</v>
      </c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</row>
    <row r="1014" customFormat="false" ht="15" hidden="false" customHeight="false" outlineLevel="0" collapsed="false">
      <c r="A1014" s="46" t="str">
        <f aca="false">Orders!A1014</f>
        <v>ORD-01013</v>
      </c>
      <c r="B1014" s="46" t="str">
        <f aca="false">PROPER(TRIM(Orders!K1014))</f>
        <v>Pune</v>
      </c>
      <c r="C1014" s="46" t="str">
        <f aca="false">IFERROR(VLOOKUP(Orders!D1014,Products!$A$2:$F$61,3,FALSE()),"Not Found")</f>
        <v>Home</v>
      </c>
      <c r="D1014" s="46" t="str">
        <f aca="false">IFERROR(VLOOKUP(Orders!C1014,Customers!$A$2:$F$301,5,FALSE()),"Not Found")</f>
        <v>Retail</v>
      </c>
      <c r="E1014" s="46" t="n">
        <f aca="false">IFERROR(VLOOKUP(Orders!C1014,Customers!$A$2:$F$301,3,FALSE()),"Not Found")</f>
        <v>44</v>
      </c>
      <c r="F1014" s="46" t="str">
        <f aca="false">IFERROR(VLOOKUP(Orders!E1014,Sales_Reps!$A$2:$E$31,3,FALSE()),"Not Found")</f>
        <v>West</v>
      </c>
      <c r="G1014" s="46" t="n">
        <f aca="false">IFERROR(VLOOKUP(Orders!D1014,Products!$A$2:$F$61,4,FALSE()),"")</f>
        <v>2135</v>
      </c>
      <c r="H1014" s="47" t="n">
        <f aca="false">IF(G1014="","",(Orders!G1014-G1014)/Orders!G1014)</f>
        <v>0.427613941018767</v>
      </c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</row>
    <row r="1015" customFormat="false" ht="15" hidden="false" customHeight="false" outlineLevel="0" collapsed="false">
      <c r="A1015" s="46" t="str">
        <f aca="false">Orders!A1015</f>
        <v>ORD-01014</v>
      </c>
      <c r="B1015" s="46" t="str">
        <f aca="false">PROPER(TRIM(Orders!K1015))</f>
        <v>Pune</v>
      </c>
      <c r="C1015" s="46" t="str">
        <f aca="false">IFERROR(VLOOKUP(Orders!D1015,Products!$A$2:$F$61,3,FALSE()),"Not Found")</f>
        <v>Grocery</v>
      </c>
      <c r="D1015" s="46" t="str">
        <f aca="false">IFERROR(VLOOKUP(Orders!C1015,Customers!$A$2:$F$301,5,FALSE()),"Not Found")</f>
        <v>Retail</v>
      </c>
      <c r="E1015" s="46" t="n">
        <f aca="false">IFERROR(VLOOKUP(Orders!C1015,Customers!$A$2:$F$301,3,FALSE()),"Not Found")</f>
        <v>31</v>
      </c>
      <c r="F1015" s="46" t="str">
        <f aca="false">IFERROR(VLOOKUP(Orders!E1015,Sales_Reps!$A$2:$E$31,3,FALSE()),"Not Found")</f>
        <v>West</v>
      </c>
      <c r="G1015" s="46" t="n">
        <f aca="false">IFERROR(VLOOKUP(Orders!D1015,Products!$A$2:$F$61,4,FALSE()),"")</f>
        <v>434</v>
      </c>
      <c r="H1015" s="47" t="n">
        <f aca="false">IF(G1015="","",(Orders!G1015-G1015)/Orders!G1015)</f>
        <v>0.552577319587629</v>
      </c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</row>
    <row r="1016" customFormat="false" ht="15" hidden="false" customHeight="false" outlineLevel="0" collapsed="false">
      <c r="A1016" s="46" t="str">
        <f aca="false">Orders!A1016</f>
        <v>ORD-01015</v>
      </c>
      <c r="B1016" s="46" t="str">
        <f aca="false">PROPER(TRIM(Orders!K1016))</f>
        <v>Delhi</v>
      </c>
      <c r="C1016" s="46" t="str">
        <f aca="false">IFERROR(VLOOKUP(Orders!D1016,Products!$A$2:$F$61,3,FALSE()),"Not Found")</f>
        <v>Electronics</v>
      </c>
      <c r="D1016" s="46" t="str">
        <f aca="false">IFERROR(VLOOKUP(Orders!C1016,Customers!$A$2:$F$301,5,FALSE()),"Not Found")</f>
        <v>SMB</v>
      </c>
      <c r="E1016" s="46" t="n">
        <f aca="false">IFERROR(VLOOKUP(Orders!C1016,Customers!$A$2:$F$301,3,FALSE()),"Not Found")</f>
        <v>28</v>
      </c>
      <c r="F1016" s="46" t="str">
        <f aca="false">IFERROR(VLOOKUP(Orders!E1016,Sales_Reps!$A$2:$E$31,3,FALSE()),"Not Found")</f>
        <v>East</v>
      </c>
      <c r="G1016" s="46" t="n">
        <f aca="false">IFERROR(VLOOKUP(Orders!D1016,Products!$A$2:$F$61,4,FALSE()),"")</f>
        <v>1665</v>
      </c>
      <c r="H1016" s="47" t="n">
        <f aca="false">IF(G1016="","",(Orders!G1016-G1016)/Orders!G1016)</f>
        <v>0.533613445378151</v>
      </c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</row>
    <row r="1017" customFormat="false" ht="15" hidden="false" customHeight="false" outlineLevel="0" collapsed="false">
      <c r="A1017" s="46" t="str">
        <f aca="false">Orders!A1017</f>
        <v>ORD-01016</v>
      </c>
      <c r="B1017" s="46" t="str">
        <f aca="false">PROPER(TRIM(Orders!K1017))</f>
        <v>Chennai</v>
      </c>
      <c r="C1017" s="46" t="str">
        <f aca="false">IFERROR(VLOOKUP(Orders!D1017,Products!$A$2:$F$61,3,FALSE()),"Not Found")</f>
        <v>Grocery</v>
      </c>
      <c r="D1017" s="46" t="str">
        <f aca="false">IFERROR(VLOOKUP(Orders!C1017,Customers!$A$2:$F$301,5,FALSE()),"Not Found")</f>
        <v>Retail</v>
      </c>
      <c r="E1017" s="46" t="n">
        <f aca="false">IFERROR(VLOOKUP(Orders!C1017,Customers!$A$2:$F$301,3,FALSE()),"Not Found")</f>
        <v>26</v>
      </c>
      <c r="F1017" s="46" t="str">
        <f aca="false">IFERROR(VLOOKUP(Orders!E1017,Sales_Reps!$A$2:$E$31,3,FALSE()),"Not Found")</f>
        <v>South</v>
      </c>
      <c r="G1017" s="46" t="n">
        <f aca="false">IFERROR(VLOOKUP(Orders!D1017,Products!$A$2:$F$61,4,FALSE()),"")</f>
        <v>434</v>
      </c>
      <c r="H1017" s="47" t="n">
        <f aca="false">IF(G1017="","",(Orders!G1017-G1017)/Orders!G1017)</f>
        <v>0.552577319587629</v>
      </c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</row>
    <row r="1018" customFormat="false" ht="15" hidden="false" customHeight="false" outlineLevel="0" collapsed="false">
      <c r="A1018" s="46" t="str">
        <f aca="false">Orders!A1018</f>
        <v>ORD-01017</v>
      </c>
      <c r="B1018" s="46" t="str">
        <f aca="false">PROPER(TRIM(Orders!K1018))</f>
        <v>Delhi</v>
      </c>
      <c r="C1018" s="46" t="str">
        <f aca="false">IFERROR(VLOOKUP(Orders!D1018,Products!$A$2:$F$61,3,FALSE()),"Not Found")</f>
        <v>Sports</v>
      </c>
      <c r="D1018" s="46" t="str">
        <f aca="false">IFERROR(VLOOKUP(Orders!C1018,Customers!$A$2:$F$301,5,FALSE()),"Not Found")</f>
        <v>SMB</v>
      </c>
      <c r="E1018" s="46" t="n">
        <f aca="false">IFERROR(VLOOKUP(Orders!C1018,Customers!$A$2:$F$301,3,FALSE()),"Not Found")</f>
        <v>50</v>
      </c>
      <c r="F1018" s="46" t="str">
        <f aca="false">IFERROR(VLOOKUP(Orders!E1018,Sales_Reps!$A$2:$E$31,3,FALSE()),"Not Found")</f>
        <v>South</v>
      </c>
      <c r="G1018" s="46" t="n">
        <f aca="false">IFERROR(VLOOKUP(Orders!D1018,Products!$A$2:$F$61,4,FALSE()),"")</f>
        <v>1860</v>
      </c>
      <c r="H1018" s="47" t="n">
        <f aca="false">IF(G1018="","",(Orders!G1018-G1018)/Orders!G1018)</f>
        <v>0.507936507936508</v>
      </c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</row>
    <row r="1019" customFormat="false" ht="15" hidden="false" customHeight="false" outlineLevel="0" collapsed="false">
      <c r="A1019" s="46" t="str">
        <f aca="false">Orders!A1019</f>
        <v>ORD-01018</v>
      </c>
      <c r="B1019" s="46" t="str">
        <f aca="false">PROPER(TRIM(Orders!K1019))</f>
        <v>Bengaluru</v>
      </c>
      <c r="C1019" s="46" t="str">
        <f aca="false">IFERROR(VLOOKUP(Orders!D1019,Products!$A$2:$F$61,3,FALSE()),"Not Found")</f>
        <v>Sports</v>
      </c>
      <c r="D1019" s="46" t="str">
        <f aca="false">IFERROR(VLOOKUP(Orders!C1019,Customers!$A$2:$F$301,5,FALSE()),"Not Found")</f>
        <v>Retail</v>
      </c>
      <c r="E1019" s="46" t="n">
        <f aca="false">IFERROR(VLOOKUP(Orders!C1019,Customers!$A$2:$F$301,3,FALSE()),"Not Found")</f>
        <v>28</v>
      </c>
      <c r="F1019" s="46" t="str">
        <f aca="false">IFERROR(VLOOKUP(Orders!E1019,Sales_Reps!$A$2:$E$31,3,FALSE()),"Not Found")</f>
        <v>South</v>
      </c>
      <c r="G1019" s="46" t="n">
        <f aca="false">IFERROR(VLOOKUP(Orders!D1019,Products!$A$2:$F$61,4,FALSE()),"")</f>
        <v>974</v>
      </c>
      <c r="H1019" s="47" t="n">
        <f aca="false">IF(G1019="","",(Orders!G1019-G1019)/Orders!G1019)</f>
        <v>0.594166666666667</v>
      </c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</row>
    <row r="1020" customFormat="false" ht="15" hidden="false" customHeight="false" outlineLevel="0" collapsed="false">
      <c r="A1020" s="46" t="str">
        <f aca="false">Orders!A1020</f>
        <v>ORD-01019</v>
      </c>
      <c r="B1020" s="46" t="str">
        <f aca="false">PROPER(TRIM(Orders!K1020))</f>
        <v>Delhi</v>
      </c>
      <c r="C1020" s="46" t="str">
        <f aca="false">IFERROR(VLOOKUP(Orders!D1020,Products!$A$2:$F$61,3,FALSE()),"Not Found")</f>
        <v>Home</v>
      </c>
      <c r="D1020" s="46" t="str">
        <f aca="false">IFERROR(VLOOKUP(Orders!C1020,Customers!$A$2:$F$301,5,FALSE()),"Not Found")</f>
        <v>SMB</v>
      </c>
      <c r="E1020" s="46" t="n">
        <f aca="false">IFERROR(VLOOKUP(Orders!C1020,Customers!$A$2:$F$301,3,FALSE()),"Not Found")</f>
        <v>38</v>
      </c>
      <c r="F1020" s="46" t="str">
        <f aca="false">IFERROR(VLOOKUP(Orders!E1020,Sales_Reps!$A$2:$E$31,3,FALSE()),"Not Found")</f>
        <v>East</v>
      </c>
      <c r="G1020" s="46" t="n">
        <f aca="false">IFERROR(VLOOKUP(Orders!D1020,Products!$A$2:$F$61,4,FALSE()),"")</f>
        <v>1556</v>
      </c>
      <c r="H1020" s="47" t="n">
        <f aca="false">IF(G1020="","",(Orders!G1020-G1020)/Orders!G1020)</f>
        <v>0.521230769230769</v>
      </c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</row>
    <row r="1021" customFormat="false" ht="15" hidden="false" customHeight="false" outlineLevel="0" collapsed="false">
      <c r="A1021" s="46" t="str">
        <f aca="false">Orders!A1021</f>
        <v>ORD-01020</v>
      </c>
      <c r="B1021" s="46" t="str">
        <f aca="false">PROPER(TRIM(Orders!K1021))</f>
        <v>Hyderabad</v>
      </c>
      <c r="C1021" s="46" t="str">
        <f aca="false">IFERROR(VLOOKUP(Orders!D1021,Products!$A$2:$F$61,3,FALSE()),"Not Found")</f>
        <v>Grocery</v>
      </c>
      <c r="D1021" s="46" t="str">
        <f aca="false">IFERROR(VLOOKUP(Orders!C1021,Customers!$A$2:$F$301,5,FALSE()),"Not Found")</f>
        <v>Retail</v>
      </c>
      <c r="E1021" s="46" t="n">
        <f aca="false">IFERROR(VLOOKUP(Orders!C1021,Customers!$A$2:$F$301,3,FALSE()),"Not Found")</f>
        <v>44</v>
      </c>
      <c r="F1021" s="46" t="str">
        <f aca="false">IFERROR(VLOOKUP(Orders!E1021,Sales_Reps!$A$2:$E$31,3,FALSE()),"Not Found")</f>
        <v>South</v>
      </c>
      <c r="G1021" s="46" t="n">
        <f aca="false">IFERROR(VLOOKUP(Orders!D1021,Products!$A$2:$F$61,4,FALSE()),"")</f>
        <v>1435</v>
      </c>
      <c r="H1021" s="47" t="n">
        <f aca="false">IF(G1021="","",(Orders!G1021-G1021)/Orders!G1021)</f>
        <v>0.480072463768116</v>
      </c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</row>
    <row r="1022" customFormat="false" ht="15" hidden="false" customHeight="false" outlineLevel="0" collapsed="false">
      <c r="A1022" s="46" t="str">
        <f aca="false">Orders!A1022</f>
        <v>ORD-01021</v>
      </c>
      <c r="B1022" s="46" t="str">
        <f aca="false">PROPER(TRIM(Orders!K1022))</f>
        <v>Bengaluru</v>
      </c>
      <c r="C1022" s="46" t="str">
        <f aca="false">IFERROR(VLOOKUP(Orders!D1022,Products!$A$2:$F$61,3,FALSE()),"Not Found")</f>
        <v>Electronics</v>
      </c>
      <c r="D1022" s="46" t="str">
        <f aca="false">IFERROR(VLOOKUP(Orders!C1022,Customers!$A$2:$F$301,5,FALSE()),"Not Found")</f>
        <v>SMB</v>
      </c>
      <c r="E1022" s="46" t="n">
        <f aca="false">IFERROR(VLOOKUP(Orders!C1022,Customers!$A$2:$F$301,3,FALSE()),"Not Found")</f>
        <v>64</v>
      </c>
      <c r="F1022" s="46" t="str">
        <f aca="false">IFERROR(VLOOKUP(Orders!E1022,Sales_Reps!$A$2:$E$31,3,FALSE()),"Not Found")</f>
        <v>North</v>
      </c>
      <c r="G1022" s="46" t="n">
        <f aca="false">IFERROR(VLOOKUP(Orders!D1022,Products!$A$2:$F$61,4,FALSE()),"")</f>
        <v>1665</v>
      </c>
      <c r="H1022" s="47" t="n">
        <f aca="false">IF(G1022="","",(Orders!G1022-G1022)/Orders!G1022)</f>
        <v>0.533613445378151</v>
      </c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</row>
    <row r="1023" customFormat="false" ht="15" hidden="false" customHeight="false" outlineLevel="0" collapsed="false">
      <c r="A1023" s="46" t="str">
        <f aca="false">Orders!A1023</f>
        <v>ORD-01022</v>
      </c>
      <c r="B1023" s="46" t="str">
        <f aca="false">PROPER(TRIM(Orders!K1023))</f>
        <v>Chennai</v>
      </c>
      <c r="C1023" s="46" t="str">
        <f aca="false">IFERROR(VLOOKUP(Orders!D1023,Products!$A$2:$F$61,3,FALSE()),"Not Found")</f>
        <v>Grocery</v>
      </c>
      <c r="D1023" s="46" t="str">
        <f aca="false">IFERROR(VLOOKUP(Orders!C1023,Customers!$A$2:$F$301,5,FALSE()),"Not Found")</f>
        <v>Retail</v>
      </c>
      <c r="E1023" s="46" t="n">
        <f aca="false">IFERROR(VLOOKUP(Orders!C1023,Customers!$A$2:$F$301,3,FALSE()),"Not Found")</f>
        <v>26</v>
      </c>
      <c r="F1023" s="46" t="str">
        <f aca="false">IFERROR(VLOOKUP(Orders!E1023,Sales_Reps!$A$2:$E$31,3,FALSE()),"Not Found")</f>
        <v>South</v>
      </c>
      <c r="G1023" s="46" t="n">
        <f aca="false">IFERROR(VLOOKUP(Orders!D1023,Products!$A$2:$F$61,4,FALSE()),"")</f>
        <v>2436</v>
      </c>
      <c r="H1023" s="47" t="n">
        <f aca="false">IF(G1023="","",(Orders!G1023-G1023)/Orders!G1023)</f>
        <v>0.355555555555556</v>
      </c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</row>
    <row r="1024" customFormat="false" ht="15" hidden="false" customHeight="false" outlineLevel="0" collapsed="false">
      <c r="A1024" s="46" t="str">
        <f aca="false">Orders!A1024</f>
        <v>ORD-01023</v>
      </c>
      <c r="B1024" s="46" t="str">
        <f aca="false">PROPER(TRIM(Orders!K1024))</f>
        <v>Chennai</v>
      </c>
      <c r="C1024" s="46" t="str">
        <f aca="false">IFERROR(VLOOKUP(Orders!D1024,Products!$A$2:$F$61,3,FALSE()),"Not Found")</f>
        <v>Electronics</v>
      </c>
      <c r="D1024" s="46" t="str">
        <f aca="false">IFERROR(VLOOKUP(Orders!C1024,Customers!$A$2:$F$301,5,FALSE()),"Not Found")</f>
        <v>Retail</v>
      </c>
      <c r="E1024" s="46" t="n">
        <f aca="false">IFERROR(VLOOKUP(Orders!C1024,Customers!$A$2:$F$301,3,FALSE()),"Not Found")</f>
        <v>61</v>
      </c>
      <c r="F1024" s="46" t="str">
        <f aca="false">IFERROR(VLOOKUP(Orders!E1024,Sales_Reps!$A$2:$E$31,3,FALSE()),"Not Found")</f>
        <v>East</v>
      </c>
      <c r="G1024" s="46" t="n">
        <f aca="false">IFERROR(VLOOKUP(Orders!D1024,Products!$A$2:$F$61,4,FALSE()),"")</f>
        <v>861</v>
      </c>
      <c r="H1024" s="47" t="n">
        <f aca="false">IF(G1024="","",(Orders!G1024-G1024)/Orders!G1024)</f>
        <v>0.397902097902098</v>
      </c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</row>
    <row r="1025" customFormat="false" ht="15" hidden="false" customHeight="false" outlineLevel="0" collapsed="false">
      <c r="A1025" s="46" t="str">
        <f aca="false">Orders!A1025</f>
        <v>ORD-01024</v>
      </c>
      <c r="B1025" s="46" t="str">
        <f aca="false">PROPER(TRIM(Orders!K1025))</f>
        <v>Hyderabad</v>
      </c>
      <c r="C1025" s="46" t="str">
        <f aca="false">IFERROR(VLOOKUP(Orders!D1025,Products!$A$2:$F$61,3,FALSE()),"Not Found")</f>
        <v>Grocery</v>
      </c>
      <c r="D1025" s="46" t="str">
        <f aca="false">IFERROR(VLOOKUP(Orders!C1025,Customers!$A$2:$F$301,5,FALSE()),"Not Found")</f>
        <v>SMB</v>
      </c>
      <c r="E1025" s="46" t="n">
        <f aca="false">IFERROR(VLOOKUP(Orders!C1025,Customers!$A$2:$F$301,3,FALSE()),"Not Found")</f>
        <v>29</v>
      </c>
      <c r="F1025" s="46" t="str">
        <f aca="false">IFERROR(VLOOKUP(Orders!E1025,Sales_Reps!$A$2:$E$31,3,FALSE()),"Not Found")</f>
        <v>South</v>
      </c>
      <c r="G1025" s="46" t="n">
        <f aca="false">IFERROR(VLOOKUP(Orders!D1025,Products!$A$2:$F$61,4,FALSE()),"")</f>
        <v>1412</v>
      </c>
      <c r="H1025" s="47" t="n">
        <f aca="false">IF(G1025="","",(Orders!G1025-G1025)/Orders!G1025)</f>
        <v>0.377973568281938</v>
      </c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</row>
    <row r="1026" customFormat="false" ht="15" hidden="false" customHeight="false" outlineLevel="0" collapsed="false">
      <c r="A1026" s="46" t="str">
        <f aca="false">Orders!A1026</f>
        <v>ORD-01025</v>
      </c>
      <c r="B1026" s="46" t="str">
        <f aca="false">PROPER(TRIM(Orders!K1026))</f>
        <v>Hyderabad</v>
      </c>
      <c r="C1026" s="46" t="str">
        <f aca="false">IFERROR(VLOOKUP(Orders!D1026,Products!$A$2:$F$61,3,FALSE()),"Not Found")</f>
        <v>Sports</v>
      </c>
      <c r="D1026" s="46" t="str">
        <f aca="false">IFERROR(VLOOKUP(Orders!C1026,Customers!$A$2:$F$301,5,FALSE()),"Not Found")</f>
        <v>Corporate</v>
      </c>
      <c r="E1026" s="46" t="n">
        <f aca="false">IFERROR(VLOOKUP(Orders!C1026,Customers!$A$2:$F$301,3,FALSE()),"Not Found")</f>
        <v>52</v>
      </c>
      <c r="F1026" s="46" t="str">
        <f aca="false">IFERROR(VLOOKUP(Orders!E1026,Sales_Reps!$A$2:$E$31,3,FALSE()),"Not Found")</f>
        <v>South</v>
      </c>
      <c r="G1026" s="46" t="n">
        <f aca="false">IFERROR(VLOOKUP(Orders!D1026,Products!$A$2:$F$61,4,FALSE()),"")</f>
        <v>516</v>
      </c>
      <c r="H1026" s="47" t="n">
        <f aca="false">IF(G1026="","",(Orders!G1026-G1026)/Orders!G1026)</f>
        <v>0.489108910891089</v>
      </c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</row>
    <row r="1027" customFormat="false" ht="15" hidden="false" customHeight="false" outlineLevel="0" collapsed="false">
      <c r="A1027" s="46" t="str">
        <f aca="false">Orders!A1027</f>
        <v>ORD-01026</v>
      </c>
      <c r="B1027" s="46" t="str">
        <f aca="false">PROPER(TRIM(Orders!K1027))</f>
        <v>Hyderabad</v>
      </c>
      <c r="C1027" s="46" t="str">
        <f aca="false">IFERROR(VLOOKUP(Orders!D1027,Products!$A$2:$F$61,3,FALSE()),"Not Found")</f>
        <v>Sports</v>
      </c>
      <c r="D1027" s="46" t="str">
        <f aca="false">IFERROR(VLOOKUP(Orders!C1027,Customers!$A$2:$F$301,5,FALSE()),"Not Found")</f>
        <v>SMB</v>
      </c>
      <c r="E1027" s="46" t="n">
        <f aca="false">IFERROR(VLOOKUP(Orders!C1027,Customers!$A$2:$F$301,3,FALSE()),"Not Found")</f>
        <v>40</v>
      </c>
      <c r="F1027" s="46" t="str">
        <f aca="false">IFERROR(VLOOKUP(Orders!E1027,Sales_Reps!$A$2:$E$31,3,FALSE()),"Not Found")</f>
        <v>South</v>
      </c>
      <c r="G1027" s="46" t="n">
        <f aca="false">IFERROR(VLOOKUP(Orders!D1027,Products!$A$2:$F$61,4,FALSE()),"")</f>
        <v>2028</v>
      </c>
      <c r="H1027" s="47" t="n">
        <f aca="false">IF(G1027="","",(Orders!G1027-G1027)/Orders!G1027)</f>
        <v>0.290909090909091</v>
      </c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</row>
    <row r="1028" customFormat="false" ht="15" hidden="false" customHeight="false" outlineLevel="0" collapsed="false">
      <c r="A1028" s="46" t="str">
        <f aca="false">Orders!A1028</f>
        <v>ORD-01027</v>
      </c>
      <c r="B1028" s="46" t="str">
        <f aca="false">PROPER(TRIM(Orders!K1028))</f>
        <v>Chennai</v>
      </c>
      <c r="C1028" s="46" t="str">
        <f aca="false">IFERROR(VLOOKUP(Orders!D1028,Products!$A$2:$F$61,3,FALSE()),"Not Found")</f>
        <v>Electronics</v>
      </c>
      <c r="D1028" s="46" t="str">
        <f aca="false">IFERROR(VLOOKUP(Orders!C1028,Customers!$A$2:$F$301,5,FALSE()),"Not Found")</f>
        <v>Corporate</v>
      </c>
      <c r="E1028" s="46" t="n">
        <f aca="false">IFERROR(VLOOKUP(Orders!C1028,Customers!$A$2:$F$301,3,FALSE()),"Not Found")</f>
        <v>44</v>
      </c>
      <c r="F1028" s="46" t="str">
        <f aca="false">IFERROR(VLOOKUP(Orders!E1028,Sales_Reps!$A$2:$E$31,3,FALSE()),"Not Found")</f>
        <v>East</v>
      </c>
      <c r="G1028" s="46" t="n">
        <f aca="false">IFERROR(VLOOKUP(Orders!D1028,Products!$A$2:$F$61,4,FALSE()),"")</f>
        <v>1052</v>
      </c>
      <c r="H1028" s="47" t="n">
        <f aca="false">IF(G1028="","",(Orders!G1028-G1028)/Orders!G1028)</f>
        <v>0.595384615384615</v>
      </c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</row>
    <row r="1029" customFormat="false" ht="15" hidden="false" customHeight="false" outlineLevel="0" collapsed="false">
      <c r="A1029" s="46" t="str">
        <f aca="false">Orders!A1029</f>
        <v>ORD-01028</v>
      </c>
      <c r="B1029" s="46" t="str">
        <f aca="false">PROPER(TRIM(Orders!K1029))</f>
        <v>Pune</v>
      </c>
      <c r="C1029" s="46" t="str">
        <f aca="false">IFERROR(VLOOKUP(Orders!D1029,Products!$A$2:$F$61,3,FALSE()),"Not Found")</f>
        <v>Sports</v>
      </c>
      <c r="D1029" s="46" t="str">
        <f aca="false">IFERROR(VLOOKUP(Orders!C1029,Customers!$A$2:$F$301,5,FALSE()),"Not Found")</f>
        <v>Retail</v>
      </c>
      <c r="E1029" s="46" t="n">
        <f aca="false">IFERROR(VLOOKUP(Orders!C1029,Customers!$A$2:$F$301,3,FALSE()),"Not Found")</f>
        <v>57</v>
      </c>
      <c r="F1029" s="46" t="str">
        <f aca="false">IFERROR(VLOOKUP(Orders!E1029,Sales_Reps!$A$2:$E$31,3,FALSE()),"Not Found")</f>
        <v>West</v>
      </c>
      <c r="G1029" s="46" t="n">
        <f aca="false">IFERROR(VLOOKUP(Orders!D1029,Products!$A$2:$F$61,4,FALSE()),"")</f>
        <v>302</v>
      </c>
      <c r="H1029" s="47" t="n">
        <f aca="false">IF(G1029="","",(Orders!G1029-G1029)/Orders!G1029)</f>
        <v>0.357446808510638</v>
      </c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</row>
    <row r="1030" customFormat="false" ht="15" hidden="false" customHeight="false" outlineLevel="0" collapsed="false">
      <c r="A1030" s="46" t="str">
        <f aca="false">Orders!A1030</f>
        <v>ORD-01029</v>
      </c>
      <c r="B1030" s="46" t="str">
        <f aca="false">PROPER(TRIM(Orders!K1030))</f>
        <v>Hyderabad</v>
      </c>
      <c r="C1030" s="46" t="str">
        <f aca="false">IFERROR(VLOOKUP(Orders!D1030,Products!$A$2:$F$61,3,FALSE()),"Not Found")</f>
        <v>Home</v>
      </c>
      <c r="D1030" s="46" t="str">
        <f aca="false">IFERROR(VLOOKUP(Orders!C1030,Customers!$A$2:$F$301,5,FALSE()),"Not Found")</f>
        <v>Retail</v>
      </c>
      <c r="E1030" s="46" t="n">
        <f aca="false">IFERROR(VLOOKUP(Orders!C1030,Customers!$A$2:$F$301,3,FALSE()),"Not Found")</f>
        <v>32</v>
      </c>
      <c r="F1030" s="46" t="str">
        <f aca="false">IFERROR(VLOOKUP(Orders!E1030,Sales_Reps!$A$2:$E$31,3,FALSE()),"Not Found")</f>
        <v>South</v>
      </c>
      <c r="G1030" s="46" t="n">
        <f aca="false">IFERROR(VLOOKUP(Orders!D1030,Products!$A$2:$F$61,4,FALSE()),"")</f>
        <v>329</v>
      </c>
      <c r="H1030" s="47" t="n">
        <f aca="false">IF(G1030="","",(Orders!G1030-G1030)/Orders!G1030)</f>
        <v>0.501515151515152</v>
      </c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</row>
    <row r="1031" customFormat="false" ht="15" hidden="false" customHeight="false" outlineLevel="0" collapsed="false">
      <c r="A1031" s="46" t="str">
        <f aca="false">Orders!A1031</f>
        <v>ORD-01030</v>
      </c>
      <c r="B1031" s="46" t="str">
        <f aca="false">PROPER(TRIM(Orders!K1031))</f>
        <v>Pune</v>
      </c>
      <c r="C1031" s="46" t="str">
        <f aca="false">IFERROR(VLOOKUP(Orders!D1031,Products!$A$2:$F$61,3,FALSE()),"Not Found")</f>
        <v>Electronics</v>
      </c>
      <c r="D1031" s="46" t="str">
        <f aca="false">IFERROR(VLOOKUP(Orders!C1031,Customers!$A$2:$F$301,5,FALSE()),"Not Found")</f>
        <v>SMB</v>
      </c>
      <c r="E1031" s="46" t="n">
        <f aca="false">IFERROR(VLOOKUP(Orders!C1031,Customers!$A$2:$F$301,3,FALSE()),"Not Found")</f>
        <v>49</v>
      </c>
      <c r="F1031" s="46" t="str">
        <f aca="false">IFERROR(VLOOKUP(Orders!E1031,Sales_Reps!$A$2:$E$31,3,FALSE()),"Not Found")</f>
        <v>East</v>
      </c>
      <c r="G1031" s="46" t="n">
        <f aca="false">IFERROR(VLOOKUP(Orders!D1031,Products!$A$2:$F$61,4,FALSE()),"")</f>
        <v>517</v>
      </c>
      <c r="H1031" s="47" t="n">
        <f aca="false">IF(G1031="","",(Orders!G1031-G1031)/Orders!G1031)</f>
        <v>0.576229508196721</v>
      </c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</row>
    <row r="1032" customFormat="false" ht="15" hidden="false" customHeight="false" outlineLevel="0" collapsed="false">
      <c r="A1032" s="46" t="str">
        <f aca="false">Orders!A1032</f>
        <v>ORD-01031</v>
      </c>
      <c r="B1032" s="46" t="str">
        <f aca="false">PROPER(TRIM(Orders!K1032))</f>
        <v>Delhi</v>
      </c>
      <c r="C1032" s="46" t="str">
        <f aca="false">IFERROR(VLOOKUP(Orders!D1032,Products!$A$2:$F$61,3,FALSE()),"Not Found")</f>
        <v>Home</v>
      </c>
      <c r="D1032" s="46" t="str">
        <f aca="false">IFERROR(VLOOKUP(Orders!C1032,Customers!$A$2:$F$301,5,FALSE()),"Not Found")</f>
        <v>SMB</v>
      </c>
      <c r="E1032" s="46" t="n">
        <f aca="false">IFERROR(VLOOKUP(Orders!C1032,Customers!$A$2:$F$301,3,FALSE()),"Not Found")</f>
        <v>48</v>
      </c>
      <c r="F1032" s="46" t="str">
        <f aca="false">IFERROR(VLOOKUP(Orders!E1032,Sales_Reps!$A$2:$E$31,3,FALSE()),"Not Found")</f>
        <v>South</v>
      </c>
      <c r="G1032" s="46" t="n">
        <f aca="false">IFERROR(VLOOKUP(Orders!D1032,Products!$A$2:$F$61,4,FALSE()),"")</f>
        <v>1556</v>
      </c>
      <c r="H1032" s="47" t="n">
        <f aca="false">IF(G1032="","",(Orders!G1032-G1032)/Orders!G1032)</f>
        <v>0.521230769230769</v>
      </c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</row>
    <row r="1033" customFormat="false" ht="15" hidden="false" customHeight="false" outlineLevel="0" collapsed="false">
      <c r="A1033" s="46" t="str">
        <f aca="false">Orders!A1033</f>
        <v>ORD-01032</v>
      </c>
      <c r="B1033" s="46" t="str">
        <f aca="false">PROPER(TRIM(Orders!K1033))</f>
        <v>Bengaluru</v>
      </c>
      <c r="C1033" s="46" t="str">
        <f aca="false">IFERROR(VLOOKUP(Orders!D1033,Products!$A$2:$F$61,3,FALSE()),"Not Found")</f>
        <v>Apparel</v>
      </c>
      <c r="D1033" s="46" t="str">
        <f aca="false">IFERROR(VLOOKUP(Orders!C1033,Customers!$A$2:$F$301,5,FALSE()),"Not Found")</f>
        <v>Retail</v>
      </c>
      <c r="E1033" s="46" t="n">
        <f aca="false">IFERROR(VLOOKUP(Orders!C1033,Customers!$A$2:$F$301,3,FALSE()),"Not Found")</f>
        <v>36</v>
      </c>
      <c r="F1033" s="46" t="str">
        <f aca="false">IFERROR(VLOOKUP(Orders!E1033,Sales_Reps!$A$2:$E$31,3,FALSE()),"Not Found")</f>
        <v>East</v>
      </c>
      <c r="G1033" s="46" t="n">
        <f aca="false">IFERROR(VLOOKUP(Orders!D1033,Products!$A$2:$F$61,4,FALSE()),"")</f>
        <v>396</v>
      </c>
      <c r="H1033" s="47" t="n">
        <f aca="false">IF(G1033="","",(Orders!G1033-G1033)/Orders!G1033)</f>
        <v>0.361290322580645</v>
      </c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</row>
    <row r="1034" customFormat="false" ht="15" hidden="false" customHeight="false" outlineLevel="0" collapsed="false">
      <c r="A1034" s="46" t="str">
        <f aca="false">Orders!A1034</f>
        <v>ORD-01033</v>
      </c>
      <c r="B1034" s="46" t="str">
        <f aca="false">PROPER(TRIM(Orders!K1034))</f>
        <v>Chennai</v>
      </c>
      <c r="C1034" s="46" t="str">
        <f aca="false">IFERROR(VLOOKUP(Orders!D1034,Products!$A$2:$F$61,3,FALSE()),"Not Found")</f>
        <v>Grocery</v>
      </c>
      <c r="D1034" s="46" t="str">
        <f aca="false">IFERROR(VLOOKUP(Orders!C1034,Customers!$A$2:$F$301,5,FALSE()),"Not Found")</f>
        <v>Retail</v>
      </c>
      <c r="E1034" s="46" t="n">
        <f aca="false">IFERROR(VLOOKUP(Orders!C1034,Customers!$A$2:$F$301,3,FALSE()),"Not Found")</f>
        <v>49</v>
      </c>
      <c r="F1034" s="46" t="str">
        <f aca="false">IFERROR(VLOOKUP(Orders!E1034,Sales_Reps!$A$2:$E$31,3,FALSE()),"Not Found")</f>
        <v>North</v>
      </c>
      <c r="G1034" s="46" t="n">
        <f aca="false">IFERROR(VLOOKUP(Orders!D1034,Products!$A$2:$F$61,4,FALSE()),"")</f>
        <v>2027</v>
      </c>
      <c r="H1034" s="47" t="n">
        <f aca="false">IF(G1034="","",(Orders!G1034-G1034)/Orders!G1034)</f>
        <v>0.501965601965602</v>
      </c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</row>
    <row r="1035" customFormat="false" ht="15" hidden="false" customHeight="false" outlineLevel="0" collapsed="false">
      <c r="A1035" s="46" t="str">
        <f aca="false">Orders!A1035</f>
        <v>ORD-01034</v>
      </c>
      <c r="B1035" s="46" t="str">
        <f aca="false">PROPER(TRIM(Orders!K1035))</f>
        <v>Bengaluru</v>
      </c>
      <c r="C1035" s="46" t="str">
        <f aca="false">IFERROR(VLOOKUP(Orders!D1035,Products!$A$2:$F$61,3,FALSE()),"Not Found")</f>
        <v>Apparel</v>
      </c>
      <c r="D1035" s="46" t="str">
        <f aca="false">IFERROR(VLOOKUP(Orders!C1035,Customers!$A$2:$F$301,5,FALSE()),"Not Found")</f>
        <v>Retail</v>
      </c>
      <c r="E1035" s="46" t="n">
        <f aca="false">IFERROR(VLOOKUP(Orders!C1035,Customers!$A$2:$F$301,3,FALSE()),"Not Found")</f>
        <v>27</v>
      </c>
      <c r="F1035" s="46" t="str">
        <f aca="false">IFERROR(VLOOKUP(Orders!E1035,Sales_Reps!$A$2:$E$31,3,FALSE()),"Not Found")</f>
        <v>North</v>
      </c>
      <c r="G1035" s="46" t="n">
        <f aca="false">IFERROR(VLOOKUP(Orders!D1035,Products!$A$2:$F$61,4,FALSE()),"")</f>
        <v>1886</v>
      </c>
      <c r="H1035" s="47" t="n">
        <f aca="false">IF(G1035="","",(Orders!G1035-G1035)/Orders!G1035)</f>
        <v>0.403164556962025</v>
      </c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</row>
    <row r="1036" customFormat="false" ht="15" hidden="false" customHeight="false" outlineLevel="0" collapsed="false">
      <c r="A1036" s="46" t="str">
        <f aca="false">Orders!A1036</f>
        <v>ORD-01035</v>
      </c>
      <c r="B1036" s="46" t="str">
        <f aca="false">PROPER(TRIM(Orders!K1036))</f>
        <v>Chennai</v>
      </c>
      <c r="C1036" s="46" t="str">
        <f aca="false">IFERROR(VLOOKUP(Orders!D1036,Products!$A$2:$F$61,3,FALSE()),"Not Found")</f>
        <v>Grocery</v>
      </c>
      <c r="D1036" s="46" t="str">
        <f aca="false">IFERROR(VLOOKUP(Orders!C1036,Customers!$A$2:$F$301,5,FALSE()),"Not Found")</f>
        <v>Retail</v>
      </c>
      <c r="E1036" s="46" t="n">
        <f aca="false">IFERROR(VLOOKUP(Orders!C1036,Customers!$A$2:$F$301,3,FALSE()),"Not Found")</f>
        <v>36</v>
      </c>
      <c r="F1036" s="46" t="str">
        <f aca="false">IFERROR(VLOOKUP(Orders!E1036,Sales_Reps!$A$2:$E$31,3,FALSE()),"Not Found")</f>
        <v>East</v>
      </c>
      <c r="G1036" s="46" t="n">
        <f aca="false">IFERROR(VLOOKUP(Orders!D1036,Products!$A$2:$F$61,4,FALSE()),"")</f>
        <v>1010</v>
      </c>
      <c r="H1036" s="47" t="n">
        <f aca="false">IF(G1036="","",(Orders!G1036-G1036)/Orders!G1036)</f>
        <v>0.542986425339367</v>
      </c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</row>
    <row r="1037" customFormat="false" ht="15" hidden="false" customHeight="false" outlineLevel="0" collapsed="false">
      <c r="A1037" s="46" t="str">
        <f aca="false">Orders!A1037</f>
        <v>ORD-01036</v>
      </c>
      <c r="B1037" s="46" t="str">
        <f aca="false">PROPER(TRIM(Orders!K1037))</f>
        <v>Chennai</v>
      </c>
      <c r="C1037" s="46" t="str">
        <f aca="false">IFERROR(VLOOKUP(Orders!D1037,Products!$A$2:$F$61,3,FALSE()),"Not Found")</f>
        <v>Sports</v>
      </c>
      <c r="D1037" s="46" t="str">
        <f aca="false">IFERROR(VLOOKUP(Orders!C1037,Customers!$A$2:$F$301,5,FALSE()),"Not Found")</f>
        <v>Retail</v>
      </c>
      <c r="E1037" s="46" t="n">
        <f aca="false">IFERROR(VLOOKUP(Orders!C1037,Customers!$A$2:$F$301,3,FALSE()),"Not Found")</f>
        <v>61</v>
      </c>
      <c r="F1037" s="46" t="str">
        <f aca="false">IFERROR(VLOOKUP(Orders!E1037,Sales_Reps!$A$2:$E$31,3,FALSE()),"Not Found")</f>
        <v>West</v>
      </c>
      <c r="G1037" s="46" t="n">
        <f aca="false">IFERROR(VLOOKUP(Orders!D1037,Products!$A$2:$F$61,4,FALSE()),"")</f>
        <v>302</v>
      </c>
      <c r="H1037" s="47" t="n">
        <f aca="false">IF(G1037="","",(Orders!G1037-G1037)/Orders!G1037)</f>
        <v>0.357446808510638</v>
      </c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</row>
    <row r="1038" customFormat="false" ht="15" hidden="false" customHeight="false" outlineLevel="0" collapsed="false">
      <c r="A1038" s="46" t="str">
        <f aca="false">Orders!A1038</f>
        <v>ORD-01037</v>
      </c>
      <c r="B1038" s="46" t="str">
        <f aca="false">PROPER(TRIM(Orders!K1038))</f>
        <v>Chennai</v>
      </c>
      <c r="C1038" s="46" t="str">
        <f aca="false">IFERROR(VLOOKUP(Orders!D1038,Products!$A$2:$F$61,3,FALSE()),"Not Found")</f>
        <v>Home</v>
      </c>
      <c r="D1038" s="46" t="str">
        <f aca="false">IFERROR(VLOOKUP(Orders!C1038,Customers!$A$2:$F$301,5,FALSE()),"Not Found")</f>
        <v>Retail</v>
      </c>
      <c r="E1038" s="46" t="n">
        <f aca="false">IFERROR(VLOOKUP(Orders!C1038,Customers!$A$2:$F$301,3,FALSE()),"Not Found")</f>
        <v>38</v>
      </c>
      <c r="F1038" s="46" t="str">
        <f aca="false">IFERROR(VLOOKUP(Orders!E1038,Sales_Reps!$A$2:$E$31,3,FALSE()),"Not Found")</f>
        <v>East</v>
      </c>
      <c r="G1038" s="46" t="n">
        <f aca="false">IFERROR(VLOOKUP(Orders!D1038,Products!$A$2:$F$61,4,FALSE()),"")</f>
        <v>288</v>
      </c>
      <c r="H1038" s="47" t="n">
        <f aca="false">IF(G1038="","",(Orders!G1038-G1038)/Orders!G1038)</f>
        <v>0.221621621621622</v>
      </c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</row>
    <row r="1039" customFormat="false" ht="15" hidden="false" customHeight="false" outlineLevel="0" collapsed="false">
      <c r="A1039" s="46" t="str">
        <f aca="false">Orders!A1039</f>
        <v>ORD-01038</v>
      </c>
      <c r="B1039" s="46" t="str">
        <f aca="false">PROPER(TRIM(Orders!K1039))</f>
        <v>Mumbai</v>
      </c>
      <c r="C1039" s="46" t="str">
        <f aca="false">IFERROR(VLOOKUP(Orders!D1039,Products!$A$2:$F$61,3,FALSE()),"Not Found")</f>
        <v>Sports</v>
      </c>
      <c r="D1039" s="46" t="str">
        <f aca="false">IFERROR(VLOOKUP(Orders!C1039,Customers!$A$2:$F$301,5,FALSE()),"Not Found")</f>
        <v>Retail</v>
      </c>
      <c r="E1039" s="46" t="n">
        <f aca="false">IFERROR(VLOOKUP(Orders!C1039,Customers!$A$2:$F$301,3,FALSE()),"Not Found")</f>
        <v>44</v>
      </c>
      <c r="F1039" s="46" t="str">
        <f aca="false">IFERROR(VLOOKUP(Orders!E1039,Sales_Reps!$A$2:$E$31,3,FALSE()),"Not Found")</f>
        <v>East</v>
      </c>
      <c r="G1039" s="46" t="n">
        <f aca="false">IFERROR(VLOOKUP(Orders!D1039,Products!$A$2:$F$61,4,FALSE()),"")</f>
        <v>1860</v>
      </c>
      <c r="H1039" s="47" t="n">
        <f aca="false">IF(G1039="","",(Orders!G1039-G1039)/Orders!G1039)</f>
        <v>0.507936507936508</v>
      </c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</row>
    <row r="1040" customFormat="false" ht="15" hidden="false" customHeight="false" outlineLevel="0" collapsed="false">
      <c r="A1040" s="46" t="str">
        <f aca="false">Orders!A1040</f>
        <v>ORD-01039</v>
      </c>
      <c r="B1040" s="46" t="str">
        <f aca="false">PROPER(TRIM(Orders!K1040))</f>
        <v>Delhi</v>
      </c>
      <c r="C1040" s="46" t="str">
        <f aca="false">IFERROR(VLOOKUP(Orders!D1040,Products!$A$2:$F$61,3,FALSE()),"Not Found")</f>
        <v>Sports</v>
      </c>
      <c r="D1040" s="46" t="str">
        <f aca="false">IFERROR(VLOOKUP(Orders!C1040,Customers!$A$2:$F$301,5,FALSE()),"Not Found")</f>
        <v>Retail</v>
      </c>
      <c r="E1040" s="46" t="n">
        <f aca="false">IFERROR(VLOOKUP(Orders!C1040,Customers!$A$2:$F$301,3,FALSE()),"Not Found")</f>
        <v>59</v>
      </c>
      <c r="F1040" s="46" t="str">
        <f aca="false">IFERROR(VLOOKUP(Orders!E1040,Sales_Reps!$A$2:$E$31,3,FALSE()),"Not Found")</f>
        <v>South</v>
      </c>
      <c r="G1040" s="46" t="n">
        <f aca="false">IFERROR(VLOOKUP(Orders!D1040,Products!$A$2:$F$61,4,FALSE()),"")</f>
        <v>2827</v>
      </c>
      <c r="H1040" s="47" t="n">
        <f aca="false">IF(G1040="","",(Orders!G1040-G1040)/Orders!G1040)</f>
        <v>0.592651296829971</v>
      </c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</row>
    <row r="1041" customFormat="false" ht="15" hidden="false" customHeight="false" outlineLevel="0" collapsed="false">
      <c r="A1041" s="46" t="str">
        <f aca="false">Orders!A1041</f>
        <v>ORD-01040</v>
      </c>
      <c r="B1041" s="46" t="str">
        <f aca="false">PROPER(TRIM(Orders!K1041))</f>
        <v>Delhi</v>
      </c>
      <c r="C1041" s="46" t="str">
        <f aca="false">IFERROR(VLOOKUP(Orders!D1041,Products!$A$2:$F$61,3,FALSE()),"Not Found")</f>
        <v>Home</v>
      </c>
      <c r="D1041" s="46" t="str">
        <f aca="false">IFERROR(VLOOKUP(Orders!C1041,Customers!$A$2:$F$301,5,FALSE()),"Not Found")</f>
        <v>SMB</v>
      </c>
      <c r="E1041" s="46" t="n">
        <f aca="false">IFERROR(VLOOKUP(Orders!C1041,Customers!$A$2:$F$301,3,FALSE()),"Not Found")</f>
        <v>48</v>
      </c>
      <c r="F1041" s="46" t="str">
        <f aca="false">IFERROR(VLOOKUP(Orders!E1041,Sales_Reps!$A$2:$E$31,3,FALSE()),"Not Found")</f>
        <v>East</v>
      </c>
      <c r="G1041" s="46" t="n">
        <f aca="false">IFERROR(VLOOKUP(Orders!D1041,Products!$A$2:$F$61,4,FALSE()),"")</f>
        <v>2135</v>
      </c>
      <c r="H1041" s="47" t="n">
        <f aca="false">IF(G1041="","",(Orders!G1041-G1041)/Orders!G1041)</f>
        <v>0.427613941018767</v>
      </c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</row>
    <row r="1042" customFormat="false" ht="15" hidden="false" customHeight="false" outlineLevel="0" collapsed="false">
      <c r="A1042" s="46" t="str">
        <f aca="false">Orders!A1042</f>
        <v>ORD-01041</v>
      </c>
      <c r="B1042" s="46" t="str">
        <f aca="false">PROPER(TRIM(Orders!K1042))</f>
        <v>Mumbai</v>
      </c>
      <c r="C1042" s="46" t="str">
        <f aca="false">IFERROR(VLOOKUP(Orders!D1042,Products!$A$2:$F$61,3,FALSE()),"Not Found")</f>
        <v>Home</v>
      </c>
      <c r="D1042" s="46" t="str">
        <f aca="false">IFERROR(VLOOKUP(Orders!C1042,Customers!$A$2:$F$301,5,FALSE()),"Not Found")</f>
        <v>Retail</v>
      </c>
      <c r="E1042" s="46" t="n">
        <f aca="false">IFERROR(VLOOKUP(Orders!C1042,Customers!$A$2:$F$301,3,FALSE()),"Not Found")</f>
        <v>37</v>
      </c>
      <c r="F1042" s="46" t="str">
        <f aca="false">IFERROR(VLOOKUP(Orders!E1042,Sales_Reps!$A$2:$E$31,3,FALSE()),"Not Found")</f>
        <v>West</v>
      </c>
      <c r="G1042" s="46" t="n">
        <f aca="false">IFERROR(VLOOKUP(Orders!D1042,Products!$A$2:$F$61,4,FALSE()),"")</f>
        <v>2459</v>
      </c>
      <c r="H1042" s="47" t="n">
        <f aca="false">IF(G1042="","",(Orders!G1042-G1042)/Orders!G1042)</f>
        <v>0.515944881889764</v>
      </c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</row>
    <row r="1043" customFormat="false" ht="15" hidden="false" customHeight="false" outlineLevel="0" collapsed="false">
      <c r="A1043" s="46" t="str">
        <f aca="false">Orders!A1043</f>
        <v>ORD-01042</v>
      </c>
      <c r="B1043" s="46" t="str">
        <f aca="false">PROPER(TRIM(Orders!K1043))</f>
        <v>Hyderabad</v>
      </c>
      <c r="C1043" s="46" t="str">
        <f aca="false">IFERROR(VLOOKUP(Orders!D1043,Products!$A$2:$F$61,3,FALSE()),"Not Found")</f>
        <v>Sports</v>
      </c>
      <c r="D1043" s="46" t="str">
        <f aca="false">IFERROR(VLOOKUP(Orders!C1043,Customers!$A$2:$F$301,5,FALSE()),"Not Found")</f>
        <v>Retail</v>
      </c>
      <c r="E1043" s="46" t="n">
        <f aca="false">IFERROR(VLOOKUP(Orders!C1043,Customers!$A$2:$F$301,3,FALSE()),"Not Found")</f>
        <v>32</v>
      </c>
      <c r="F1043" s="46" t="str">
        <f aca="false">IFERROR(VLOOKUP(Orders!E1043,Sales_Reps!$A$2:$E$31,3,FALSE()),"Not Found")</f>
        <v>North</v>
      </c>
      <c r="G1043" s="46" t="n">
        <f aca="false">IFERROR(VLOOKUP(Orders!D1043,Products!$A$2:$F$61,4,FALSE()),"")</f>
        <v>2265</v>
      </c>
      <c r="H1043" s="47" t="n">
        <f aca="false">IF(G1043="","",(Orders!G1043-G1043)/Orders!G1043)</f>
        <v>0.581330868761553</v>
      </c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</row>
    <row r="1044" customFormat="false" ht="15" hidden="false" customHeight="false" outlineLevel="0" collapsed="false">
      <c r="A1044" s="46" t="str">
        <f aca="false">Orders!A1044</f>
        <v>ORD-01043</v>
      </c>
      <c r="B1044" s="46" t="str">
        <f aca="false">PROPER(TRIM(Orders!K1044))</f>
        <v>Delhi</v>
      </c>
      <c r="C1044" s="46" t="str">
        <f aca="false">IFERROR(VLOOKUP(Orders!D1044,Products!$A$2:$F$61,3,FALSE()),"Not Found")</f>
        <v>Apparel</v>
      </c>
      <c r="D1044" s="46" t="str">
        <f aca="false">IFERROR(VLOOKUP(Orders!C1044,Customers!$A$2:$F$301,5,FALSE()),"Not Found")</f>
        <v>Retail</v>
      </c>
      <c r="E1044" s="46" t="n">
        <f aca="false">IFERROR(VLOOKUP(Orders!C1044,Customers!$A$2:$F$301,3,FALSE()),"Not Found")</f>
        <v>44</v>
      </c>
      <c r="F1044" s="46" t="str">
        <f aca="false">IFERROR(VLOOKUP(Orders!E1044,Sales_Reps!$A$2:$E$31,3,FALSE()),"Not Found")</f>
        <v>West</v>
      </c>
      <c r="G1044" s="46" t="n">
        <f aca="false">IFERROR(VLOOKUP(Orders!D1044,Products!$A$2:$F$61,4,FALSE()),"")</f>
        <v>1962</v>
      </c>
      <c r="H1044" s="47" t="n">
        <f aca="false">IF(G1044="","",(Orders!G1044-G1044)/Orders!G1044)</f>
        <v>0.278676470588235</v>
      </c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</row>
    <row r="1045" customFormat="false" ht="15" hidden="false" customHeight="false" outlineLevel="0" collapsed="false">
      <c r="A1045" s="46" t="str">
        <f aca="false">Orders!A1045</f>
        <v>ORD-01044</v>
      </c>
      <c r="B1045" s="46" t="str">
        <f aca="false">PROPER(TRIM(Orders!K1045))</f>
        <v>Bengaluru</v>
      </c>
      <c r="C1045" s="46" t="str">
        <f aca="false">IFERROR(VLOOKUP(Orders!D1045,Products!$A$2:$F$61,3,FALSE()),"Not Found")</f>
        <v>Electronics</v>
      </c>
      <c r="D1045" s="46" t="str">
        <f aca="false">IFERROR(VLOOKUP(Orders!C1045,Customers!$A$2:$F$301,5,FALSE()),"Not Found")</f>
        <v>SMB</v>
      </c>
      <c r="E1045" s="46" t="n">
        <f aca="false">IFERROR(VLOOKUP(Orders!C1045,Customers!$A$2:$F$301,3,FALSE()),"Not Found")</f>
        <v>44</v>
      </c>
      <c r="F1045" s="46" t="str">
        <f aca="false">IFERROR(VLOOKUP(Orders!E1045,Sales_Reps!$A$2:$E$31,3,FALSE()),"Not Found")</f>
        <v>South</v>
      </c>
      <c r="G1045" s="46" t="n">
        <f aca="false">IFERROR(VLOOKUP(Orders!D1045,Products!$A$2:$F$61,4,FALSE()),"")</f>
        <v>517</v>
      </c>
      <c r="H1045" s="47" t="n">
        <f aca="false">IF(G1045="","",(Orders!G1045-G1045)/Orders!G1045)</f>
        <v>0.576229508196721</v>
      </c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</row>
    <row r="1046" customFormat="false" ht="15" hidden="false" customHeight="false" outlineLevel="0" collapsed="false">
      <c r="A1046" s="46" t="str">
        <f aca="false">Orders!A1046</f>
        <v>ORD-01045</v>
      </c>
      <c r="B1046" s="46" t="str">
        <f aca="false">PROPER(TRIM(Orders!K1046))</f>
        <v>Chennai</v>
      </c>
      <c r="C1046" s="46" t="str">
        <f aca="false">IFERROR(VLOOKUP(Orders!D1046,Products!$A$2:$F$61,3,FALSE()),"Not Found")</f>
        <v>Beauty</v>
      </c>
      <c r="D1046" s="46" t="str">
        <f aca="false">IFERROR(VLOOKUP(Orders!C1046,Customers!$A$2:$F$301,5,FALSE()),"Not Found")</f>
        <v>Retail</v>
      </c>
      <c r="E1046" s="46" t="n">
        <f aca="false">IFERROR(VLOOKUP(Orders!C1046,Customers!$A$2:$F$301,3,FALSE()),"Not Found")</f>
        <v>31</v>
      </c>
      <c r="F1046" s="46" t="str">
        <f aca="false">IFERROR(VLOOKUP(Orders!E1046,Sales_Reps!$A$2:$E$31,3,FALSE()),"Not Found")</f>
        <v>North</v>
      </c>
      <c r="G1046" s="46" t="n">
        <f aca="false">IFERROR(VLOOKUP(Orders!D1046,Products!$A$2:$F$61,4,FALSE()),"")</f>
        <v>2768</v>
      </c>
      <c r="H1046" s="47" t="n">
        <f aca="false">IF(G1046="","",(Orders!G1046-G1046)/Orders!G1046)</f>
        <v>0.432786885245902</v>
      </c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</row>
    <row r="1047" customFormat="false" ht="15" hidden="false" customHeight="false" outlineLevel="0" collapsed="false">
      <c r="A1047" s="46" t="str">
        <f aca="false">Orders!A1047</f>
        <v>ORD-01046</v>
      </c>
      <c r="B1047" s="46" t="str">
        <f aca="false">PROPER(TRIM(Orders!K1047))</f>
        <v>Mumbai</v>
      </c>
      <c r="C1047" s="46" t="str">
        <f aca="false">IFERROR(VLOOKUP(Orders!D1047,Products!$A$2:$F$61,3,FALSE()),"Not Found")</f>
        <v>Grocery</v>
      </c>
      <c r="D1047" s="46" t="str">
        <f aca="false">IFERROR(VLOOKUP(Orders!C1047,Customers!$A$2:$F$301,5,FALSE()),"Not Found")</f>
        <v>Corporate</v>
      </c>
      <c r="E1047" s="46" t="n">
        <f aca="false">IFERROR(VLOOKUP(Orders!C1047,Customers!$A$2:$F$301,3,FALSE()),"Not Found")</f>
        <v>62</v>
      </c>
      <c r="F1047" s="46" t="str">
        <f aca="false">IFERROR(VLOOKUP(Orders!E1047,Sales_Reps!$A$2:$E$31,3,FALSE()),"Not Found")</f>
        <v>East</v>
      </c>
      <c r="G1047" s="46" t="n">
        <f aca="false">IFERROR(VLOOKUP(Orders!D1047,Products!$A$2:$F$61,4,FALSE()),"")</f>
        <v>1412</v>
      </c>
      <c r="H1047" s="47" t="n">
        <f aca="false">IF(G1047="","",(Orders!G1047-G1047)/Orders!G1047)</f>
        <v>0.377973568281938</v>
      </c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</row>
    <row r="1048" customFormat="false" ht="15" hidden="false" customHeight="false" outlineLevel="0" collapsed="false">
      <c r="A1048" s="46" t="str">
        <f aca="false">Orders!A1048</f>
        <v>ORD-01047</v>
      </c>
      <c r="B1048" s="46" t="str">
        <f aca="false">PROPER(TRIM(Orders!K1048))</f>
        <v>Pune</v>
      </c>
      <c r="C1048" s="46" t="str">
        <f aca="false">IFERROR(VLOOKUP(Orders!D1048,Products!$A$2:$F$61,3,FALSE()),"Not Found")</f>
        <v>Grocery</v>
      </c>
      <c r="D1048" s="46" t="str">
        <f aca="false">IFERROR(VLOOKUP(Orders!C1048,Customers!$A$2:$F$301,5,FALSE()),"Not Found")</f>
        <v>SMB</v>
      </c>
      <c r="E1048" s="46" t="n">
        <f aca="false">IFERROR(VLOOKUP(Orders!C1048,Customers!$A$2:$F$301,3,FALSE()),"Not Found")</f>
        <v>53</v>
      </c>
      <c r="F1048" s="46" t="str">
        <f aca="false">IFERROR(VLOOKUP(Orders!E1048,Sales_Reps!$A$2:$E$31,3,FALSE()),"Not Found")</f>
        <v>North</v>
      </c>
      <c r="G1048" s="46" t="n">
        <f aca="false">IFERROR(VLOOKUP(Orders!D1048,Products!$A$2:$F$61,4,FALSE()),"")</f>
        <v>434</v>
      </c>
      <c r="H1048" s="47" t="n">
        <f aca="false">IF(G1048="","",(Orders!G1048-G1048)/Orders!G1048)</f>
        <v>0.552577319587629</v>
      </c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</row>
    <row r="1049" customFormat="false" ht="15" hidden="false" customHeight="false" outlineLevel="0" collapsed="false">
      <c r="A1049" s="46" t="str">
        <f aca="false">Orders!A1049</f>
        <v>ORD-01048</v>
      </c>
      <c r="B1049" s="46" t="str">
        <f aca="false">PROPER(TRIM(Orders!K1049))</f>
        <v>Delhi</v>
      </c>
      <c r="C1049" s="46" t="str">
        <f aca="false">IFERROR(VLOOKUP(Orders!D1049,Products!$A$2:$F$61,3,FALSE()),"Not Found")</f>
        <v>Grocery</v>
      </c>
      <c r="D1049" s="46" t="str">
        <f aca="false">IFERROR(VLOOKUP(Orders!C1049,Customers!$A$2:$F$301,5,FALSE()),"Not Found")</f>
        <v>Corporate</v>
      </c>
      <c r="E1049" s="46" t="n">
        <f aca="false">IFERROR(VLOOKUP(Orders!C1049,Customers!$A$2:$F$301,3,FALSE()),"Not Found")</f>
        <v>27</v>
      </c>
      <c r="F1049" s="46" t="str">
        <f aca="false">IFERROR(VLOOKUP(Orders!E1049,Sales_Reps!$A$2:$E$31,3,FALSE()),"Not Found")</f>
        <v>South</v>
      </c>
      <c r="G1049" s="46" t="n">
        <f aca="false">IFERROR(VLOOKUP(Orders!D1049,Products!$A$2:$F$61,4,FALSE()),"")</f>
        <v>1182</v>
      </c>
      <c r="H1049" s="47" t="n">
        <f aca="false">IF(G1049="","",(Orders!G1049-G1049)/Orders!G1049)</f>
        <v>0.503361344537815</v>
      </c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</row>
    <row r="1050" customFormat="false" ht="15" hidden="false" customHeight="false" outlineLevel="0" collapsed="false">
      <c r="A1050" s="46" t="str">
        <f aca="false">Orders!A1050</f>
        <v>ORD-01049</v>
      </c>
      <c r="B1050" s="46" t="str">
        <f aca="false">PROPER(TRIM(Orders!K1050))</f>
        <v>Hyderabad</v>
      </c>
      <c r="C1050" s="46" t="str">
        <f aca="false">IFERROR(VLOOKUP(Orders!D1050,Products!$A$2:$F$61,3,FALSE()),"Not Found")</f>
        <v>Apparel</v>
      </c>
      <c r="D1050" s="46" t="str">
        <f aca="false">IFERROR(VLOOKUP(Orders!C1050,Customers!$A$2:$F$301,5,FALSE()),"Not Found")</f>
        <v>Corporate</v>
      </c>
      <c r="E1050" s="46" t="n">
        <f aca="false">IFERROR(VLOOKUP(Orders!C1050,Customers!$A$2:$F$301,3,FALSE()),"Not Found")</f>
        <v>25</v>
      </c>
      <c r="F1050" s="46" t="str">
        <f aca="false">IFERROR(VLOOKUP(Orders!E1050,Sales_Reps!$A$2:$E$31,3,FALSE()),"Not Found")</f>
        <v>South</v>
      </c>
      <c r="G1050" s="46" t="n">
        <f aca="false">IFERROR(VLOOKUP(Orders!D1050,Products!$A$2:$F$61,4,FALSE()),"")</f>
        <v>2509</v>
      </c>
      <c r="H1050" s="47" t="n">
        <f aca="false">IF(G1050="","",(Orders!G1050-G1050)/Orders!G1050)</f>
        <v>0.306906077348066</v>
      </c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</row>
    <row r="1051" customFormat="false" ht="15" hidden="false" customHeight="false" outlineLevel="0" collapsed="false">
      <c r="A1051" s="46" t="str">
        <f aca="false">Orders!A1051</f>
        <v>ORD-01050</v>
      </c>
      <c r="B1051" s="46" t="str">
        <f aca="false">PROPER(TRIM(Orders!K1051))</f>
        <v>Delhi</v>
      </c>
      <c r="C1051" s="46" t="str">
        <f aca="false">IFERROR(VLOOKUP(Orders!D1051,Products!$A$2:$F$61,3,FALSE()),"Not Found")</f>
        <v>Grocery</v>
      </c>
      <c r="D1051" s="46" t="str">
        <f aca="false">IFERROR(VLOOKUP(Orders!C1051,Customers!$A$2:$F$301,5,FALSE()),"Not Found")</f>
        <v>Retail</v>
      </c>
      <c r="E1051" s="46" t="n">
        <f aca="false">IFERROR(VLOOKUP(Orders!C1051,Customers!$A$2:$F$301,3,FALSE()),"Not Found")</f>
        <v>59</v>
      </c>
      <c r="F1051" s="46" t="str">
        <f aca="false">IFERROR(VLOOKUP(Orders!E1051,Sales_Reps!$A$2:$E$31,3,FALSE()),"Not Found")</f>
        <v>West</v>
      </c>
      <c r="G1051" s="46" t="n">
        <f aca="false">IFERROR(VLOOKUP(Orders!D1051,Products!$A$2:$F$61,4,FALSE()),"")</f>
        <v>2027</v>
      </c>
      <c r="H1051" s="47" t="n">
        <f aca="false">IF(G1051="","",(Orders!G1051-G1051)/Orders!G1051)</f>
        <v>0.501965601965602</v>
      </c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</row>
    <row r="1052" customFormat="false" ht="15" hidden="false" customHeight="false" outlineLevel="0" collapsed="false">
      <c r="A1052" s="46" t="str">
        <f aca="false">Orders!A1052</f>
        <v>ORD-01051</v>
      </c>
      <c r="B1052" s="46" t="str">
        <f aca="false">PROPER(TRIM(Orders!K1052))</f>
        <v>Hyderabad</v>
      </c>
      <c r="C1052" s="46" t="str">
        <f aca="false">IFERROR(VLOOKUP(Orders!D1052,Products!$A$2:$F$61,3,FALSE()),"Not Found")</f>
        <v>Beauty</v>
      </c>
      <c r="D1052" s="46" t="str">
        <f aca="false">IFERROR(VLOOKUP(Orders!C1052,Customers!$A$2:$F$301,5,FALSE()),"Not Found")</f>
        <v>Corporate</v>
      </c>
      <c r="E1052" s="46" t="n">
        <f aca="false">IFERROR(VLOOKUP(Orders!C1052,Customers!$A$2:$F$301,3,FALSE()),"Not Found")</f>
        <v>43</v>
      </c>
      <c r="F1052" s="46" t="str">
        <f aca="false">IFERROR(VLOOKUP(Orders!E1052,Sales_Reps!$A$2:$E$31,3,FALSE()),"Not Found")</f>
        <v>West</v>
      </c>
      <c r="G1052" s="46" t="n">
        <f aca="false">IFERROR(VLOOKUP(Orders!D1052,Products!$A$2:$F$61,4,FALSE()),"")</f>
        <v>2237</v>
      </c>
      <c r="H1052" s="47" t="n">
        <f aca="false">IF(G1052="","",(Orders!G1052-G1052)/Orders!G1052)</f>
        <v>0.561372549019608</v>
      </c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</row>
    <row r="1053" customFormat="false" ht="15" hidden="false" customHeight="false" outlineLevel="0" collapsed="false">
      <c r="A1053" s="46" t="str">
        <f aca="false">Orders!A1053</f>
        <v>ORD-01052</v>
      </c>
      <c r="B1053" s="46" t="str">
        <f aca="false">PROPER(TRIM(Orders!K1053))</f>
        <v>Mumbai</v>
      </c>
      <c r="C1053" s="46" t="str">
        <f aca="false">IFERROR(VLOOKUP(Orders!D1053,Products!$A$2:$F$61,3,FALSE()),"Not Found")</f>
        <v>Beauty</v>
      </c>
      <c r="D1053" s="46" t="str">
        <f aca="false">IFERROR(VLOOKUP(Orders!C1053,Customers!$A$2:$F$301,5,FALSE()),"Not Found")</f>
        <v>Corporate</v>
      </c>
      <c r="E1053" s="46" t="n">
        <f aca="false">IFERROR(VLOOKUP(Orders!C1053,Customers!$A$2:$F$301,3,FALSE()),"Not Found")</f>
        <v>62</v>
      </c>
      <c r="F1053" s="46" t="str">
        <f aca="false">IFERROR(VLOOKUP(Orders!E1053,Sales_Reps!$A$2:$E$31,3,FALSE()),"Not Found")</f>
        <v>East</v>
      </c>
      <c r="G1053" s="46" t="n">
        <f aca="false">IFERROR(VLOOKUP(Orders!D1053,Products!$A$2:$F$61,4,FALSE()),"")</f>
        <v>1626</v>
      </c>
      <c r="H1053" s="47" t="n">
        <f aca="false">IF(G1053="","",(Orders!G1053-G1053)/Orders!G1053)</f>
        <v>0.46158940397351</v>
      </c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</row>
    <row r="1054" customFormat="false" ht="15" hidden="false" customHeight="false" outlineLevel="0" collapsed="false">
      <c r="A1054" s="46" t="str">
        <f aca="false">Orders!A1054</f>
        <v>ORD-01053</v>
      </c>
      <c r="B1054" s="46" t="str">
        <f aca="false">PROPER(TRIM(Orders!K1054))</f>
        <v>Pune</v>
      </c>
      <c r="C1054" s="46" t="str">
        <f aca="false">IFERROR(VLOOKUP(Orders!D1054,Products!$A$2:$F$61,3,FALSE()),"Not Found")</f>
        <v>Beauty</v>
      </c>
      <c r="D1054" s="46" t="str">
        <f aca="false">IFERROR(VLOOKUP(Orders!C1054,Customers!$A$2:$F$301,5,FALSE()),"Not Found")</f>
        <v>Corporate</v>
      </c>
      <c r="E1054" s="46" t="n">
        <f aca="false">IFERROR(VLOOKUP(Orders!C1054,Customers!$A$2:$F$301,3,FALSE()),"Not Found")</f>
        <v>42</v>
      </c>
      <c r="F1054" s="46" t="str">
        <f aca="false">IFERROR(VLOOKUP(Orders!E1054,Sales_Reps!$A$2:$E$31,3,FALSE()),"Not Found")</f>
        <v>North</v>
      </c>
      <c r="G1054" s="46" t="n">
        <f aca="false">IFERROR(VLOOKUP(Orders!D1054,Products!$A$2:$F$61,4,FALSE()),"")</f>
        <v>675</v>
      </c>
      <c r="H1054" s="47" t="n">
        <f aca="false">IF(G1054="","",(Orders!G1054-G1054)/Orders!G1054)</f>
        <v>0.296875</v>
      </c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</row>
    <row r="1055" customFormat="false" ht="15" hidden="false" customHeight="false" outlineLevel="0" collapsed="false">
      <c r="A1055" s="46" t="str">
        <f aca="false">Orders!A1055</f>
        <v>ORD-01054</v>
      </c>
      <c r="B1055" s="46" t="str">
        <f aca="false">PROPER(TRIM(Orders!K1055))</f>
        <v>Chennai</v>
      </c>
      <c r="C1055" s="46" t="str">
        <f aca="false">IFERROR(VLOOKUP(Orders!D1055,Products!$A$2:$F$61,3,FALSE()),"Not Found")</f>
        <v>Home</v>
      </c>
      <c r="D1055" s="46" t="str">
        <f aca="false">IFERROR(VLOOKUP(Orders!C1055,Customers!$A$2:$F$301,5,FALSE()),"Not Found")</f>
        <v>Retail</v>
      </c>
      <c r="E1055" s="46" t="n">
        <f aca="false">IFERROR(VLOOKUP(Orders!C1055,Customers!$A$2:$F$301,3,FALSE()),"Not Found")</f>
        <v>61</v>
      </c>
      <c r="F1055" s="46" t="str">
        <f aca="false">IFERROR(VLOOKUP(Orders!E1055,Sales_Reps!$A$2:$E$31,3,FALSE()),"Not Found")</f>
        <v>South</v>
      </c>
      <c r="G1055" s="46" t="n">
        <f aca="false">IFERROR(VLOOKUP(Orders!D1055,Products!$A$2:$F$61,4,FALSE()),"")</f>
        <v>2459</v>
      </c>
      <c r="H1055" s="47" t="n">
        <f aca="false">IF(G1055="","",(Orders!G1055-G1055)/Orders!G1055)</f>
        <v>0.515944881889764</v>
      </c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</row>
    <row r="1056" customFormat="false" ht="15" hidden="false" customHeight="false" outlineLevel="0" collapsed="false">
      <c r="A1056" s="46" t="str">
        <f aca="false">Orders!A1056</f>
        <v>ORD-01055</v>
      </c>
      <c r="B1056" s="46" t="str">
        <f aca="false">PROPER(TRIM(Orders!K1056))</f>
        <v>Chennai</v>
      </c>
      <c r="C1056" s="46" t="str">
        <f aca="false">IFERROR(VLOOKUP(Orders!D1056,Products!$A$2:$F$61,3,FALSE()),"Not Found")</f>
        <v>Beauty</v>
      </c>
      <c r="D1056" s="46" t="str">
        <f aca="false">IFERROR(VLOOKUP(Orders!C1056,Customers!$A$2:$F$301,5,FALSE()),"Not Found")</f>
        <v>Corporate</v>
      </c>
      <c r="E1056" s="46" t="n">
        <f aca="false">IFERROR(VLOOKUP(Orders!C1056,Customers!$A$2:$F$301,3,FALSE()),"Not Found")</f>
        <v>34</v>
      </c>
      <c r="F1056" s="46" t="str">
        <f aca="false">IFERROR(VLOOKUP(Orders!E1056,Sales_Reps!$A$2:$E$31,3,FALSE()),"Not Found")</f>
        <v>South</v>
      </c>
      <c r="G1056" s="46" t="n">
        <f aca="false">IFERROR(VLOOKUP(Orders!D1056,Products!$A$2:$F$61,4,FALSE()),"")</f>
        <v>2617</v>
      </c>
      <c r="H1056" s="47" t="n">
        <f aca="false">IF(G1056="","",(Orders!G1056-G1056)/Orders!G1056)</f>
        <v>0.569572368421053</v>
      </c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</row>
    <row r="1057" customFormat="false" ht="15" hidden="false" customHeight="false" outlineLevel="0" collapsed="false">
      <c r="A1057" s="46" t="str">
        <f aca="false">Orders!A1057</f>
        <v>ORD-01056</v>
      </c>
      <c r="B1057" s="46" t="str">
        <f aca="false">PROPER(TRIM(Orders!K1057))</f>
        <v>Hyderabad</v>
      </c>
      <c r="C1057" s="46" t="str">
        <f aca="false">IFERROR(VLOOKUP(Orders!D1057,Products!$A$2:$F$61,3,FALSE()),"Not Found")</f>
        <v>Beauty</v>
      </c>
      <c r="D1057" s="46" t="str">
        <f aca="false">IFERROR(VLOOKUP(Orders!C1057,Customers!$A$2:$F$301,5,FALSE()),"Not Found")</f>
        <v>Retail</v>
      </c>
      <c r="E1057" s="46" t="n">
        <f aca="false">IFERROR(VLOOKUP(Orders!C1057,Customers!$A$2:$F$301,3,FALSE()),"Not Found")</f>
        <v>38</v>
      </c>
      <c r="F1057" s="46" t="str">
        <f aca="false">IFERROR(VLOOKUP(Orders!E1057,Sales_Reps!$A$2:$E$31,3,FALSE()),"Not Found")</f>
        <v>South</v>
      </c>
      <c r="G1057" s="46" t="n">
        <f aca="false">IFERROR(VLOOKUP(Orders!D1057,Products!$A$2:$F$61,4,FALSE()),"")</f>
        <v>647</v>
      </c>
      <c r="H1057" s="47" t="n">
        <f aca="false">IF(G1057="","",(Orders!G1057-G1057)/Orders!G1057)</f>
        <v>0.57987012987013</v>
      </c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</row>
    <row r="1058" customFormat="false" ht="15" hidden="false" customHeight="false" outlineLevel="0" collapsed="false">
      <c r="A1058" s="46" t="str">
        <f aca="false">Orders!A1058</f>
        <v>ORD-01057</v>
      </c>
      <c r="B1058" s="46" t="str">
        <f aca="false">PROPER(TRIM(Orders!K1058))</f>
        <v>Bengaluru</v>
      </c>
      <c r="C1058" s="46" t="str">
        <f aca="false">IFERROR(VLOOKUP(Orders!D1058,Products!$A$2:$F$61,3,FALSE()),"Not Found")</f>
        <v>Sports</v>
      </c>
      <c r="D1058" s="46" t="str">
        <f aca="false">IFERROR(VLOOKUP(Orders!C1058,Customers!$A$2:$F$301,5,FALSE()),"Not Found")</f>
        <v>Retail</v>
      </c>
      <c r="E1058" s="46" t="n">
        <f aca="false">IFERROR(VLOOKUP(Orders!C1058,Customers!$A$2:$F$301,3,FALSE()),"Not Found")</f>
        <v>27</v>
      </c>
      <c r="F1058" s="46" t="str">
        <f aca="false">IFERROR(VLOOKUP(Orders!E1058,Sales_Reps!$A$2:$E$31,3,FALSE()),"Not Found")</f>
        <v>West</v>
      </c>
      <c r="G1058" s="46" t="n">
        <f aca="false">IFERROR(VLOOKUP(Orders!D1058,Products!$A$2:$F$61,4,FALSE()),"")</f>
        <v>516</v>
      </c>
      <c r="H1058" s="47" t="n">
        <f aca="false">IF(G1058="","",(Orders!G1058-G1058)/Orders!G1058)</f>
        <v>0.489108910891089</v>
      </c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</row>
    <row r="1059" customFormat="false" ht="15" hidden="false" customHeight="false" outlineLevel="0" collapsed="false">
      <c r="A1059" s="46" t="str">
        <f aca="false">Orders!A1059</f>
        <v>ORD-01058</v>
      </c>
      <c r="B1059" s="46" t="str">
        <f aca="false">PROPER(TRIM(Orders!K1059))</f>
        <v>Delhi</v>
      </c>
      <c r="C1059" s="46" t="str">
        <f aca="false">IFERROR(VLOOKUP(Orders!D1059,Products!$A$2:$F$61,3,FALSE()),"Not Found")</f>
        <v>Beauty</v>
      </c>
      <c r="D1059" s="46" t="str">
        <f aca="false">IFERROR(VLOOKUP(Orders!C1059,Customers!$A$2:$F$301,5,FALSE()),"Not Found")</f>
        <v>SMB</v>
      </c>
      <c r="E1059" s="46" t="n">
        <f aca="false">IFERROR(VLOOKUP(Orders!C1059,Customers!$A$2:$F$301,3,FALSE()),"Not Found")</f>
        <v>48</v>
      </c>
      <c r="F1059" s="46" t="str">
        <f aca="false">IFERROR(VLOOKUP(Orders!E1059,Sales_Reps!$A$2:$E$31,3,FALSE()),"Not Found")</f>
        <v>West</v>
      </c>
      <c r="G1059" s="46" t="n">
        <f aca="false">IFERROR(VLOOKUP(Orders!D1059,Products!$A$2:$F$61,4,FALSE()),"")</f>
        <v>675</v>
      </c>
      <c r="H1059" s="47" t="n">
        <f aca="false">IF(G1059="","",(Orders!G1059-G1059)/Orders!G1059)</f>
        <v>0.296875</v>
      </c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</row>
    <row r="1060" customFormat="false" ht="15" hidden="false" customHeight="false" outlineLevel="0" collapsed="false">
      <c r="A1060" s="46" t="str">
        <f aca="false">Orders!A1060</f>
        <v>ORD-01059</v>
      </c>
      <c r="B1060" s="46" t="str">
        <f aca="false">PROPER(TRIM(Orders!K1060))</f>
        <v>Bengaluru</v>
      </c>
      <c r="C1060" s="46" t="str">
        <f aca="false">IFERROR(VLOOKUP(Orders!D1060,Products!$A$2:$F$61,3,FALSE()),"Not Found")</f>
        <v>Beauty</v>
      </c>
      <c r="D1060" s="46" t="str">
        <f aca="false">IFERROR(VLOOKUP(Orders!C1060,Customers!$A$2:$F$301,5,FALSE()),"Not Found")</f>
        <v>SMB</v>
      </c>
      <c r="E1060" s="46" t="n">
        <f aca="false">IFERROR(VLOOKUP(Orders!C1060,Customers!$A$2:$F$301,3,FALSE()),"Not Found")</f>
        <v>64</v>
      </c>
      <c r="F1060" s="46" t="str">
        <f aca="false">IFERROR(VLOOKUP(Orders!E1060,Sales_Reps!$A$2:$E$31,3,FALSE()),"Not Found")</f>
        <v>South</v>
      </c>
      <c r="G1060" s="46" t="n">
        <f aca="false">IFERROR(VLOOKUP(Orders!D1060,Products!$A$2:$F$61,4,FALSE()),"")</f>
        <v>647</v>
      </c>
      <c r="H1060" s="47" t="n">
        <f aca="false">IF(G1060="","",(Orders!G1060-G1060)/Orders!G1060)</f>
        <v>0.57987012987013</v>
      </c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</row>
    <row r="1061" customFormat="false" ht="15" hidden="false" customHeight="false" outlineLevel="0" collapsed="false">
      <c r="A1061" s="46" t="str">
        <f aca="false">Orders!A1061</f>
        <v>ORD-01060</v>
      </c>
      <c r="B1061" s="46" t="str">
        <f aca="false">PROPER(TRIM(Orders!K1061))</f>
        <v>Delhi</v>
      </c>
      <c r="C1061" s="46" t="str">
        <f aca="false">IFERROR(VLOOKUP(Orders!D1061,Products!$A$2:$F$61,3,FALSE()),"Not Found")</f>
        <v>Beauty</v>
      </c>
      <c r="D1061" s="46" t="str">
        <f aca="false">IFERROR(VLOOKUP(Orders!C1061,Customers!$A$2:$F$301,5,FALSE()),"Not Found")</f>
        <v>SMB</v>
      </c>
      <c r="E1061" s="46" t="n">
        <f aca="false">IFERROR(VLOOKUP(Orders!C1061,Customers!$A$2:$F$301,3,FALSE()),"Not Found")</f>
        <v>45</v>
      </c>
      <c r="F1061" s="46" t="str">
        <f aca="false">IFERROR(VLOOKUP(Orders!E1061,Sales_Reps!$A$2:$E$31,3,FALSE()),"Not Found")</f>
        <v>East</v>
      </c>
      <c r="G1061" s="46" t="n">
        <f aca="false">IFERROR(VLOOKUP(Orders!D1061,Products!$A$2:$F$61,4,FALSE()),"")</f>
        <v>1728</v>
      </c>
      <c r="H1061" s="47" t="n">
        <f aca="false">IF(G1061="","",(Orders!G1061-G1061)/Orders!G1061)</f>
        <v>0.484179104477612</v>
      </c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</row>
    <row r="1062" customFormat="false" ht="15" hidden="false" customHeight="false" outlineLevel="0" collapsed="false">
      <c r="A1062" s="46" t="str">
        <f aca="false">Orders!A1062</f>
        <v>ORD-01061</v>
      </c>
      <c r="B1062" s="46" t="str">
        <f aca="false">PROPER(TRIM(Orders!K1062))</f>
        <v>Hyderabad</v>
      </c>
      <c r="C1062" s="46" t="str">
        <f aca="false">IFERROR(VLOOKUP(Orders!D1062,Products!$A$2:$F$61,3,FALSE()),"Not Found")</f>
        <v>Sports</v>
      </c>
      <c r="D1062" s="46" t="str">
        <f aca="false">IFERROR(VLOOKUP(Orders!C1062,Customers!$A$2:$F$301,5,FALSE()),"Not Found")</f>
        <v>Retail</v>
      </c>
      <c r="E1062" s="46" t="n">
        <f aca="false">IFERROR(VLOOKUP(Orders!C1062,Customers!$A$2:$F$301,3,FALSE()),"Not Found")</f>
        <v>31</v>
      </c>
      <c r="F1062" s="46" t="str">
        <f aca="false">IFERROR(VLOOKUP(Orders!E1062,Sales_Reps!$A$2:$E$31,3,FALSE()),"Not Found")</f>
        <v>East</v>
      </c>
      <c r="G1062" s="46" t="n">
        <f aca="false">IFERROR(VLOOKUP(Orders!D1062,Products!$A$2:$F$61,4,FALSE()),"")</f>
        <v>2467</v>
      </c>
      <c r="H1062" s="47" t="n">
        <f aca="false">IF(G1062="","",(Orders!G1062-G1062)/Orders!G1062)</f>
        <v>0.284927536231884</v>
      </c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</row>
    <row r="1063" customFormat="false" ht="15" hidden="false" customHeight="false" outlineLevel="0" collapsed="false">
      <c r="A1063" s="46" t="str">
        <f aca="false">Orders!A1063</f>
        <v>ORD-01062</v>
      </c>
      <c r="B1063" s="46" t="str">
        <f aca="false">PROPER(TRIM(Orders!K1063))</f>
        <v>Hyderabad</v>
      </c>
      <c r="C1063" s="46" t="str">
        <f aca="false">IFERROR(VLOOKUP(Orders!D1063,Products!$A$2:$F$61,3,FALSE()),"Not Found")</f>
        <v>Sports</v>
      </c>
      <c r="D1063" s="46" t="str">
        <f aca="false">IFERROR(VLOOKUP(Orders!C1063,Customers!$A$2:$F$301,5,FALSE()),"Not Found")</f>
        <v>SMB</v>
      </c>
      <c r="E1063" s="46" t="n">
        <f aca="false">IFERROR(VLOOKUP(Orders!C1063,Customers!$A$2:$F$301,3,FALSE()),"Not Found")</f>
        <v>43</v>
      </c>
      <c r="F1063" s="46" t="str">
        <f aca="false">IFERROR(VLOOKUP(Orders!E1063,Sales_Reps!$A$2:$E$31,3,FALSE()),"Not Found")</f>
        <v>East</v>
      </c>
      <c r="G1063" s="46" t="n">
        <f aca="false">IFERROR(VLOOKUP(Orders!D1063,Products!$A$2:$F$61,4,FALSE()),"")</f>
        <v>705</v>
      </c>
      <c r="H1063" s="47" t="n">
        <f aca="false">IF(G1063="","",(Orders!G1063-G1063)/Orders!G1063)</f>
        <v>0.265625</v>
      </c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</row>
    <row r="1064" customFormat="false" ht="15" hidden="false" customHeight="false" outlineLevel="0" collapsed="false">
      <c r="A1064" s="46" t="str">
        <f aca="false">Orders!A1064</f>
        <v>ORD-01063</v>
      </c>
      <c r="B1064" s="46" t="str">
        <f aca="false">PROPER(TRIM(Orders!K1064))</f>
        <v>Bengaluru</v>
      </c>
      <c r="C1064" s="46" t="str">
        <f aca="false">IFERROR(VLOOKUP(Orders!D1064,Products!$A$2:$F$61,3,FALSE()),"Not Found")</f>
        <v>Apparel</v>
      </c>
      <c r="D1064" s="46" t="str">
        <f aca="false">IFERROR(VLOOKUP(Orders!C1064,Customers!$A$2:$F$301,5,FALSE()),"Not Found")</f>
        <v>Retail</v>
      </c>
      <c r="E1064" s="46" t="n">
        <f aca="false">IFERROR(VLOOKUP(Orders!C1064,Customers!$A$2:$F$301,3,FALSE()),"Not Found")</f>
        <v>55</v>
      </c>
      <c r="F1064" s="46" t="str">
        <f aca="false">IFERROR(VLOOKUP(Orders!E1064,Sales_Reps!$A$2:$E$31,3,FALSE()),"Not Found")</f>
        <v>South</v>
      </c>
      <c r="G1064" s="46" t="n">
        <f aca="false">IFERROR(VLOOKUP(Orders!D1064,Products!$A$2:$F$61,4,FALSE()),"")</f>
        <v>2611</v>
      </c>
      <c r="H1064" s="47" t="n">
        <f aca="false">IF(G1064="","",(Orders!G1064-G1064)/Orders!G1064)</f>
        <v>0.282692307692308</v>
      </c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</row>
    <row r="1065" customFormat="false" ht="15" hidden="false" customHeight="false" outlineLevel="0" collapsed="false">
      <c r="A1065" s="46" t="str">
        <f aca="false">Orders!A1065</f>
        <v>ORD-01064</v>
      </c>
      <c r="B1065" s="46" t="str">
        <f aca="false">PROPER(TRIM(Orders!K1065))</f>
        <v>Bengaluru</v>
      </c>
      <c r="C1065" s="46" t="str">
        <f aca="false">IFERROR(VLOOKUP(Orders!D1065,Products!$A$2:$F$61,3,FALSE()),"Not Found")</f>
        <v>Grocery</v>
      </c>
      <c r="D1065" s="46" t="str">
        <f aca="false">IFERROR(VLOOKUP(Orders!C1065,Customers!$A$2:$F$301,5,FALSE()),"Not Found")</f>
        <v>Retail</v>
      </c>
      <c r="E1065" s="46" t="n">
        <f aca="false">IFERROR(VLOOKUP(Orders!C1065,Customers!$A$2:$F$301,3,FALSE()),"Not Found")</f>
        <v>27</v>
      </c>
      <c r="F1065" s="46" t="str">
        <f aca="false">IFERROR(VLOOKUP(Orders!E1065,Sales_Reps!$A$2:$E$31,3,FALSE()),"Not Found")</f>
        <v>East</v>
      </c>
      <c r="G1065" s="46" t="n">
        <f aca="false">IFERROR(VLOOKUP(Orders!D1065,Products!$A$2:$F$61,4,FALSE()),"")</f>
        <v>1010</v>
      </c>
      <c r="H1065" s="47" t="n">
        <f aca="false">IF(G1065="","",(Orders!G1065-G1065)/Orders!G1065)</f>
        <v>0.542986425339367</v>
      </c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</row>
    <row r="1066" customFormat="false" ht="15" hidden="false" customHeight="false" outlineLevel="0" collapsed="false">
      <c r="A1066" s="46" t="str">
        <f aca="false">Orders!A1066</f>
        <v>ORD-01065</v>
      </c>
      <c r="B1066" s="46" t="str">
        <f aca="false">PROPER(TRIM(Orders!K1066))</f>
        <v>Delhi</v>
      </c>
      <c r="C1066" s="46" t="str">
        <f aca="false">IFERROR(VLOOKUP(Orders!D1066,Products!$A$2:$F$61,3,FALSE()),"Not Found")</f>
        <v>Home</v>
      </c>
      <c r="D1066" s="46" t="str">
        <f aca="false">IFERROR(VLOOKUP(Orders!C1066,Customers!$A$2:$F$301,5,FALSE()),"Not Found")</f>
        <v>Corporate</v>
      </c>
      <c r="E1066" s="46" t="n">
        <f aca="false">IFERROR(VLOOKUP(Orders!C1066,Customers!$A$2:$F$301,3,FALSE()),"Not Found")</f>
        <v>46</v>
      </c>
      <c r="F1066" s="46" t="str">
        <f aca="false">IFERROR(VLOOKUP(Orders!E1066,Sales_Reps!$A$2:$E$31,3,FALSE()),"Not Found")</f>
        <v>North</v>
      </c>
      <c r="G1066" s="46" t="n">
        <f aca="false">IFERROR(VLOOKUP(Orders!D1066,Products!$A$2:$F$61,4,FALSE()),"")</f>
        <v>2135</v>
      </c>
      <c r="H1066" s="47" t="n">
        <f aca="false">IF(G1066="","",(Orders!G1066-G1066)/Orders!G1066)</f>
        <v>0.427613941018767</v>
      </c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</row>
    <row r="1067" customFormat="false" ht="15" hidden="false" customHeight="false" outlineLevel="0" collapsed="false">
      <c r="A1067" s="46" t="str">
        <f aca="false">Orders!A1067</f>
        <v>ORD-01066</v>
      </c>
      <c r="B1067" s="46" t="str">
        <f aca="false">PROPER(TRIM(Orders!K1067))</f>
        <v>Pune</v>
      </c>
      <c r="C1067" s="46" t="str">
        <f aca="false">IFERROR(VLOOKUP(Orders!D1067,Products!$A$2:$F$61,3,FALSE()),"Not Found")</f>
        <v>Sports</v>
      </c>
      <c r="D1067" s="46" t="str">
        <f aca="false">IFERROR(VLOOKUP(Orders!C1067,Customers!$A$2:$F$301,5,FALSE()),"Not Found")</f>
        <v>Corporate</v>
      </c>
      <c r="E1067" s="46" t="n">
        <f aca="false">IFERROR(VLOOKUP(Orders!C1067,Customers!$A$2:$F$301,3,FALSE()),"Not Found")</f>
        <v>48</v>
      </c>
      <c r="F1067" s="46" t="str">
        <f aca="false">IFERROR(VLOOKUP(Orders!E1067,Sales_Reps!$A$2:$E$31,3,FALSE()),"Not Found")</f>
        <v>South</v>
      </c>
      <c r="G1067" s="46" t="n">
        <f aca="false">IFERROR(VLOOKUP(Orders!D1067,Products!$A$2:$F$61,4,FALSE()),"")</f>
        <v>2265</v>
      </c>
      <c r="H1067" s="47" t="n">
        <f aca="false">IF(G1067="","",(Orders!G1067-G1067)/Orders!G1067)</f>
        <v>0.581330868761553</v>
      </c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</row>
    <row r="1068" customFormat="false" ht="15" hidden="false" customHeight="false" outlineLevel="0" collapsed="false">
      <c r="A1068" s="46" t="str">
        <f aca="false">Orders!A1068</f>
        <v>ORD-01067</v>
      </c>
      <c r="B1068" s="46" t="str">
        <f aca="false">PROPER(TRIM(Orders!K1068))</f>
        <v>Mumbai</v>
      </c>
      <c r="C1068" s="46" t="str">
        <f aca="false">IFERROR(VLOOKUP(Orders!D1068,Products!$A$2:$F$61,3,FALSE()),"Not Found")</f>
        <v>Grocery</v>
      </c>
      <c r="D1068" s="46" t="str">
        <f aca="false">IFERROR(VLOOKUP(Orders!C1068,Customers!$A$2:$F$301,5,FALSE()),"Not Found")</f>
        <v>Corporate</v>
      </c>
      <c r="E1068" s="46" t="n">
        <f aca="false">IFERROR(VLOOKUP(Orders!C1068,Customers!$A$2:$F$301,3,FALSE()),"Not Found")</f>
        <v>62</v>
      </c>
      <c r="F1068" s="46" t="str">
        <f aca="false">IFERROR(VLOOKUP(Orders!E1068,Sales_Reps!$A$2:$E$31,3,FALSE()),"Not Found")</f>
        <v>East</v>
      </c>
      <c r="G1068" s="46" t="n">
        <f aca="false">IFERROR(VLOOKUP(Orders!D1068,Products!$A$2:$F$61,4,FALSE()),"")</f>
        <v>2436</v>
      </c>
      <c r="H1068" s="47" t="n">
        <f aca="false">IF(G1068="","",(Orders!G1068-G1068)/Orders!G1068)</f>
        <v>0.355555555555556</v>
      </c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</row>
    <row r="1069" customFormat="false" ht="15" hidden="false" customHeight="false" outlineLevel="0" collapsed="false">
      <c r="A1069" s="46" t="str">
        <f aca="false">Orders!A1069</f>
        <v>ORD-01068</v>
      </c>
      <c r="B1069" s="46" t="str">
        <f aca="false">PROPER(TRIM(Orders!K1069))</f>
        <v>Delhi</v>
      </c>
      <c r="C1069" s="46" t="str">
        <f aca="false">IFERROR(VLOOKUP(Orders!D1069,Products!$A$2:$F$61,3,FALSE()),"Not Found")</f>
        <v>Home</v>
      </c>
      <c r="D1069" s="46" t="str">
        <f aca="false">IFERROR(VLOOKUP(Orders!C1069,Customers!$A$2:$F$301,5,FALSE()),"Not Found")</f>
        <v>SMB</v>
      </c>
      <c r="E1069" s="46" t="n">
        <f aca="false">IFERROR(VLOOKUP(Orders!C1069,Customers!$A$2:$F$301,3,FALSE()),"Not Found")</f>
        <v>55</v>
      </c>
      <c r="F1069" s="46" t="str">
        <f aca="false">IFERROR(VLOOKUP(Orders!E1069,Sales_Reps!$A$2:$E$31,3,FALSE()),"Not Found")</f>
        <v>South</v>
      </c>
      <c r="G1069" s="46" t="n">
        <f aca="false">IFERROR(VLOOKUP(Orders!D1069,Products!$A$2:$F$61,4,FALSE()),"")</f>
        <v>1850</v>
      </c>
      <c r="H1069" s="47" t="n">
        <f aca="false">IF(G1069="","",(Orders!G1069-G1069)/Orders!G1069)</f>
        <v>0.598698481561822</v>
      </c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</row>
    <row r="1070" customFormat="false" ht="15" hidden="false" customHeight="false" outlineLevel="0" collapsed="false">
      <c r="A1070" s="46" t="str">
        <f aca="false">Orders!A1070</f>
        <v>ORD-01069</v>
      </c>
      <c r="B1070" s="46" t="str">
        <f aca="false">PROPER(TRIM(Orders!K1070))</f>
        <v>Chennai</v>
      </c>
      <c r="C1070" s="46" t="str">
        <f aca="false">IFERROR(VLOOKUP(Orders!D1070,Products!$A$2:$F$61,3,FALSE()),"Not Found")</f>
        <v>Electronics</v>
      </c>
      <c r="D1070" s="46" t="str">
        <f aca="false">IFERROR(VLOOKUP(Orders!C1070,Customers!$A$2:$F$301,5,FALSE()),"Not Found")</f>
        <v>Retail</v>
      </c>
      <c r="E1070" s="46" t="n">
        <f aca="false">IFERROR(VLOOKUP(Orders!C1070,Customers!$A$2:$F$301,3,FALSE()),"Not Found")</f>
        <v>61</v>
      </c>
      <c r="F1070" s="46" t="str">
        <f aca="false">IFERROR(VLOOKUP(Orders!E1070,Sales_Reps!$A$2:$E$31,3,FALSE()),"Not Found")</f>
        <v>West</v>
      </c>
      <c r="G1070" s="46" t="n">
        <f aca="false">IFERROR(VLOOKUP(Orders!D1070,Products!$A$2:$F$61,4,FALSE()),"")</f>
        <v>1149</v>
      </c>
      <c r="H1070" s="47" t="n">
        <f aca="false">IF(G1070="","",(Orders!G1070-G1070)/Orders!G1070)</f>
        <v>0.564772727272727</v>
      </c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</row>
    <row r="1071" customFormat="false" ht="15" hidden="false" customHeight="false" outlineLevel="0" collapsed="false">
      <c r="A1071" s="46" t="str">
        <f aca="false">Orders!A1071</f>
        <v>ORD-01070</v>
      </c>
      <c r="B1071" s="46" t="str">
        <f aca="false">PROPER(TRIM(Orders!K1071))</f>
        <v>Delhi</v>
      </c>
      <c r="C1071" s="46" t="str">
        <f aca="false">IFERROR(VLOOKUP(Orders!D1071,Products!$A$2:$F$61,3,FALSE()),"Not Found")</f>
        <v>Apparel</v>
      </c>
      <c r="D1071" s="46" t="str">
        <f aca="false">IFERROR(VLOOKUP(Orders!C1071,Customers!$A$2:$F$301,5,FALSE()),"Not Found")</f>
        <v>Retail</v>
      </c>
      <c r="E1071" s="46" t="n">
        <f aca="false">IFERROR(VLOOKUP(Orders!C1071,Customers!$A$2:$F$301,3,FALSE()),"Not Found")</f>
        <v>53</v>
      </c>
      <c r="F1071" s="46" t="str">
        <f aca="false">IFERROR(VLOOKUP(Orders!E1071,Sales_Reps!$A$2:$E$31,3,FALSE()),"Not Found")</f>
        <v>South</v>
      </c>
      <c r="G1071" s="46" t="n">
        <f aca="false">IFERROR(VLOOKUP(Orders!D1071,Products!$A$2:$F$61,4,FALSE()),"")</f>
        <v>2509</v>
      </c>
      <c r="H1071" s="47" t="n">
        <f aca="false">IF(G1071="","",(Orders!G1071-G1071)/Orders!G1071)</f>
        <v>0.306906077348066</v>
      </c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</row>
    <row r="1072" customFormat="false" ht="15" hidden="false" customHeight="false" outlineLevel="0" collapsed="false">
      <c r="A1072" s="46" t="str">
        <f aca="false">Orders!A1072</f>
        <v>ORD-01071</v>
      </c>
      <c r="B1072" s="46" t="str">
        <f aca="false">PROPER(TRIM(Orders!K1072))</f>
        <v>Delhi</v>
      </c>
      <c r="C1072" s="46" t="str">
        <f aca="false">IFERROR(VLOOKUP(Orders!D1072,Products!$A$2:$F$61,3,FALSE()),"Not Found")</f>
        <v>Sports</v>
      </c>
      <c r="D1072" s="46" t="str">
        <f aca="false">IFERROR(VLOOKUP(Orders!C1072,Customers!$A$2:$F$301,5,FALSE()),"Not Found")</f>
        <v>Retail</v>
      </c>
      <c r="E1072" s="46" t="n">
        <f aca="false">IFERROR(VLOOKUP(Orders!C1072,Customers!$A$2:$F$301,3,FALSE()),"Not Found")</f>
        <v>63</v>
      </c>
      <c r="F1072" s="46" t="str">
        <f aca="false">IFERROR(VLOOKUP(Orders!E1072,Sales_Reps!$A$2:$E$31,3,FALSE()),"Not Found")</f>
        <v>East</v>
      </c>
      <c r="G1072" s="46" t="n">
        <f aca="false">IFERROR(VLOOKUP(Orders!D1072,Products!$A$2:$F$61,4,FALSE()),"")</f>
        <v>302</v>
      </c>
      <c r="H1072" s="47" t="n">
        <f aca="false">IF(G1072="","",(Orders!G1072-G1072)/Orders!G1072)</f>
        <v>0.357446808510638</v>
      </c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</row>
    <row r="1073" customFormat="false" ht="15" hidden="false" customHeight="false" outlineLevel="0" collapsed="false">
      <c r="A1073" s="46" t="str">
        <f aca="false">Orders!A1073</f>
        <v>ORD-01072</v>
      </c>
      <c r="B1073" s="46" t="str">
        <f aca="false">PROPER(TRIM(Orders!K1073))</f>
        <v>Delhi</v>
      </c>
      <c r="C1073" s="46" t="str">
        <f aca="false">IFERROR(VLOOKUP(Orders!D1073,Products!$A$2:$F$61,3,FALSE()),"Not Found")</f>
        <v>Electronics</v>
      </c>
      <c r="D1073" s="46" t="str">
        <f aca="false">IFERROR(VLOOKUP(Orders!C1073,Customers!$A$2:$F$301,5,FALSE()),"Not Found")</f>
        <v>Retail</v>
      </c>
      <c r="E1073" s="46" t="n">
        <f aca="false">IFERROR(VLOOKUP(Orders!C1073,Customers!$A$2:$F$301,3,FALSE()),"Not Found")</f>
        <v>54</v>
      </c>
      <c r="F1073" s="46" t="str">
        <f aca="false">IFERROR(VLOOKUP(Orders!E1073,Sales_Reps!$A$2:$E$31,3,FALSE()),"Not Found")</f>
        <v>South</v>
      </c>
      <c r="G1073" s="46" t="n">
        <f aca="false">IFERROR(VLOOKUP(Orders!D1073,Products!$A$2:$F$61,4,FALSE()),"")</f>
        <v>2405</v>
      </c>
      <c r="H1073" s="47" t="n">
        <f aca="false">IF(G1073="","",(Orders!G1073-G1073)/Orders!G1073)</f>
        <v>0.548780487804878</v>
      </c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</row>
    <row r="1074" customFormat="false" ht="15" hidden="false" customHeight="false" outlineLevel="0" collapsed="false">
      <c r="A1074" s="46" t="str">
        <f aca="false">Orders!A1074</f>
        <v>ORD-01073</v>
      </c>
      <c r="B1074" s="46" t="str">
        <f aca="false">PROPER(TRIM(Orders!K1074))</f>
        <v>Chennai</v>
      </c>
      <c r="C1074" s="46" t="str">
        <f aca="false">IFERROR(VLOOKUP(Orders!D1074,Products!$A$2:$F$61,3,FALSE()),"Not Found")</f>
        <v>Beauty</v>
      </c>
      <c r="D1074" s="46" t="str">
        <f aca="false">IFERROR(VLOOKUP(Orders!C1074,Customers!$A$2:$F$301,5,FALSE()),"Not Found")</f>
        <v>SMB</v>
      </c>
      <c r="E1074" s="46" t="n">
        <f aca="false">IFERROR(VLOOKUP(Orders!C1074,Customers!$A$2:$F$301,3,FALSE()),"Not Found")</f>
        <v>39</v>
      </c>
      <c r="F1074" s="46" t="str">
        <f aca="false">IFERROR(VLOOKUP(Orders!E1074,Sales_Reps!$A$2:$E$31,3,FALSE()),"Not Found")</f>
        <v>South</v>
      </c>
      <c r="G1074" s="46" t="n">
        <f aca="false">IFERROR(VLOOKUP(Orders!D1074,Products!$A$2:$F$61,4,FALSE()),"")</f>
        <v>2617</v>
      </c>
      <c r="H1074" s="47" t="n">
        <f aca="false">IF(G1074="","",(Orders!G1074-G1074)/Orders!G1074)</f>
        <v>0.569572368421053</v>
      </c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</row>
    <row r="1075" customFormat="false" ht="15" hidden="false" customHeight="false" outlineLevel="0" collapsed="false">
      <c r="A1075" s="46" t="str">
        <f aca="false">Orders!A1075</f>
        <v>ORD-01074</v>
      </c>
      <c r="B1075" s="46" t="str">
        <f aca="false">PROPER(TRIM(Orders!K1075))</f>
        <v>Hyderabad</v>
      </c>
      <c r="C1075" s="46" t="str">
        <f aca="false">IFERROR(VLOOKUP(Orders!D1075,Products!$A$2:$F$61,3,FALSE()),"Not Found")</f>
        <v>Beauty</v>
      </c>
      <c r="D1075" s="46" t="str">
        <f aca="false">IFERROR(VLOOKUP(Orders!C1075,Customers!$A$2:$F$301,5,FALSE()),"Not Found")</f>
        <v>SMB</v>
      </c>
      <c r="E1075" s="46" t="n">
        <f aca="false">IFERROR(VLOOKUP(Orders!C1075,Customers!$A$2:$F$301,3,FALSE()),"Not Found")</f>
        <v>40</v>
      </c>
      <c r="F1075" s="46" t="str">
        <f aca="false">IFERROR(VLOOKUP(Orders!E1075,Sales_Reps!$A$2:$E$31,3,FALSE()),"Not Found")</f>
        <v>West</v>
      </c>
      <c r="G1075" s="46" t="n">
        <f aca="false">IFERROR(VLOOKUP(Orders!D1075,Products!$A$2:$F$61,4,FALSE()),"")</f>
        <v>1728</v>
      </c>
      <c r="H1075" s="47" t="n">
        <f aca="false">IF(G1075="","",(Orders!G1075-G1075)/Orders!G1075)</f>
        <v>0.484179104477612</v>
      </c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</row>
    <row r="1076" customFormat="false" ht="15" hidden="false" customHeight="false" outlineLevel="0" collapsed="false">
      <c r="A1076" s="46" t="str">
        <f aca="false">Orders!A1076</f>
        <v>ORD-01075</v>
      </c>
      <c r="B1076" s="46" t="str">
        <f aca="false">PROPER(TRIM(Orders!K1076))</f>
        <v>Chennai</v>
      </c>
      <c r="C1076" s="46" t="str">
        <f aca="false">IFERROR(VLOOKUP(Orders!D1076,Products!$A$2:$F$61,3,FALSE()),"Not Found")</f>
        <v>Sports</v>
      </c>
      <c r="D1076" s="46" t="str">
        <f aca="false">IFERROR(VLOOKUP(Orders!C1076,Customers!$A$2:$F$301,5,FALSE()),"Not Found")</f>
        <v>Not Found</v>
      </c>
      <c r="E1076" s="46" t="str">
        <f aca="false">IFERROR(VLOOKUP(Orders!C1076,Customers!$A$2:$F$301,3,FALSE()),"Not Found")</f>
        <v>Not Found</v>
      </c>
      <c r="F1076" s="46" t="str">
        <f aca="false">IFERROR(VLOOKUP(Orders!E1076,Sales_Reps!$A$2:$E$31,3,FALSE()),"Not Found")</f>
        <v>West</v>
      </c>
      <c r="G1076" s="46" t="n">
        <f aca="false">IFERROR(VLOOKUP(Orders!D1076,Products!$A$2:$F$61,4,FALSE()),"")</f>
        <v>2827</v>
      </c>
      <c r="H1076" s="47" t="n">
        <f aca="false">IF(G1076="","",(Orders!G1076-G1076)/Orders!G1076)</f>
        <v>0.592651296829971</v>
      </c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</row>
    <row r="1077" customFormat="false" ht="15" hidden="false" customHeight="false" outlineLevel="0" collapsed="false">
      <c r="A1077" s="46" t="str">
        <f aca="false">Orders!A1077</f>
        <v>ORD-01076</v>
      </c>
      <c r="B1077" s="46" t="str">
        <f aca="false">PROPER(TRIM(Orders!K1077))</f>
        <v>Hyderabad</v>
      </c>
      <c r="C1077" s="46" t="str">
        <f aca="false">IFERROR(VLOOKUP(Orders!D1077,Products!$A$2:$F$61,3,FALSE()),"Not Found")</f>
        <v>Home</v>
      </c>
      <c r="D1077" s="46" t="str">
        <f aca="false">IFERROR(VLOOKUP(Orders!C1077,Customers!$A$2:$F$301,5,FALSE()),"Not Found")</f>
        <v>Corporate</v>
      </c>
      <c r="E1077" s="46" t="n">
        <f aca="false">IFERROR(VLOOKUP(Orders!C1077,Customers!$A$2:$F$301,3,FALSE()),"Not Found")</f>
        <v>46</v>
      </c>
      <c r="F1077" s="46" t="str">
        <f aca="false">IFERROR(VLOOKUP(Orders!E1077,Sales_Reps!$A$2:$E$31,3,FALSE()),"Not Found")</f>
        <v>North</v>
      </c>
      <c r="G1077" s="46" t="n">
        <f aca="false">IFERROR(VLOOKUP(Orders!D1077,Products!$A$2:$F$61,4,FALSE()),"")</f>
        <v>288</v>
      </c>
      <c r="H1077" s="47" t="n">
        <f aca="false">IF(G1077="","",(Orders!G1077-G1077)/Orders!G1077)</f>
        <v>0.221621621621622</v>
      </c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</row>
    <row r="1078" customFormat="false" ht="15" hidden="false" customHeight="false" outlineLevel="0" collapsed="false">
      <c r="A1078" s="46" t="str">
        <f aca="false">Orders!A1078</f>
        <v>ORD-01077</v>
      </c>
      <c r="B1078" s="46" t="str">
        <f aca="false">PROPER(TRIM(Orders!K1078))</f>
        <v>Bengaluru</v>
      </c>
      <c r="C1078" s="46" t="str">
        <f aca="false">IFERROR(VLOOKUP(Orders!D1078,Products!$A$2:$F$61,3,FALSE()),"Not Found")</f>
        <v>Home</v>
      </c>
      <c r="D1078" s="46" t="str">
        <f aca="false">IFERROR(VLOOKUP(Orders!C1078,Customers!$A$2:$F$301,5,FALSE()),"Not Found")</f>
        <v>SMB</v>
      </c>
      <c r="E1078" s="46" t="n">
        <f aca="false">IFERROR(VLOOKUP(Orders!C1078,Customers!$A$2:$F$301,3,FALSE()),"Not Found")</f>
        <v>49</v>
      </c>
      <c r="F1078" s="46" t="str">
        <f aca="false">IFERROR(VLOOKUP(Orders!E1078,Sales_Reps!$A$2:$E$31,3,FALSE()),"Not Found")</f>
        <v>East</v>
      </c>
      <c r="G1078" s="46" t="n">
        <f aca="false">IFERROR(VLOOKUP(Orders!D1078,Products!$A$2:$F$61,4,FALSE()),"")</f>
        <v>2549</v>
      </c>
      <c r="H1078" s="47" t="n">
        <f aca="false">IF(G1078="","",(Orders!G1078-G1078)/Orders!G1078)</f>
        <v>0.535701275045537</v>
      </c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</row>
    <row r="1079" customFormat="false" ht="15" hidden="false" customHeight="false" outlineLevel="0" collapsed="false">
      <c r="A1079" s="46" t="str">
        <f aca="false">Orders!A1079</f>
        <v>ORD-01078</v>
      </c>
      <c r="B1079" s="46" t="str">
        <f aca="false">PROPER(TRIM(Orders!K1079))</f>
        <v>Mumbai</v>
      </c>
      <c r="C1079" s="46" t="str">
        <f aca="false">IFERROR(VLOOKUP(Orders!D1079,Products!$A$2:$F$61,3,FALSE()),"Not Found")</f>
        <v>Grocery</v>
      </c>
      <c r="D1079" s="46" t="str">
        <f aca="false">IFERROR(VLOOKUP(Orders!C1079,Customers!$A$2:$F$301,5,FALSE()),"Not Found")</f>
        <v>Retail</v>
      </c>
      <c r="E1079" s="46" t="n">
        <f aca="false">IFERROR(VLOOKUP(Orders!C1079,Customers!$A$2:$F$301,3,FALSE()),"Not Found")</f>
        <v>33</v>
      </c>
      <c r="F1079" s="46" t="str">
        <f aca="false">IFERROR(VLOOKUP(Orders!E1079,Sales_Reps!$A$2:$E$31,3,FALSE()),"Not Found")</f>
        <v>South</v>
      </c>
      <c r="G1079" s="46" t="n">
        <f aca="false">IFERROR(VLOOKUP(Orders!D1079,Products!$A$2:$F$61,4,FALSE()),"")</f>
        <v>2214</v>
      </c>
      <c r="H1079" s="47" t="n">
        <f aca="false">IF(G1079="","",(Orders!G1079-G1079)/Orders!G1079)</f>
        <v>0.395081967213115</v>
      </c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</row>
    <row r="1080" customFormat="false" ht="15" hidden="false" customHeight="false" outlineLevel="0" collapsed="false">
      <c r="A1080" s="46" t="str">
        <f aca="false">Orders!A1080</f>
        <v>ORD-01079</v>
      </c>
      <c r="B1080" s="46" t="str">
        <f aca="false">PROPER(TRIM(Orders!K1080))</f>
        <v>Pune</v>
      </c>
      <c r="C1080" s="46" t="str">
        <f aca="false">IFERROR(VLOOKUP(Orders!D1080,Products!$A$2:$F$61,3,FALSE()),"Not Found")</f>
        <v>Electronics</v>
      </c>
      <c r="D1080" s="46" t="str">
        <f aca="false">IFERROR(VLOOKUP(Orders!C1080,Customers!$A$2:$F$301,5,FALSE()),"Not Found")</f>
        <v>Retail</v>
      </c>
      <c r="E1080" s="46" t="n">
        <f aca="false">IFERROR(VLOOKUP(Orders!C1080,Customers!$A$2:$F$301,3,FALSE()),"Not Found")</f>
        <v>50</v>
      </c>
      <c r="F1080" s="46" t="str">
        <f aca="false">IFERROR(VLOOKUP(Orders!E1080,Sales_Reps!$A$2:$E$31,3,FALSE()),"Not Found")</f>
        <v>West</v>
      </c>
      <c r="G1080" s="46" t="n">
        <f aca="false">IFERROR(VLOOKUP(Orders!D1080,Products!$A$2:$F$61,4,FALSE()),"")</f>
        <v>128</v>
      </c>
      <c r="H1080" s="47" t="n">
        <f aca="false">IF(G1080="","",(Orders!G1080-G1080)/Orders!G1080)</f>
        <v>0.573333333333333</v>
      </c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</row>
    <row r="1081" customFormat="false" ht="15" hidden="false" customHeight="false" outlineLevel="0" collapsed="false">
      <c r="A1081" s="46" t="str">
        <f aca="false">Orders!A1081</f>
        <v>ORD-01080</v>
      </c>
      <c r="B1081" s="46" t="str">
        <f aca="false">PROPER(TRIM(Orders!K1081))</f>
        <v>Pune</v>
      </c>
      <c r="C1081" s="46" t="str">
        <f aca="false">IFERROR(VLOOKUP(Orders!D1081,Products!$A$2:$F$61,3,FALSE()),"Not Found")</f>
        <v>Electronics</v>
      </c>
      <c r="D1081" s="46" t="str">
        <f aca="false">IFERROR(VLOOKUP(Orders!C1081,Customers!$A$2:$F$301,5,FALSE()),"Not Found")</f>
        <v>Retail</v>
      </c>
      <c r="E1081" s="46" t="n">
        <f aca="false">IFERROR(VLOOKUP(Orders!C1081,Customers!$A$2:$F$301,3,FALSE()),"Not Found")</f>
        <v>63</v>
      </c>
      <c r="F1081" s="46" t="str">
        <f aca="false">IFERROR(VLOOKUP(Orders!E1081,Sales_Reps!$A$2:$E$31,3,FALSE()),"Not Found")</f>
        <v>South</v>
      </c>
      <c r="G1081" s="46" t="n">
        <f aca="false">IFERROR(VLOOKUP(Orders!D1081,Products!$A$2:$F$61,4,FALSE()),"")</f>
        <v>128</v>
      </c>
      <c r="H1081" s="47" t="n">
        <f aca="false">IF(G1081="","",(Orders!G1081-G1081)/Orders!G1081)</f>
        <v>0.573333333333333</v>
      </c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</row>
    <row r="1082" customFormat="false" ht="15" hidden="false" customHeight="false" outlineLevel="0" collapsed="false">
      <c r="A1082" s="46" t="str">
        <f aca="false">Orders!A1082</f>
        <v>ORD-01081</v>
      </c>
      <c r="B1082" s="46" t="str">
        <f aca="false">PROPER(TRIM(Orders!K1082))</f>
        <v>Chennai</v>
      </c>
      <c r="C1082" s="46" t="str">
        <f aca="false">IFERROR(VLOOKUP(Orders!D1082,Products!$A$2:$F$61,3,FALSE()),"Not Found")</f>
        <v>Beauty</v>
      </c>
      <c r="D1082" s="46" t="str">
        <f aca="false">IFERROR(VLOOKUP(Orders!C1082,Customers!$A$2:$F$301,5,FALSE()),"Not Found")</f>
        <v>Retail</v>
      </c>
      <c r="E1082" s="46" t="n">
        <f aca="false">IFERROR(VLOOKUP(Orders!C1082,Customers!$A$2:$F$301,3,FALSE()),"Not Found")</f>
        <v>39</v>
      </c>
      <c r="F1082" s="46" t="str">
        <f aca="false">IFERROR(VLOOKUP(Orders!E1082,Sales_Reps!$A$2:$E$31,3,FALSE()),"Not Found")</f>
        <v>South</v>
      </c>
      <c r="G1082" s="46" t="n">
        <f aca="false">IFERROR(VLOOKUP(Orders!D1082,Products!$A$2:$F$61,4,FALSE()),"")</f>
        <v>675</v>
      </c>
      <c r="H1082" s="47" t="n">
        <f aca="false">IF(G1082="","",(Orders!G1082-G1082)/Orders!G1082)</f>
        <v>0.296875</v>
      </c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</row>
    <row r="1083" customFormat="false" ht="15" hidden="false" customHeight="false" outlineLevel="0" collapsed="false">
      <c r="A1083" s="46" t="str">
        <f aca="false">Orders!A1083</f>
        <v>ORD-01082</v>
      </c>
      <c r="B1083" s="46" t="str">
        <f aca="false">PROPER(TRIM(Orders!K1083))</f>
        <v>Mumbai</v>
      </c>
      <c r="C1083" s="46" t="str">
        <f aca="false">IFERROR(VLOOKUP(Orders!D1083,Products!$A$2:$F$61,3,FALSE()),"Not Found")</f>
        <v>Grocery</v>
      </c>
      <c r="D1083" s="46" t="str">
        <f aca="false">IFERROR(VLOOKUP(Orders!C1083,Customers!$A$2:$F$301,5,FALSE()),"Not Found")</f>
        <v>Retail</v>
      </c>
      <c r="E1083" s="46" t="n">
        <f aca="false">IFERROR(VLOOKUP(Orders!C1083,Customers!$A$2:$F$301,3,FALSE()),"Not Found")</f>
        <v>41</v>
      </c>
      <c r="F1083" s="46" t="str">
        <f aca="false">IFERROR(VLOOKUP(Orders!E1083,Sales_Reps!$A$2:$E$31,3,FALSE()),"Not Found")</f>
        <v>West</v>
      </c>
      <c r="G1083" s="46" t="n">
        <f aca="false">IFERROR(VLOOKUP(Orders!D1083,Products!$A$2:$F$61,4,FALSE()),"")</f>
        <v>1412</v>
      </c>
      <c r="H1083" s="47" t="n">
        <f aca="false">IF(G1083="","",(Orders!G1083-G1083)/Orders!G1083)</f>
        <v>0.377973568281938</v>
      </c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</row>
    <row r="1084" customFormat="false" ht="15" hidden="false" customHeight="false" outlineLevel="0" collapsed="false">
      <c r="A1084" s="46" t="str">
        <f aca="false">Orders!A1084</f>
        <v>ORD-01083</v>
      </c>
      <c r="B1084" s="46" t="str">
        <f aca="false">PROPER(TRIM(Orders!K1084))</f>
        <v>Bengaluru</v>
      </c>
      <c r="C1084" s="46" t="str">
        <f aca="false">IFERROR(VLOOKUP(Orders!D1084,Products!$A$2:$F$61,3,FALSE()),"Not Found")</f>
        <v>Home</v>
      </c>
      <c r="D1084" s="46" t="str">
        <f aca="false">IFERROR(VLOOKUP(Orders!C1084,Customers!$A$2:$F$301,5,FALSE()),"Not Found")</f>
        <v>Corporate</v>
      </c>
      <c r="E1084" s="46" t="n">
        <f aca="false">IFERROR(VLOOKUP(Orders!C1084,Customers!$A$2:$F$301,3,FALSE()),"Not Found")</f>
        <v>59</v>
      </c>
      <c r="F1084" s="46" t="str">
        <f aca="false">IFERROR(VLOOKUP(Orders!E1084,Sales_Reps!$A$2:$E$31,3,FALSE()),"Not Found")</f>
        <v>West</v>
      </c>
      <c r="G1084" s="46" t="n">
        <f aca="false">IFERROR(VLOOKUP(Orders!D1084,Products!$A$2:$F$61,4,FALSE()),"")</f>
        <v>1143</v>
      </c>
      <c r="H1084" s="47" t="n">
        <f aca="false">IF(G1084="","",(Orders!G1084-G1084)/Orders!G1084)</f>
        <v>0.436945812807882</v>
      </c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</row>
    <row r="1085" customFormat="false" ht="15" hidden="false" customHeight="false" outlineLevel="0" collapsed="false">
      <c r="A1085" s="46" t="str">
        <f aca="false">Orders!A1085</f>
        <v>ORD-01084</v>
      </c>
      <c r="B1085" s="46" t="str">
        <f aca="false">PROPER(TRIM(Orders!K1085))</f>
        <v>Mumbai</v>
      </c>
      <c r="C1085" s="46" t="str">
        <f aca="false">IFERROR(VLOOKUP(Orders!D1085,Products!$A$2:$F$61,3,FALSE()),"Not Found")</f>
        <v>Home</v>
      </c>
      <c r="D1085" s="46" t="str">
        <f aca="false">IFERROR(VLOOKUP(Orders!C1085,Customers!$A$2:$F$301,5,FALSE()),"Not Found")</f>
        <v>Retail</v>
      </c>
      <c r="E1085" s="46" t="n">
        <f aca="false">IFERROR(VLOOKUP(Orders!C1085,Customers!$A$2:$F$301,3,FALSE()),"Not Found")</f>
        <v>37</v>
      </c>
      <c r="F1085" s="46" t="str">
        <f aca="false">IFERROR(VLOOKUP(Orders!E1085,Sales_Reps!$A$2:$E$31,3,FALSE()),"Not Found")</f>
        <v>East</v>
      </c>
      <c r="G1085" s="46" t="n">
        <f aca="false">IFERROR(VLOOKUP(Orders!D1085,Products!$A$2:$F$61,4,FALSE()),"")</f>
        <v>519</v>
      </c>
      <c r="H1085" s="47" t="n">
        <f aca="false">IF(G1085="","",(Orders!G1085-G1085)/Orders!G1085)</f>
        <v>0.519444444444445</v>
      </c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</row>
    <row r="1086" customFormat="false" ht="15" hidden="false" customHeight="false" outlineLevel="0" collapsed="false">
      <c r="A1086" s="46" t="str">
        <f aca="false">Orders!A1086</f>
        <v>ORD-01085</v>
      </c>
      <c r="B1086" s="46" t="str">
        <f aca="false">PROPER(TRIM(Orders!K1086))</f>
        <v>Pune</v>
      </c>
      <c r="C1086" s="46" t="str">
        <f aca="false">IFERROR(VLOOKUP(Orders!D1086,Products!$A$2:$F$61,3,FALSE()),"Not Found")</f>
        <v>Sports</v>
      </c>
      <c r="D1086" s="46" t="str">
        <f aca="false">IFERROR(VLOOKUP(Orders!C1086,Customers!$A$2:$F$301,5,FALSE()),"Not Found")</f>
        <v>Retail</v>
      </c>
      <c r="E1086" s="46" t="n">
        <f aca="false">IFERROR(VLOOKUP(Orders!C1086,Customers!$A$2:$F$301,3,FALSE()),"Not Found")</f>
        <v>50</v>
      </c>
      <c r="F1086" s="46" t="str">
        <f aca="false">IFERROR(VLOOKUP(Orders!E1086,Sales_Reps!$A$2:$E$31,3,FALSE()),"Not Found")</f>
        <v>West</v>
      </c>
      <c r="G1086" s="46" t="n">
        <f aca="false">IFERROR(VLOOKUP(Orders!D1086,Products!$A$2:$F$61,4,FALSE()),"")</f>
        <v>2028</v>
      </c>
      <c r="H1086" s="47" t="n">
        <f aca="false">IF(G1086="","",(Orders!G1086-G1086)/Orders!G1086)</f>
        <v>0.290909090909091</v>
      </c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</row>
    <row r="1087" customFormat="false" ht="15" hidden="false" customHeight="false" outlineLevel="0" collapsed="false">
      <c r="A1087" s="46" t="str">
        <f aca="false">Orders!A1087</f>
        <v>ORD-01086</v>
      </c>
      <c r="B1087" s="46" t="str">
        <f aca="false">PROPER(TRIM(Orders!K1087))</f>
        <v>Delhi</v>
      </c>
      <c r="C1087" s="46" t="str">
        <f aca="false">IFERROR(VLOOKUP(Orders!D1087,Products!$A$2:$F$61,3,FALSE()),"Not Found")</f>
        <v>Grocery</v>
      </c>
      <c r="D1087" s="46" t="str">
        <f aca="false">IFERROR(VLOOKUP(Orders!C1087,Customers!$A$2:$F$301,5,FALSE()),"Not Found")</f>
        <v>Corporate</v>
      </c>
      <c r="E1087" s="46" t="n">
        <f aca="false">IFERROR(VLOOKUP(Orders!C1087,Customers!$A$2:$F$301,3,FALSE()),"Not Found")</f>
        <v>46</v>
      </c>
      <c r="F1087" s="46" t="str">
        <f aca="false">IFERROR(VLOOKUP(Orders!E1087,Sales_Reps!$A$2:$E$31,3,FALSE()),"Not Found")</f>
        <v>South</v>
      </c>
      <c r="G1087" s="46" t="n">
        <f aca="false">IFERROR(VLOOKUP(Orders!D1087,Products!$A$2:$F$61,4,FALSE()),"")</f>
        <v>1203</v>
      </c>
      <c r="H1087" s="47" t="n">
        <f aca="false">IF(G1087="","",(Orders!G1087-G1087)/Orders!G1087)</f>
        <v>0.470044052863436</v>
      </c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</row>
    <row r="1088" customFormat="false" ht="15" hidden="false" customHeight="false" outlineLevel="0" collapsed="false">
      <c r="A1088" s="46" t="str">
        <f aca="false">Orders!A1088</f>
        <v>ORD-01087</v>
      </c>
      <c r="B1088" s="46" t="str">
        <f aca="false">PROPER(TRIM(Orders!K1088))</f>
        <v>Delhi</v>
      </c>
      <c r="C1088" s="46" t="str">
        <f aca="false">IFERROR(VLOOKUP(Orders!D1088,Products!$A$2:$F$61,3,FALSE()),"Not Found")</f>
        <v>Apparel</v>
      </c>
      <c r="D1088" s="46" t="str">
        <f aca="false">IFERROR(VLOOKUP(Orders!C1088,Customers!$A$2:$F$301,5,FALSE()),"Not Found")</f>
        <v>Retail</v>
      </c>
      <c r="E1088" s="46" t="n">
        <f aca="false">IFERROR(VLOOKUP(Orders!C1088,Customers!$A$2:$F$301,3,FALSE()),"Not Found")</f>
        <v>49</v>
      </c>
      <c r="F1088" s="46" t="str">
        <f aca="false">IFERROR(VLOOKUP(Orders!E1088,Sales_Reps!$A$2:$E$31,3,FALSE()),"Not Found")</f>
        <v>West</v>
      </c>
      <c r="G1088" s="46" t="n">
        <f aca="false">IFERROR(VLOOKUP(Orders!D1088,Products!$A$2:$F$61,4,FALSE()),"")</f>
        <v>1962</v>
      </c>
      <c r="H1088" s="47" t="n">
        <f aca="false">IF(G1088="","",(Orders!G1088-G1088)/Orders!G1088)</f>
        <v>0.278676470588235</v>
      </c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</row>
    <row r="1089" customFormat="false" ht="15" hidden="false" customHeight="false" outlineLevel="0" collapsed="false">
      <c r="A1089" s="46" t="str">
        <f aca="false">Orders!A1089</f>
        <v>ORD-01088</v>
      </c>
      <c r="B1089" s="46" t="str">
        <f aca="false">PROPER(TRIM(Orders!K1089))</f>
        <v>Bengaluru</v>
      </c>
      <c r="C1089" s="46" t="str">
        <f aca="false">IFERROR(VLOOKUP(Orders!D1089,Products!$A$2:$F$61,3,FALSE()),"Not Found")</f>
        <v>Electronics</v>
      </c>
      <c r="D1089" s="46" t="str">
        <f aca="false">IFERROR(VLOOKUP(Orders!C1089,Customers!$A$2:$F$301,5,FALSE()),"Not Found")</f>
        <v>Corporate</v>
      </c>
      <c r="E1089" s="46" t="n">
        <f aca="false">IFERROR(VLOOKUP(Orders!C1089,Customers!$A$2:$F$301,3,FALSE()),"Not Found")</f>
        <v>55</v>
      </c>
      <c r="F1089" s="46" t="str">
        <f aca="false">IFERROR(VLOOKUP(Orders!E1089,Sales_Reps!$A$2:$E$31,3,FALSE()),"Not Found")</f>
        <v>North</v>
      </c>
      <c r="G1089" s="46" t="n">
        <f aca="false">IFERROR(VLOOKUP(Orders!D1089,Products!$A$2:$F$61,4,FALSE()),"")</f>
        <v>1559</v>
      </c>
      <c r="H1089" s="47" t="n">
        <f aca="false">IF(G1089="","",(Orders!G1089-G1089)/Orders!G1089)</f>
        <v>0.597157622739018</v>
      </c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</row>
    <row r="1090" customFormat="false" ht="15" hidden="false" customHeight="false" outlineLevel="0" collapsed="false">
      <c r="A1090" s="46" t="str">
        <f aca="false">Orders!A1090</f>
        <v>ORD-01089</v>
      </c>
      <c r="B1090" s="46" t="str">
        <f aca="false">PROPER(TRIM(Orders!K1090))</f>
        <v>Hyderabad</v>
      </c>
      <c r="C1090" s="46" t="str">
        <f aca="false">IFERROR(VLOOKUP(Orders!D1090,Products!$A$2:$F$61,3,FALSE()),"Not Found")</f>
        <v>Apparel</v>
      </c>
      <c r="D1090" s="46" t="str">
        <f aca="false">IFERROR(VLOOKUP(Orders!C1090,Customers!$A$2:$F$301,5,FALSE()),"Not Found")</f>
        <v>Corporate</v>
      </c>
      <c r="E1090" s="46" t="n">
        <f aca="false">IFERROR(VLOOKUP(Orders!C1090,Customers!$A$2:$F$301,3,FALSE()),"Not Found")</f>
        <v>60</v>
      </c>
      <c r="F1090" s="46" t="str">
        <f aca="false">IFERROR(VLOOKUP(Orders!E1090,Sales_Reps!$A$2:$E$31,3,FALSE()),"Not Found")</f>
        <v>East</v>
      </c>
      <c r="G1090" s="46" t="n">
        <f aca="false">IFERROR(VLOOKUP(Orders!D1090,Products!$A$2:$F$61,4,FALSE()),"")</f>
        <v>1748</v>
      </c>
      <c r="H1090" s="47" t="n">
        <f aca="false">IF(G1090="","",(Orders!G1090-G1090)/Orders!G1090)</f>
        <v>0.493333333333333</v>
      </c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</row>
    <row r="1091" customFormat="false" ht="15" hidden="false" customHeight="false" outlineLevel="0" collapsed="false">
      <c r="A1091" s="46" t="str">
        <f aca="false">Orders!A1091</f>
        <v>ORD-01090</v>
      </c>
      <c r="B1091" s="46" t="str">
        <f aca="false">PROPER(TRIM(Orders!K1091))</f>
        <v>Mumbai</v>
      </c>
      <c r="C1091" s="46" t="str">
        <f aca="false">IFERROR(VLOOKUP(Orders!D1091,Products!$A$2:$F$61,3,FALSE()),"Not Found")</f>
        <v>Sports</v>
      </c>
      <c r="D1091" s="46" t="str">
        <f aca="false">IFERROR(VLOOKUP(Orders!C1091,Customers!$A$2:$F$301,5,FALSE()),"Not Found")</f>
        <v>Retail</v>
      </c>
      <c r="E1091" s="46" t="n">
        <f aca="false">IFERROR(VLOOKUP(Orders!C1091,Customers!$A$2:$F$301,3,FALSE()),"Not Found")</f>
        <v>40</v>
      </c>
      <c r="F1091" s="46" t="str">
        <f aca="false">IFERROR(VLOOKUP(Orders!E1091,Sales_Reps!$A$2:$E$31,3,FALSE()),"Not Found")</f>
        <v>North</v>
      </c>
      <c r="G1091" s="46" t="n">
        <f aca="false">IFERROR(VLOOKUP(Orders!D1091,Products!$A$2:$F$61,4,FALSE()),"")</f>
        <v>302</v>
      </c>
      <c r="H1091" s="47" t="n">
        <f aca="false">IF(G1091="","",(Orders!G1091-G1091)/Orders!G1091)</f>
        <v>0.357446808510638</v>
      </c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</row>
    <row r="1092" customFormat="false" ht="15" hidden="false" customHeight="false" outlineLevel="0" collapsed="false">
      <c r="A1092" s="46" t="str">
        <f aca="false">Orders!A1092</f>
        <v>ORD-01091</v>
      </c>
      <c r="B1092" s="46" t="str">
        <f aca="false">PROPER(TRIM(Orders!K1092))</f>
        <v>Hyderabad</v>
      </c>
      <c r="C1092" s="46" t="str">
        <f aca="false">IFERROR(VLOOKUP(Orders!D1092,Products!$A$2:$F$61,3,FALSE()),"Not Found")</f>
        <v>Electronics</v>
      </c>
      <c r="D1092" s="46" t="str">
        <f aca="false">IFERROR(VLOOKUP(Orders!C1092,Customers!$A$2:$F$301,5,FALSE()),"Not Found")</f>
        <v>Retail</v>
      </c>
      <c r="E1092" s="46" t="n">
        <f aca="false">IFERROR(VLOOKUP(Orders!C1092,Customers!$A$2:$F$301,3,FALSE()),"Not Found")</f>
        <v>28</v>
      </c>
      <c r="F1092" s="46" t="str">
        <f aca="false">IFERROR(VLOOKUP(Orders!E1092,Sales_Reps!$A$2:$E$31,3,FALSE()),"Not Found")</f>
        <v>South</v>
      </c>
      <c r="G1092" s="46" t="n">
        <f aca="false">IFERROR(VLOOKUP(Orders!D1092,Products!$A$2:$F$61,4,FALSE()),"")</f>
        <v>2865</v>
      </c>
      <c r="H1092" s="47" t="n">
        <f aca="false">IF(G1092="","",(Orders!G1092-G1092)/Orders!G1092)</f>
        <v>0.278337531486146</v>
      </c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</row>
    <row r="1093" customFormat="false" ht="15" hidden="false" customHeight="false" outlineLevel="0" collapsed="false">
      <c r="A1093" s="46" t="str">
        <f aca="false">Orders!A1093</f>
        <v>ORD-01092</v>
      </c>
      <c r="B1093" s="46" t="str">
        <f aca="false">PROPER(TRIM(Orders!K1093))</f>
        <v>Bengaluru</v>
      </c>
      <c r="C1093" s="46" t="str">
        <f aca="false">IFERROR(VLOOKUP(Orders!D1093,Products!$A$2:$F$61,3,FALSE()),"Not Found")</f>
        <v>Beauty</v>
      </c>
      <c r="D1093" s="46" t="str">
        <f aca="false">IFERROR(VLOOKUP(Orders!C1093,Customers!$A$2:$F$301,5,FALSE()),"Not Found")</f>
        <v>SMB</v>
      </c>
      <c r="E1093" s="46" t="n">
        <f aca="false">IFERROR(VLOOKUP(Orders!C1093,Customers!$A$2:$F$301,3,FALSE()),"Not Found")</f>
        <v>44</v>
      </c>
      <c r="F1093" s="46" t="str">
        <f aca="false">IFERROR(VLOOKUP(Orders!E1093,Sales_Reps!$A$2:$E$31,3,FALSE()),"Not Found")</f>
        <v>South</v>
      </c>
      <c r="G1093" s="46" t="n">
        <f aca="false">IFERROR(VLOOKUP(Orders!D1093,Products!$A$2:$F$61,4,FALSE()),"")</f>
        <v>2237</v>
      </c>
      <c r="H1093" s="47" t="n">
        <f aca="false">IF(G1093="","",(Orders!G1093-G1093)/Orders!G1093)</f>
        <v>0.561372549019608</v>
      </c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</row>
    <row r="1094" customFormat="false" ht="15" hidden="false" customHeight="false" outlineLevel="0" collapsed="false">
      <c r="A1094" s="46" t="str">
        <f aca="false">Orders!A1094</f>
        <v>ORD-01093</v>
      </c>
      <c r="B1094" s="46" t="str">
        <f aca="false">PROPER(TRIM(Orders!K1094))</f>
        <v>Pune</v>
      </c>
      <c r="C1094" s="46" t="str">
        <f aca="false">IFERROR(VLOOKUP(Orders!D1094,Products!$A$2:$F$61,3,FALSE()),"Not Found")</f>
        <v>Beauty</v>
      </c>
      <c r="D1094" s="46" t="str">
        <f aca="false">IFERROR(VLOOKUP(Orders!C1094,Customers!$A$2:$F$301,5,FALSE()),"Not Found")</f>
        <v>Retail</v>
      </c>
      <c r="E1094" s="46" t="n">
        <f aca="false">IFERROR(VLOOKUP(Orders!C1094,Customers!$A$2:$F$301,3,FALSE()),"Not Found")</f>
        <v>57</v>
      </c>
      <c r="F1094" s="46" t="str">
        <f aca="false">IFERROR(VLOOKUP(Orders!E1094,Sales_Reps!$A$2:$E$31,3,FALSE()),"Not Found")</f>
        <v>North</v>
      </c>
      <c r="G1094" s="46" t="n">
        <f aca="false">IFERROR(VLOOKUP(Orders!D1094,Products!$A$2:$F$61,4,FALSE()),"")</f>
        <v>2420</v>
      </c>
      <c r="H1094" s="47" t="n">
        <f aca="false">IF(G1094="","",(Orders!G1094-G1094)/Orders!G1094)</f>
        <v>0.298550724637681</v>
      </c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</row>
    <row r="1095" customFormat="false" ht="15" hidden="false" customHeight="false" outlineLevel="0" collapsed="false">
      <c r="A1095" s="46" t="str">
        <f aca="false">Orders!A1095</f>
        <v>ORD-01094</v>
      </c>
      <c r="B1095" s="46" t="str">
        <f aca="false">PROPER(TRIM(Orders!K1095))</f>
        <v>Chennai</v>
      </c>
      <c r="C1095" s="46" t="str">
        <f aca="false">IFERROR(VLOOKUP(Orders!D1095,Products!$A$2:$F$61,3,FALSE()),"Not Found")</f>
        <v>Home</v>
      </c>
      <c r="D1095" s="46" t="str">
        <f aca="false">IFERROR(VLOOKUP(Orders!C1095,Customers!$A$2:$F$301,5,FALSE()),"Not Found")</f>
        <v>Retail</v>
      </c>
      <c r="E1095" s="46" t="n">
        <f aca="false">IFERROR(VLOOKUP(Orders!C1095,Customers!$A$2:$F$301,3,FALSE()),"Not Found")</f>
        <v>26</v>
      </c>
      <c r="F1095" s="46" t="str">
        <f aca="false">IFERROR(VLOOKUP(Orders!E1095,Sales_Reps!$A$2:$E$31,3,FALSE()),"Not Found")</f>
        <v>South</v>
      </c>
      <c r="G1095" s="46" t="n">
        <f aca="false">IFERROR(VLOOKUP(Orders!D1095,Products!$A$2:$F$61,4,FALSE()),"")</f>
        <v>2135</v>
      </c>
      <c r="H1095" s="47" t="n">
        <f aca="false">IF(G1095="","",(Orders!G1095-G1095)/Orders!G1095)</f>
        <v>0.427613941018767</v>
      </c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</row>
    <row r="1096" customFormat="false" ht="15" hidden="false" customHeight="false" outlineLevel="0" collapsed="false">
      <c r="A1096" s="46" t="str">
        <f aca="false">Orders!A1096</f>
        <v>ORD-01095</v>
      </c>
      <c r="B1096" s="46" t="str">
        <f aca="false">PROPER(TRIM(Orders!K1096))</f>
        <v>Hyderabad</v>
      </c>
      <c r="C1096" s="46" t="str">
        <f aca="false">IFERROR(VLOOKUP(Orders!D1096,Products!$A$2:$F$61,3,FALSE()),"Not Found")</f>
        <v>Beauty</v>
      </c>
      <c r="D1096" s="46" t="str">
        <f aca="false">IFERROR(VLOOKUP(Orders!C1096,Customers!$A$2:$F$301,5,FALSE()),"Not Found")</f>
        <v>Corporate</v>
      </c>
      <c r="E1096" s="46" t="n">
        <f aca="false">IFERROR(VLOOKUP(Orders!C1096,Customers!$A$2:$F$301,3,FALSE()),"Not Found")</f>
        <v>60</v>
      </c>
      <c r="F1096" s="46" t="str">
        <f aca="false">IFERROR(VLOOKUP(Orders!E1096,Sales_Reps!$A$2:$E$31,3,FALSE()),"Not Found")</f>
        <v>East</v>
      </c>
      <c r="G1096" s="46" t="n">
        <f aca="false">IFERROR(VLOOKUP(Orders!D1096,Products!$A$2:$F$61,4,FALSE()),"")</f>
        <v>675</v>
      </c>
      <c r="H1096" s="47" t="n">
        <f aca="false">IF(G1096="","",(Orders!G1096-G1096)/Orders!G1096)</f>
        <v>0.296875</v>
      </c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</row>
    <row r="1097" customFormat="false" ht="15" hidden="false" customHeight="false" outlineLevel="0" collapsed="false">
      <c r="A1097" s="46" t="str">
        <f aca="false">Orders!A1097</f>
        <v>ORD-01096</v>
      </c>
      <c r="B1097" s="46" t="str">
        <f aca="false">PROPER(TRIM(Orders!K1097))</f>
        <v>Delhi</v>
      </c>
      <c r="C1097" s="46" t="str">
        <f aca="false">IFERROR(VLOOKUP(Orders!D1097,Products!$A$2:$F$61,3,FALSE()),"Not Found")</f>
        <v>Home</v>
      </c>
      <c r="D1097" s="46" t="str">
        <f aca="false">IFERROR(VLOOKUP(Orders!C1097,Customers!$A$2:$F$301,5,FALSE()),"Not Found")</f>
        <v>SMB</v>
      </c>
      <c r="E1097" s="46" t="n">
        <f aca="false">IFERROR(VLOOKUP(Orders!C1097,Customers!$A$2:$F$301,3,FALSE()),"Not Found")</f>
        <v>29</v>
      </c>
      <c r="F1097" s="46" t="str">
        <f aca="false">IFERROR(VLOOKUP(Orders!E1097,Sales_Reps!$A$2:$E$31,3,FALSE()),"Not Found")</f>
        <v>North</v>
      </c>
      <c r="G1097" s="46" t="n">
        <f aca="false">IFERROR(VLOOKUP(Orders!D1097,Products!$A$2:$F$61,4,FALSE()),"")</f>
        <v>2459</v>
      </c>
      <c r="H1097" s="47" t="n">
        <f aca="false">IF(G1097="","",(Orders!G1097-G1097)/Orders!G1097)</f>
        <v>0.515944881889764</v>
      </c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</row>
    <row r="1098" customFormat="false" ht="15" hidden="false" customHeight="false" outlineLevel="0" collapsed="false">
      <c r="A1098" s="46" t="str">
        <f aca="false">Orders!A1098</f>
        <v>ORD-01097</v>
      </c>
      <c r="B1098" s="46" t="str">
        <f aca="false">PROPER(TRIM(Orders!K1098))</f>
        <v>Pune</v>
      </c>
      <c r="C1098" s="46" t="str">
        <f aca="false">IFERROR(VLOOKUP(Orders!D1098,Products!$A$2:$F$61,3,FALSE()),"Not Found")</f>
        <v>Electronics</v>
      </c>
      <c r="D1098" s="46" t="str">
        <f aca="false">IFERROR(VLOOKUP(Orders!C1098,Customers!$A$2:$F$301,5,FALSE()),"Not Found")</f>
        <v>Retail</v>
      </c>
      <c r="E1098" s="46" t="n">
        <f aca="false">IFERROR(VLOOKUP(Orders!C1098,Customers!$A$2:$F$301,3,FALSE()),"Not Found")</f>
        <v>65</v>
      </c>
      <c r="F1098" s="46" t="str">
        <f aca="false">IFERROR(VLOOKUP(Orders!E1098,Sales_Reps!$A$2:$E$31,3,FALSE()),"Not Found")</f>
        <v>North</v>
      </c>
      <c r="G1098" s="46" t="n">
        <f aca="false">IFERROR(VLOOKUP(Orders!D1098,Products!$A$2:$F$61,4,FALSE()),"")</f>
        <v>1559</v>
      </c>
      <c r="H1098" s="47" t="n">
        <f aca="false">IF(G1098="","",(Orders!G1098-G1098)/Orders!G1098)</f>
        <v>0.597157622739018</v>
      </c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</row>
    <row r="1099" customFormat="false" ht="15" hidden="false" customHeight="false" outlineLevel="0" collapsed="false">
      <c r="A1099" s="46" t="str">
        <f aca="false">Orders!A1099</f>
        <v>ORD-01098</v>
      </c>
      <c r="B1099" s="46" t="str">
        <f aca="false">PROPER(TRIM(Orders!K1099))</f>
        <v>Pune</v>
      </c>
      <c r="C1099" s="46" t="str">
        <f aca="false">IFERROR(VLOOKUP(Orders!D1099,Products!$A$2:$F$61,3,FALSE()),"Not Found")</f>
        <v>Sports</v>
      </c>
      <c r="D1099" s="46" t="str">
        <f aca="false">IFERROR(VLOOKUP(Orders!C1099,Customers!$A$2:$F$301,5,FALSE()),"Not Found")</f>
        <v>Corporate</v>
      </c>
      <c r="E1099" s="46" t="n">
        <f aca="false">IFERROR(VLOOKUP(Orders!C1099,Customers!$A$2:$F$301,3,FALSE()),"Not Found")</f>
        <v>48</v>
      </c>
      <c r="F1099" s="46" t="str">
        <f aca="false">IFERROR(VLOOKUP(Orders!E1099,Sales_Reps!$A$2:$E$31,3,FALSE()),"Not Found")</f>
        <v>West</v>
      </c>
      <c r="G1099" s="46" t="n">
        <f aca="false">IFERROR(VLOOKUP(Orders!D1099,Products!$A$2:$F$61,4,FALSE()),"")</f>
        <v>1860</v>
      </c>
      <c r="H1099" s="47" t="n">
        <f aca="false">IF(G1099="","",(Orders!G1099-G1099)/Orders!G1099)</f>
        <v>0.507936507936508</v>
      </c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</row>
    <row r="1100" customFormat="false" ht="15" hidden="false" customHeight="false" outlineLevel="0" collapsed="false">
      <c r="A1100" s="46" t="str">
        <f aca="false">Orders!A1100</f>
        <v>ORD-01099</v>
      </c>
      <c r="B1100" s="46" t="str">
        <f aca="false">PROPER(TRIM(Orders!K1100))</f>
        <v>Bengaluru</v>
      </c>
      <c r="C1100" s="46" t="str">
        <f aca="false">IFERROR(VLOOKUP(Orders!D1100,Products!$A$2:$F$61,3,FALSE()),"Not Found")</f>
        <v>Electronics</v>
      </c>
      <c r="D1100" s="46" t="str">
        <f aca="false">IFERROR(VLOOKUP(Orders!C1100,Customers!$A$2:$F$301,5,FALSE()),"Not Found")</f>
        <v>Retail</v>
      </c>
      <c r="E1100" s="46" t="n">
        <f aca="false">IFERROR(VLOOKUP(Orders!C1100,Customers!$A$2:$F$301,3,FALSE()),"Not Found")</f>
        <v>27</v>
      </c>
      <c r="F1100" s="46" t="str">
        <f aca="false">IFERROR(VLOOKUP(Orders!E1100,Sales_Reps!$A$2:$E$31,3,FALSE()),"Not Found")</f>
        <v>East</v>
      </c>
      <c r="G1100" s="46" t="n">
        <f aca="false">IFERROR(VLOOKUP(Orders!D1100,Products!$A$2:$F$61,4,FALSE()),"")</f>
        <v>1559</v>
      </c>
      <c r="H1100" s="47" t="n">
        <f aca="false">IF(G1100="","",(Orders!G1100-G1100)/Orders!G1100)</f>
        <v>0.597157622739018</v>
      </c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</row>
    <row r="1101" customFormat="false" ht="15" hidden="false" customHeight="false" outlineLevel="0" collapsed="false">
      <c r="A1101" s="46" t="str">
        <f aca="false">Orders!A1101</f>
        <v>ORD-01100</v>
      </c>
      <c r="B1101" s="46" t="str">
        <f aca="false">PROPER(TRIM(Orders!K1101))</f>
        <v>Pune</v>
      </c>
      <c r="C1101" s="46" t="str">
        <f aca="false">IFERROR(VLOOKUP(Orders!D1101,Products!$A$2:$F$61,3,FALSE()),"Not Found")</f>
        <v>Home</v>
      </c>
      <c r="D1101" s="46" t="str">
        <f aca="false">IFERROR(VLOOKUP(Orders!C1101,Customers!$A$2:$F$301,5,FALSE()),"Not Found")</f>
        <v>SMB</v>
      </c>
      <c r="E1101" s="46" t="n">
        <f aca="false">IFERROR(VLOOKUP(Orders!C1101,Customers!$A$2:$F$301,3,FALSE()),"Not Found")</f>
        <v>29</v>
      </c>
      <c r="F1101" s="46" t="str">
        <f aca="false">IFERROR(VLOOKUP(Orders!E1101,Sales_Reps!$A$2:$E$31,3,FALSE()),"Not Found")</f>
        <v>South</v>
      </c>
      <c r="G1101" s="46" t="n">
        <f aca="false">IFERROR(VLOOKUP(Orders!D1101,Products!$A$2:$F$61,4,FALSE()),"")</f>
        <v>1143</v>
      </c>
      <c r="H1101" s="47" t="n">
        <f aca="false">IF(G1101="","",(Orders!G1101-G1101)/Orders!G1101)</f>
        <v>0.436945812807882</v>
      </c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</row>
    <row r="1102" customFormat="false" ht="15" hidden="false" customHeight="false" outlineLevel="0" collapsed="false">
      <c r="A1102" s="46" t="str">
        <f aca="false">Orders!A1102</f>
        <v>ORD-01101</v>
      </c>
      <c r="B1102" s="46" t="str">
        <f aca="false">PROPER(TRIM(Orders!K1102))</f>
        <v>Delhi</v>
      </c>
      <c r="C1102" s="46" t="str">
        <f aca="false">IFERROR(VLOOKUP(Orders!D1102,Products!$A$2:$F$61,3,FALSE()),"Not Found")</f>
        <v>Grocery</v>
      </c>
      <c r="D1102" s="46" t="str">
        <f aca="false">IFERROR(VLOOKUP(Orders!C1102,Customers!$A$2:$F$301,5,FALSE()),"Not Found")</f>
        <v>SMB</v>
      </c>
      <c r="E1102" s="46" t="n">
        <f aca="false">IFERROR(VLOOKUP(Orders!C1102,Customers!$A$2:$F$301,3,FALSE()),"Not Found")</f>
        <v>48</v>
      </c>
      <c r="F1102" s="46" t="str">
        <f aca="false">IFERROR(VLOOKUP(Orders!E1102,Sales_Reps!$A$2:$E$31,3,FALSE()),"Not Found")</f>
        <v>North</v>
      </c>
      <c r="G1102" s="46" t="n">
        <f aca="false">IFERROR(VLOOKUP(Orders!D1102,Products!$A$2:$F$61,4,FALSE()),"")</f>
        <v>1010</v>
      </c>
      <c r="H1102" s="47" t="n">
        <f aca="false">IF(G1102="","",(Orders!G1102-G1102)/Orders!G1102)</f>
        <v>0.542986425339367</v>
      </c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</row>
    <row r="1103" customFormat="false" ht="15" hidden="false" customHeight="false" outlineLevel="0" collapsed="false">
      <c r="A1103" s="46" t="str">
        <f aca="false">Orders!A1103</f>
        <v>ORD-01102</v>
      </c>
      <c r="B1103" s="46" t="str">
        <f aca="false">PROPER(TRIM(Orders!K1103))</f>
        <v>Chennai</v>
      </c>
      <c r="C1103" s="46" t="str">
        <f aca="false">IFERROR(VLOOKUP(Orders!D1103,Products!$A$2:$F$61,3,FALSE()),"Not Found")</f>
        <v>Beauty</v>
      </c>
      <c r="D1103" s="46" t="str">
        <f aca="false">IFERROR(VLOOKUP(Orders!C1103,Customers!$A$2:$F$301,5,FALSE()),"Not Found")</f>
        <v>Corporate</v>
      </c>
      <c r="E1103" s="46" t="n">
        <f aca="false">IFERROR(VLOOKUP(Orders!C1103,Customers!$A$2:$F$301,3,FALSE()),"Not Found")</f>
        <v>44</v>
      </c>
      <c r="F1103" s="46" t="str">
        <f aca="false">IFERROR(VLOOKUP(Orders!E1103,Sales_Reps!$A$2:$E$31,3,FALSE()),"Not Found")</f>
        <v>East</v>
      </c>
      <c r="G1103" s="46" t="n">
        <f aca="false">IFERROR(VLOOKUP(Orders!D1103,Products!$A$2:$F$61,4,FALSE()),"")</f>
        <v>647</v>
      </c>
      <c r="H1103" s="47" t="n">
        <f aca="false">IF(G1103="","",(Orders!G1103-G1103)/Orders!G1103)</f>
        <v>0.57987012987013</v>
      </c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</row>
    <row r="1104" customFormat="false" ht="15" hidden="false" customHeight="false" outlineLevel="0" collapsed="false">
      <c r="A1104" s="46" t="str">
        <f aca="false">Orders!A1104</f>
        <v>ORD-01103</v>
      </c>
      <c r="B1104" s="46" t="str">
        <f aca="false">PROPER(TRIM(Orders!K1104))</f>
        <v>Delhi</v>
      </c>
      <c r="C1104" s="46" t="str">
        <f aca="false">IFERROR(VLOOKUP(Orders!D1104,Products!$A$2:$F$61,3,FALSE()),"Not Found")</f>
        <v>Sports</v>
      </c>
      <c r="D1104" s="46" t="str">
        <f aca="false">IFERROR(VLOOKUP(Orders!C1104,Customers!$A$2:$F$301,5,FALSE()),"Not Found")</f>
        <v>Retail</v>
      </c>
      <c r="E1104" s="46" t="n">
        <f aca="false">IFERROR(VLOOKUP(Orders!C1104,Customers!$A$2:$F$301,3,FALSE()),"Not Found")</f>
        <v>43</v>
      </c>
      <c r="F1104" s="46" t="str">
        <f aca="false">IFERROR(VLOOKUP(Orders!E1104,Sales_Reps!$A$2:$E$31,3,FALSE()),"Not Found")</f>
        <v>South</v>
      </c>
      <c r="G1104" s="46" t="n">
        <f aca="false">IFERROR(VLOOKUP(Orders!D1104,Products!$A$2:$F$61,4,FALSE()),"")</f>
        <v>516</v>
      </c>
      <c r="H1104" s="47" t="n">
        <f aca="false">IF(G1104="","",(Orders!G1104-G1104)/Orders!G1104)</f>
        <v>0.489108910891089</v>
      </c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</row>
    <row r="1105" customFormat="false" ht="15" hidden="false" customHeight="false" outlineLevel="0" collapsed="false">
      <c r="A1105" s="46" t="str">
        <f aca="false">Orders!A1105</f>
        <v>ORD-01104</v>
      </c>
      <c r="B1105" s="46" t="str">
        <f aca="false">PROPER(TRIM(Orders!K1105))</f>
        <v>Pune</v>
      </c>
      <c r="C1105" s="46" t="str">
        <f aca="false">IFERROR(VLOOKUP(Orders!D1105,Products!$A$2:$F$61,3,FALSE()),"Not Found")</f>
        <v>Electronics</v>
      </c>
      <c r="D1105" s="46" t="str">
        <f aca="false">IFERROR(VLOOKUP(Orders!C1105,Customers!$A$2:$F$301,5,FALSE()),"Not Found")</f>
        <v>SMB</v>
      </c>
      <c r="E1105" s="46" t="n">
        <f aca="false">IFERROR(VLOOKUP(Orders!C1105,Customers!$A$2:$F$301,3,FALSE()),"Not Found")</f>
        <v>35</v>
      </c>
      <c r="F1105" s="46" t="str">
        <f aca="false">IFERROR(VLOOKUP(Orders!E1105,Sales_Reps!$A$2:$E$31,3,FALSE()),"Not Found")</f>
        <v>South</v>
      </c>
      <c r="G1105" s="46" t="n">
        <f aca="false">IFERROR(VLOOKUP(Orders!D1105,Products!$A$2:$F$61,4,FALSE()),"")</f>
        <v>2405</v>
      </c>
      <c r="H1105" s="47" t="n">
        <f aca="false">IF(G1105="","",(Orders!G1105-G1105)/Orders!G1105)</f>
        <v>0.548780487804878</v>
      </c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</row>
    <row r="1106" customFormat="false" ht="15" hidden="false" customHeight="false" outlineLevel="0" collapsed="false">
      <c r="A1106" s="46" t="str">
        <f aca="false">Orders!A1106</f>
        <v>ORD-01105</v>
      </c>
      <c r="B1106" s="46" t="str">
        <f aca="false">PROPER(TRIM(Orders!K1106))</f>
        <v>Chennai</v>
      </c>
      <c r="C1106" s="46" t="str">
        <f aca="false">IFERROR(VLOOKUP(Orders!D1106,Products!$A$2:$F$61,3,FALSE()),"Not Found")</f>
        <v>Electronics</v>
      </c>
      <c r="D1106" s="46" t="str">
        <f aca="false">IFERROR(VLOOKUP(Orders!C1106,Customers!$A$2:$F$301,5,FALSE()),"Not Found")</f>
        <v>Corporate</v>
      </c>
      <c r="E1106" s="46" t="n">
        <f aca="false">IFERROR(VLOOKUP(Orders!C1106,Customers!$A$2:$F$301,3,FALSE()),"Not Found")</f>
        <v>24</v>
      </c>
      <c r="F1106" s="46" t="str">
        <f aca="false">IFERROR(VLOOKUP(Orders!E1106,Sales_Reps!$A$2:$E$31,3,FALSE()),"Not Found")</f>
        <v>East</v>
      </c>
      <c r="G1106" s="46" t="n">
        <f aca="false">IFERROR(VLOOKUP(Orders!D1106,Products!$A$2:$F$61,4,FALSE()),"")</f>
        <v>1665</v>
      </c>
      <c r="H1106" s="47" t="n">
        <f aca="false">IF(G1106="","",(Orders!G1106-G1106)/Orders!G1106)</f>
        <v>0.533613445378151</v>
      </c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</row>
    <row r="1107" customFormat="false" ht="15" hidden="false" customHeight="false" outlineLevel="0" collapsed="false">
      <c r="A1107" s="46" t="str">
        <f aca="false">Orders!A1107</f>
        <v>ORD-01106</v>
      </c>
      <c r="B1107" s="46" t="str">
        <f aca="false">PROPER(TRIM(Orders!K1107))</f>
        <v>Chennai</v>
      </c>
      <c r="C1107" s="46" t="str">
        <f aca="false">IFERROR(VLOOKUP(Orders!D1107,Products!$A$2:$F$61,3,FALSE()),"Not Found")</f>
        <v>Beauty</v>
      </c>
      <c r="D1107" s="46" t="str">
        <f aca="false">IFERROR(VLOOKUP(Orders!C1107,Customers!$A$2:$F$301,5,FALSE()),"Not Found")</f>
        <v>SMB</v>
      </c>
      <c r="E1107" s="46" t="n">
        <f aca="false">IFERROR(VLOOKUP(Orders!C1107,Customers!$A$2:$F$301,3,FALSE()),"Not Found")</f>
        <v>62</v>
      </c>
      <c r="F1107" s="46" t="str">
        <f aca="false">IFERROR(VLOOKUP(Orders!E1107,Sales_Reps!$A$2:$E$31,3,FALSE()),"Not Found")</f>
        <v>East</v>
      </c>
      <c r="G1107" s="46" t="n">
        <f aca="false">IFERROR(VLOOKUP(Orders!D1107,Products!$A$2:$F$61,4,FALSE()),"")</f>
        <v>1728</v>
      </c>
      <c r="H1107" s="47" t="n">
        <f aca="false">IF(G1107="","",(Orders!G1107-G1107)/Orders!G1107)</f>
        <v>0.484179104477612</v>
      </c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</row>
    <row r="1108" customFormat="false" ht="15" hidden="false" customHeight="false" outlineLevel="0" collapsed="false">
      <c r="A1108" s="46" t="str">
        <f aca="false">Orders!A1108</f>
        <v>ORD-01107</v>
      </c>
      <c r="B1108" s="46" t="str">
        <f aca="false">PROPER(TRIM(Orders!K1108))</f>
        <v>Mumbai</v>
      </c>
      <c r="C1108" s="46" t="str">
        <f aca="false">IFERROR(VLOOKUP(Orders!D1108,Products!$A$2:$F$61,3,FALSE()),"Not Found")</f>
        <v>Apparel</v>
      </c>
      <c r="D1108" s="46" t="str">
        <f aca="false">IFERROR(VLOOKUP(Orders!C1108,Customers!$A$2:$F$301,5,FALSE()),"Not Found")</f>
        <v>Retail</v>
      </c>
      <c r="E1108" s="46" t="n">
        <f aca="false">IFERROR(VLOOKUP(Orders!C1108,Customers!$A$2:$F$301,3,FALSE()),"Not Found")</f>
        <v>53</v>
      </c>
      <c r="F1108" s="46" t="str">
        <f aca="false">IFERROR(VLOOKUP(Orders!E1108,Sales_Reps!$A$2:$E$31,3,FALSE()),"Not Found")</f>
        <v>East</v>
      </c>
      <c r="G1108" s="46" t="n">
        <f aca="false">IFERROR(VLOOKUP(Orders!D1108,Products!$A$2:$F$61,4,FALSE()),"")</f>
        <v>1075</v>
      </c>
      <c r="H1108" s="47" t="n">
        <f aca="false">IF(G1108="","",(Orders!G1108-G1108)/Orders!G1108)</f>
        <v>0.571713147410359</v>
      </c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</row>
    <row r="1109" customFormat="false" ht="15" hidden="false" customHeight="false" outlineLevel="0" collapsed="false">
      <c r="A1109" s="46" t="str">
        <f aca="false">Orders!A1109</f>
        <v>ORD-01108</v>
      </c>
      <c r="B1109" s="46" t="str">
        <f aca="false">PROPER(TRIM(Orders!K1109))</f>
        <v>Mumbai</v>
      </c>
      <c r="C1109" s="46" t="str">
        <f aca="false">IFERROR(VLOOKUP(Orders!D1109,Products!$A$2:$F$61,3,FALSE()),"Not Found")</f>
        <v>Grocery</v>
      </c>
      <c r="D1109" s="46" t="str">
        <f aca="false">IFERROR(VLOOKUP(Orders!C1109,Customers!$A$2:$F$301,5,FALSE()),"Not Found")</f>
        <v>Retail</v>
      </c>
      <c r="E1109" s="46" t="n">
        <f aca="false">IFERROR(VLOOKUP(Orders!C1109,Customers!$A$2:$F$301,3,FALSE()),"Not Found")</f>
        <v>54</v>
      </c>
      <c r="F1109" s="46" t="str">
        <f aca="false">IFERROR(VLOOKUP(Orders!E1109,Sales_Reps!$A$2:$E$31,3,FALSE()),"Not Found")</f>
        <v>West</v>
      </c>
      <c r="G1109" s="46" t="n">
        <f aca="false">IFERROR(VLOOKUP(Orders!D1109,Products!$A$2:$F$61,4,FALSE()),"")</f>
        <v>434</v>
      </c>
      <c r="H1109" s="47" t="n">
        <f aca="false">IF(G1109="","",(Orders!G1109-G1109)/Orders!G1109)</f>
        <v>0.552577319587629</v>
      </c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</row>
    <row r="1110" customFormat="false" ht="15" hidden="false" customHeight="false" outlineLevel="0" collapsed="false">
      <c r="A1110" s="46" t="str">
        <f aca="false">Orders!A1110</f>
        <v>ORD-01109</v>
      </c>
      <c r="B1110" s="46" t="str">
        <f aca="false">PROPER(TRIM(Orders!K1110))</f>
        <v>Bengaluru</v>
      </c>
      <c r="C1110" s="46" t="str">
        <f aca="false">IFERROR(VLOOKUP(Orders!D1110,Products!$A$2:$F$61,3,FALSE()),"Not Found")</f>
        <v>Grocery</v>
      </c>
      <c r="D1110" s="46" t="str">
        <f aca="false">IFERROR(VLOOKUP(Orders!C1110,Customers!$A$2:$F$301,5,FALSE()),"Not Found")</f>
        <v>SMB</v>
      </c>
      <c r="E1110" s="46" t="n">
        <f aca="false">IFERROR(VLOOKUP(Orders!C1110,Customers!$A$2:$F$301,3,FALSE()),"Not Found")</f>
        <v>64</v>
      </c>
      <c r="F1110" s="46" t="str">
        <f aca="false">IFERROR(VLOOKUP(Orders!E1110,Sales_Reps!$A$2:$E$31,3,FALSE()),"Not Found")</f>
        <v>North</v>
      </c>
      <c r="G1110" s="46" t="n">
        <f aca="false">IFERROR(VLOOKUP(Orders!D1110,Products!$A$2:$F$61,4,FALSE()),"")</f>
        <v>2436</v>
      </c>
      <c r="H1110" s="47" t="n">
        <f aca="false">IF(G1110="","",(Orders!G1110-G1110)/Orders!G1110)</f>
        <v>0.355555555555556</v>
      </c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</row>
    <row r="1111" customFormat="false" ht="15" hidden="false" customHeight="false" outlineLevel="0" collapsed="false">
      <c r="A1111" s="46" t="str">
        <f aca="false">Orders!A1111</f>
        <v>ORD-01110</v>
      </c>
      <c r="B1111" s="46" t="str">
        <f aca="false">PROPER(TRIM(Orders!K1111))</f>
        <v>Pune</v>
      </c>
      <c r="C1111" s="46" t="str">
        <f aca="false">IFERROR(VLOOKUP(Orders!D1111,Products!$A$2:$F$61,3,FALSE()),"Not Found")</f>
        <v>Apparel</v>
      </c>
      <c r="D1111" s="46" t="str">
        <f aca="false">IFERROR(VLOOKUP(Orders!C1111,Customers!$A$2:$F$301,5,FALSE()),"Not Found")</f>
        <v>SMB</v>
      </c>
      <c r="E1111" s="46" t="n">
        <f aca="false">IFERROR(VLOOKUP(Orders!C1111,Customers!$A$2:$F$301,3,FALSE()),"Not Found")</f>
        <v>35</v>
      </c>
      <c r="F1111" s="46" t="str">
        <f aca="false">IFERROR(VLOOKUP(Orders!E1111,Sales_Reps!$A$2:$E$31,3,FALSE()),"Not Found")</f>
        <v>North</v>
      </c>
      <c r="G1111" s="46" t="n">
        <f aca="false">IFERROR(VLOOKUP(Orders!D1111,Products!$A$2:$F$61,4,FALSE()),"")</f>
        <v>1075</v>
      </c>
      <c r="H1111" s="47" t="n">
        <f aca="false">IF(G1111="","",(Orders!G1111-G1111)/Orders!G1111)</f>
        <v>0.571713147410359</v>
      </c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</row>
    <row r="1112" customFormat="false" ht="15" hidden="false" customHeight="false" outlineLevel="0" collapsed="false">
      <c r="A1112" s="46" t="str">
        <f aca="false">Orders!A1112</f>
        <v>ORD-01111</v>
      </c>
      <c r="B1112" s="46" t="str">
        <f aca="false">PROPER(TRIM(Orders!K1112))</f>
        <v>Chennai</v>
      </c>
      <c r="C1112" s="46" t="str">
        <f aca="false">IFERROR(VLOOKUP(Orders!D1112,Products!$A$2:$F$61,3,FALSE()),"Not Found")</f>
        <v>Home</v>
      </c>
      <c r="D1112" s="46" t="str">
        <f aca="false">IFERROR(VLOOKUP(Orders!C1112,Customers!$A$2:$F$301,5,FALSE()),"Not Found")</f>
        <v>Retail</v>
      </c>
      <c r="E1112" s="46" t="n">
        <f aca="false">IFERROR(VLOOKUP(Orders!C1112,Customers!$A$2:$F$301,3,FALSE()),"Not Found")</f>
        <v>34</v>
      </c>
      <c r="F1112" s="46" t="str">
        <f aca="false">IFERROR(VLOOKUP(Orders!E1112,Sales_Reps!$A$2:$E$31,3,FALSE()),"Not Found")</f>
        <v>North</v>
      </c>
      <c r="G1112" s="46" t="n">
        <f aca="false">IFERROR(VLOOKUP(Orders!D1112,Products!$A$2:$F$61,4,FALSE()),"")</f>
        <v>1143</v>
      </c>
      <c r="H1112" s="47" t="n">
        <f aca="false">IF(G1112="","",(Orders!G1112-G1112)/Orders!G1112)</f>
        <v>0.436945812807882</v>
      </c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</row>
    <row r="1113" customFormat="false" ht="15" hidden="false" customHeight="false" outlineLevel="0" collapsed="false">
      <c r="A1113" s="46" t="str">
        <f aca="false">Orders!A1113</f>
        <v>ORD-01112</v>
      </c>
      <c r="B1113" s="46" t="str">
        <f aca="false">PROPER(TRIM(Orders!K1113))</f>
        <v>Mumbai</v>
      </c>
      <c r="C1113" s="46" t="str">
        <f aca="false">IFERROR(VLOOKUP(Orders!D1113,Products!$A$2:$F$61,3,FALSE()),"Not Found")</f>
        <v>Sports</v>
      </c>
      <c r="D1113" s="46" t="str">
        <f aca="false">IFERROR(VLOOKUP(Orders!C1113,Customers!$A$2:$F$301,5,FALSE()),"Not Found")</f>
        <v>Retail</v>
      </c>
      <c r="E1113" s="46" t="n">
        <f aca="false">IFERROR(VLOOKUP(Orders!C1113,Customers!$A$2:$F$301,3,FALSE()),"Not Found")</f>
        <v>40</v>
      </c>
      <c r="F1113" s="46" t="str">
        <f aca="false">IFERROR(VLOOKUP(Orders!E1113,Sales_Reps!$A$2:$E$31,3,FALSE()),"Not Found")</f>
        <v>South</v>
      </c>
      <c r="G1113" s="46" t="n">
        <f aca="false">IFERROR(VLOOKUP(Orders!D1113,Products!$A$2:$F$61,4,FALSE()),"")</f>
        <v>147</v>
      </c>
      <c r="H1113" s="47" t="n">
        <f aca="false">IF(G1113="","",(Orders!G1113-G1113)/Orders!G1113)</f>
        <v>0.226315789473684</v>
      </c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</row>
    <row r="1114" customFormat="false" ht="15" hidden="false" customHeight="false" outlineLevel="0" collapsed="false">
      <c r="A1114" s="46" t="str">
        <f aca="false">Orders!A1114</f>
        <v>ORD-01113</v>
      </c>
      <c r="B1114" s="46" t="str">
        <f aca="false">PROPER(TRIM(Orders!K1114))</f>
        <v>Chennai</v>
      </c>
      <c r="C1114" s="46" t="str">
        <f aca="false">IFERROR(VLOOKUP(Orders!D1114,Products!$A$2:$F$61,3,FALSE()),"Not Found")</f>
        <v>Grocery</v>
      </c>
      <c r="D1114" s="46" t="str">
        <f aca="false">IFERROR(VLOOKUP(Orders!C1114,Customers!$A$2:$F$301,5,FALSE()),"Not Found")</f>
        <v>Corporate</v>
      </c>
      <c r="E1114" s="46" t="n">
        <f aca="false">IFERROR(VLOOKUP(Orders!C1114,Customers!$A$2:$F$301,3,FALSE()),"Not Found")</f>
        <v>38</v>
      </c>
      <c r="F1114" s="46" t="str">
        <f aca="false">IFERROR(VLOOKUP(Orders!E1114,Sales_Reps!$A$2:$E$31,3,FALSE()),"Not Found")</f>
        <v>East</v>
      </c>
      <c r="G1114" s="46" t="n">
        <f aca="false">IFERROR(VLOOKUP(Orders!D1114,Products!$A$2:$F$61,4,FALSE()),"")</f>
        <v>1010</v>
      </c>
      <c r="H1114" s="47" t="n">
        <f aca="false">IF(G1114="","",(Orders!G1114-G1114)/Orders!G1114)</f>
        <v>0.542986425339367</v>
      </c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</row>
    <row r="1115" customFormat="false" ht="15" hidden="false" customHeight="false" outlineLevel="0" collapsed="false">
      <c r="A1115" s="46" t="str">
        <f aca="false">Orders!A1115</f>
        <v>ORD-01114</v>
      </c>
      <c r="B1115" s="46" t="str">
        <f aca="false">PROPER(TRIM(Orders!K1115))</f>
        <v>Delhi</v>
      </c>
      <c r="C1115" s="46" t="str">
        <f aca="false">IFERROR(VLOOKUP(Orders!D1115,Products!$A$2:$F$61,3,FALSE()),"Not Found")</f>
        <v>Apparel</v>
      </c>
      <c r="D1115" s="46" t="str">
        <f aca="false">IFERROR(VLOOKUP(Orders!C1115,Customers!$A$2:$F$301,5,FALSE()),"Not Found")</f>
        <v>Retail</v>
      </c>
      <c r="E1115" s="46" t="n">
        <f aca="false">IFERROR(VLOOKUP(Orders!C1115,Customers!$A$2:$F$301,3,FALSE()),"Not Found")</f>
        <v>44</v>
      </c>
      <c r="F1115" s="46" t="str">
        <f aca="false">IFERROR(VLOOKUP(Orders!E1115,Sales_Reps!$A$2:$E$31,3,FALSE()),"Not Found")</f>
        <v>North</v>
      </c>
      <c r="G1115" s="46" t="n">
        <f aca="false">IFERROR(VLOOKUP(Orders!D1115,Products!$A$2:$F$61,4,FALSE()),"")</f>
        <v>2611</v>
      </c>
      <c r="H1115" s="47" t="n">
        <f aca="false">IF(G1115="","",(Orders!G1115-G1115)/Orders!G1115)</f>
        <v>0.282692307692308</v>
      </c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</row>
    <row r="1116" customFormat="false" ht="15" hidden="false" customHeight="false" outlineLevel="0" collapsed="false">
      <c r="A1116" s="46" t="str">
        <f aca="false">Orders!A1116</f>
        <v>ORD-01115</v>
      </c>
      <c r="B1116" s="46" t="str">
        <f aca="false">PROPER(TRIM(Orders!K1116))</f>
        <v>Bengaluru</v>
      </c>
      <c r="C1116" s="46" t="str">
        <f aca="false">IFERROR(VLOOKUP(Orders!D1116,Products!$A$2:$F$61,3,FALSE()),"Not Found")</f>
        <v>Electronics</v>
      </c>
      <c r="D1116" s="46" t="str">
        <f aca="false">IFERROR(VLOOKUP(Orders!C1116,Customers!$A$2:$F$301,5,FALSE()),"Not Found")</f>
        <v>Retail</v>
      </c>
      <c r="E1116" s="46" t="n">
        <f aca="false">IFERROR(VLOOKUP(Orders!C1116,Customers!$A$2:$F$301,3,FALSE()),"Not Found")</f>
        <v>35</v>
      </c>
      <c r="F1116" s="46" t="str">
        <f aca="false">IFERROR(VLOOKUP(Orders!E1116,Sales_Reps!$A$2:$E$31,3,FALSE()),"Not Found")</f>
        <v>South</v>
      </c>
      <c r="G1116" s="46" t="n">
        <f aca="false">IFERROR(VLOOKUP(Orders!D1116,Products!$A$2:$F$61,4,FALSE()),"")</f>
        <v>517</v>
      </c>
      <c r="H1116" s="47" t="n">
        <f aca="false">IF(G1116="","",(Orders!G1116-G1116)/Orders!G1116)</f>
        <v>0.576229508196721</v>
      </c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</row>
    <row r="1117" customFormat="false" ht="15" hidden="false" customHeight="false" outlineLevel="0" collapsed="false">
      <c r="A1117" s="46" t="str">
        <f aca="false">Orders!A1117</f>
        <v>ORD-01116</v>
      </c>
      <c r="B1117" s="46" t="str">
        <f aca="false">PROPER(TRIM(Orders!K1117))</f>
        <v>Chennai</v>
      </c>
      <c r="C1117" s="46" t="str">
        <f aca="false">IFERROR(VLOOKUP(Orders!D1117,Products!$A$2:$F$61,3,FALSE()),"Not Found")</f>
        <v>Sports</v>
      </c>
      <c r="D1117" s="46" t="str">
        <f aca="false">IFERROR(VLOOKUP(Orders!C1117,Customers!$A$2:$F$301,5,FALSE()),"Not Found")</f>
        <v>Retail</v>
      </c>
      <c r="E1117" s="46" t="n">
        <f aca="false">IFERROR(VLOOKUP(Orders!C1117,Customers!$A$2:$F$301,3,FALSE()),"Not Found")</f>
        <v>26</v>
      </c>
      <c r="F1117" s="46" t="str">
        <f aca="false">IFERROR(VLOOKUP(Orders!E1117,Sales_Reps!$A$2:$E$31,3,FALSE()),"Not Found")</f>
        <v>South</v>
      </c>
      <c r="G1117" s="46" t="n">
        <f aca="false">IFERROR(VLOOKUP(Orders!D1117,Products!$A$2:$F$61,4,FALSE()),"")</f>
        <v>2827</v>
      </c>
      <c r="H1117" s="47" t="n">
        <f aca="false">IF(G1117="","",(Orders!G1117-G1117)/Orders!G1117)</f>
        <v>0.592651296829971</v>
      </c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</row>
    <row r="1118" customFormat="false" ht="15" hidden="false" customHeight="false" outlineLevel="0" collapsed="false">
      <c r="A1118" s="46" t="str">
        <f aca="false">Orders!A1118</f>
        <v>ORD-01117</v>
      </c>
      <c r="B1118" s="46" t="str">
        <f aca="false">PROPER(TRIM(Orders!K1118))</f>
        <v>Delhi</v>
      </c>
      <c r="C1118" s="46" t="str">
        <f aca="false">IFERROR(VLOOKUP(Orders!D1118,Products!$A$2:$F$61,3,FALSE()),"Not Found")</f>
        <v>Sports</v>
      </c>
      <c r="D1118" s="46" t="str">
        <f aca="false">IFERROR(VLOOKUP(Orders!C1118,Customers!$A$2:$F$301,5,FALSE()),"Not Found")</f>
        <v>SMB</v>
      </c>
      <c r="E1118" s="46" t="n">
        <f aca="false">IFERROR(VLOOKUP(Orders!C1118,Customers!$A$2:$F$301,3,FALSE()),"Not Found")</f>
        <v>38</v>
      </c>
      <c r="F1118" s="46" t="str">
        <f aca="false">IFERROR(VLOOKUP(Orders!E1118,Sales_Reps!$A$2:$E$31,3,FALSE()),"Not Found")</f>
        <v>South</v>
      </c>
      <c r="G1118" s="46" t="n">
        <f aca="false">IFERROR(VLOOKUP(Orders!D1118,Products!$A$2:$F$61,4,FALSE()),"")</f>
        <v>2028</v>
      </c>
      <c r="H1118" s="47" t="n">
        <f aca="false">IF(G1118="","",(Orders!G1118-G1118)/Orders!G1118)</f>
        <v>0.290909090909091</v>
      </c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</row>
    <row r="1119" customFormat="false" ht="15" hidden="false" customHeight="false" outlineLevel="0" collapsed="false">
      <c r="A1119" s="46" t="str">
        <f aca="false">Orders!A1119</f>
        <v>ORD-01118</v>
      </c>
      <c r="B1119" s="46" t="str">
        <f aca="false">PROPER(TRIM(Orders!K1119))</f>
        <v>Chennai</v>
      </c>
      <c r="C1119" s="46" t="str">
        <f aca="false">IFERROR(VLOOKUP(Orders!D1119,Products!$A$2:$F$61,3,FALSE()),"Not Found")</f>
        <v>Apparel</v>
      </c>
      <c r="D1119" s="46" t="str">
        <f aca="false">IFERROR(VLOOKUP(Orders!C1119,Customers!$A$2:$F$301,5,FALSE()),"Not Found")</f>
        <v>SMB</v>
      </c>
      <c r="E1119" s="46" t="n">
        <f aca="false">IFERROR(VLOOKUP(Orders!C1119,Customers!$A$2:$F$301,3,FALSE()),"Not Found")</f>
        <v>52</v>
      </c>
      <c r="F1119" s="46" t="str">
        <f aca="false">IFERROR(VLOOKUP(Orders!E1119,Sales_Reps!$A$2:$E$31,3,FALSE()),"Not Found")</f>
        <v>East</v>
      </c>
      <c r="G1119" s="46" t="n">
        <f aca="false">IFERROR(VLOOKUP(Orders!D1119,Products!$A$2:$F$61,4,FALSE()),"")</f>
        <v>1962</v>
      </c>
      <c r="H1119" s="47" t="n">
        <f aca="false">IF(G1119="","",(Orders!G1119-G1119)/Orders!G1119)</f>
        <v>0.278676470588235</v>
      </c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</row>
    <row r="1120" customFormat="false" ht="15" hidden="false" customHeight="false" outlineLevel="0" collapsed="false">
      <c r="A1120" s="46" t="str">
        <f aca="false">Orders!A1120</f>
        <v>ORD-01119</v>
      </c>
      <c r="B1120" s="46" t="str">
        <f aca="false">PROPER(TRIM(Orders!K1120))</f>
        <v>Mumbai</v>
      </c>
      <c r="C1120" s="46" t="str">
        <f aca="false">IFERROR(VLOOKUP(Orders!D1120,Products!$A$2:$F$61,3,FALSE()),"Not Found")</f>
        <v>Apparel</v>
      </c>
      <c r="D1120" s="46" t="str">
        <f aca="false">IFERROR(VLOOKUP(Orders!C1120,Customers!$A$2:$F$301,5,FALSE()),"Not Found")</f>
        <v>Retail</v>
      </c>
      <c r="E1120" s="46" t="n">
        <f aca="false">IFERROR(VLOOKUP(Orders!C1120,Customers!$A$2:$F$301,3,FALSE()),"Not Found")</f>
        <v>40</v>
      </c>
      <c r="F1120" s="46" t="str">
        <f aca="false">IFERROR(VLOOKUP(Orders!E1120,Sales_Reps!$A$2:$E$31,3,FALSE()),"Not Found")</f>
        <v>North</v>
      </c>
      <c r="G1120" s="46" t="n">
        <f aca="false">IFERROR(VLOOKUP(Orders!D1120,Products!$A$2:$F$61,4,FALSE()),"")</f>
        <v>391</v>
      </c>
      <c r="H1120" s="47" t="n">
        <f aca="false">IF(G1120="","",(Orders!G1120-G1120)/Orders!G1120)</f>
        <v>0.523170731707317</v>
      </c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</row>
    <row r="1121" customFormat="false" ht="15" hidden="false" customHeight="false" outlineLevel="0" collapsed="false">
      <c r="A1121" s="46" t="str">
        <f aca="false">Orders!A1121</f>
        <v>ORD-01120</v>
      </c>
      <c r="B1121" s="46" t="str">
        <f aca="false">PROPER(TRIM(Orders!K1121))</f>
        <v>Chennai</v>
      </c>
      <c r="C1121" s="46" t="str">
        <f aca="false">IFERROR(VLOOKUP(Orders!D1121,Products!$A$2:$F$61,3,FALSE()),"Not Found")</f>
        <v>Beauty</v>
      </c>
      <c r="D1121" s="46" t="str">
        <f aca="false">IFERROR(VLOOKUP(Orders!C1121,Customers!$A$2:$F$301,5,FALSE()),"Not Found")</f>
        <v>SMB</v>
      </c>
      <c r="E1121" s="46" t="n">
        <f aca="false">IFERROR(VLOOKUP(Orders!C1121,Customers!$A$2:$F$301,3,FALSE()),"Not Found")</f>
        <v>51</v>
      </c>
      <c r="F1121" s="46" t="str">
        <f aca="false">IFERROR(VLOOKUP(Orders!E1121,Sales_Reps!$A$2:$E$31,3,FALSE()),"Not Found")</f>
        <v>East</v>
      </c>
      <c r="G1121" s="46" t="n">
        <f aca="false">IFERROR(VLOOKUP(Orders!D1121,Products!$A$2:$F$61,4,FALSE()),"")</f>
        <v>1219</v>
      </c>
      <c r="H1121" s="47" t="n">
        <f aca="false">IF(G1121="","",(Orders!G1121-G1121)/Orders!G1121)</f>
        <v>0.467685589519651</v>
      </c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</row>
    <row r="1122" customFormat="false" ht="15" hidden="false" customHeight="false" outlineLevel="0" collapsed="false">
      <c r="A1122" s="46" t="str">
        <f aca="false">Orders!A1122</f>
        <v>ORD-01121</v>
      </c>
      <c r="B1122" s="46" t="str">
        <f aca="false">PROPER(TRIM(Orders!K1122))</f>
        <v>Hyderabad</v>
      </c>
      <c r="C1122" s="46" t="str">
        <f aca="false">IFERROR(VLOOKUP(Orders!D1122,Products!$A$2:$F$61,3,FALSE()),"Not Found")</f>
        <v>Beauty</v>
      </c>
      <c r="D1122" s="46" t="str">
        <f aca="false">IFERROR(VLOOKUP(Orders!C1122,Customers!$A$2:$F$301,5,FALSE()),"Not Found")</f>
        <v>Retail</v>
      </c>
      <c r="E1122" s="46" t="n">
        <f aca="false">IFERROR(VLOOKUP(Orders!C1122,Customers!$A$2:$F$301,3,FALSE()),"Not Found")</f>
        <v>28</v>
      </c>
      <c r="F1122" s="46" t="str">
        <f aca="false">IFERROR(VLOOKUP(Orders!E1122,Sales_Reps!$A$2:$E$31,3,FALSE()),"Not Found")</f>
        <v>East</v>
      </c>
      <c r="G1122" s="46" t="n">
        <f aca="false">IFERROR(VLOOKUP(Orders!D1122,Products!$A$2:$F$61,4,FALSE()),"")</f>
        <v>2420</v>
      </c>
      <c r="H1122" s="47" t="n">
        <f aca="false">IF(G1122="","",(Orders!G1122-G1122)/Orders!G1122)</f>
        <v>0.298550724637681</v>
      </c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</row>
    <row r="1123" customFormat="false" ht="15" hidden="false" customHeight="false" outlineLevel="0" collapsed="false">
      <c r="A1123" s="46" t="str">
        <f aca="false">Orders!A1123</f>
        <v>ORD-01122</v>
      </c>
      <c r="B1123" s="46" t="str">
        <f aca="false">PROPER(TRIM(Orders!K1123))</f>
        <v>Bengaluru</v>
      </c>
      <c r="C1123" s="46" t="str">
        <f aca="false">IFERROR(VLOOKUP(Orders!D1123,Products!$A$2:$F$61,3,FALSE()),"Not Found")</f>
        <v>Home</v>
      </c>
      <c r="D1123" s="46" t="str">
        <f aca="false">IFERROR(VLOOKUP(Orders!C1123,Customers!$A$2:$F$301,5,FALSE()),"Not Found")</f>
        <v>Retail</v>
      </c>
      <c r="E1123" s="46" t="n">
        <f aca="false">IFERROR(VLOOKUP(Orders!C1123,Customers!$A$2:$F$301,3,FALSE()),"Not Found")</f>
        <v>42</v>
      </c>
      <c r="F1123" s="46" t="str">
        <f aca="false">IFERROR(VLOOKUP(Orders!E1123,Sales_Reps!$A$2:$E$31,3,FALSE()),"Not Found")</f>
        <v>North</v>
      </c>
      <c r="G1123" s="46" t="n">
        <f aca="false">IFERROR(VLOOKUP(Orders!D1123,Products!$A$2:$F$61,4,FALSE()),"")</f>
        <v>1143</v>
      </c>
      <c r="H1123" s="47" t="n">
        <f aca="false">IF(G1123="","",(Orders!G1123-G1123)/Orders!G1123)</f>
        <v>0.436945812807882</v>
      </c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</row>
    <row r="1124" customFormat="false" ht="15" hidden="false" customHeight="false" outlineLevel="0" collapsed="false">
      <c r="A1124" s="46" t="str">
        <f aca="false">Orders!A1124</f>
        <v>ORD-01123</v>
      </c>
      <c r="B1124" s="46" t="str">
        <f aca="false">PROPER(TRIM(Orders!K1124))</f>
        <v>Mumbai</v>
      </c>
      <c r="C1124" s="46" t="str">
        <f aca="false">IFERROR(VLOOKUP(Orders!D1124,Products!$A$2:$F$61,3,FALSE()),"Not Found")</f>
        <v>Sports</v>
      </c>
      <c r="D1124" s="46" t="str">
        <f aca="false">IFERROR(VLOOKUP(Orders!C1124,Customers!$A$2:$F$301,5,FALSE()),"Not Found")</f>
        <v>SMB</v>
      </c>
      <c r="E1124" s="46" t="n">
        <f aca="false">IFERROR(VLOOKUP(Orders!C1124,Customers!$A$2:$F$301,3,FALSE()),"Not Found")</f>
        <v>65</v>
      </c>
      <c r="F1124" s="46" t="str">
        <f aca="false">IFERROR(VLOOKUP(Orders!E1124,Sales_Reps!$A$2:$E$31,3,FALSE()),"Not Found")</f>
        <v>East</v>
      </c>
      <c r="G1124" s="46" t="n">
        <f aca="false">IFERROR(VLOOKUP(Orders!D1124,Products!$A$2:$F$61,4,FALSE()),"")</f>
        <v>974</v>
      </c>
      <c r="H1124" s="47" t="n">
        <f aca="false">IF(G1124="","",(Orders!G1124-G1124)/Orders!G1124)</f>
        <v>0.594166666666667</v>
      </c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</row>
    <row r="1125" customFormat="false" ht="15" hidden="false" customHeight="false" outlineLevel="0" collapsed="false">
      <c r="A1125" s="46" t="str">
        <f aca="false">Orders!A1125</f>
        <v>ORD-01124</v>
      </c>
      <c r="B1125" s="46" t="str">
        <f aca="false">PROPER(TRIM(Orders!K1125))</f>
        <v>Mumbai</v>
      </c>
      <c r="C1125" s="46" t="str">
        <f aca="false">IFERROR(VLOOKUP(Orders!D1125,Products!$A$2:$F$61,3,FALSE()),"Not Found")</f>
        <v>Home</v>
      </c>
      <c r="D1125" s="46" t="str">
        <f aca="false">IFERROR(VLOOKUP(Orders!C1125,Customers!$A$2:$F$301,5,FALSE()),"Not Found")</f>
        <v>SMB</v>
      </c>
      <c r="E1125" s="46" t="n">
        <f aca="false">IFERROR(VLOOKUP(Orders!C1125,Customers!$A$2:$F$301,3,FALSE()),"Not Found")</f>
        <v>27</v>
      </c>
      <c r="F1125" s="46" t="str">
        <f aca="false">IFERROR(VLOOKUP(Orders!E1125,Sales_Reps!$A$2:$E$31,3,FALSE()),"Not Found")</f>
        <v>South</v>
      </c>
      <c r="G1125" s="46" t="n">
        <f aca="false">IFERROR(VLOOKUP(Orders!D1125,Products!$A$2:$F$61,4,FALSE()),"")</f>
        <v>1143</v>
      </c>
      <c r="H1125" s="47" t="n">
        <f aca="false">IF(G1125="","",(Orders!G1125-G1125)/Orders!G1125)</f>
        <v>0.436945812807882</v>
      </c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</row>
    <row r="1126" customFormat="false" ht="15" hidden="false" customHeight="false" outlineLevel="0" collapsed="false">
      <c r="A1126" s="46" t="str">
        <f aca="false">Orders!A1126</f>
        <v>ORD-01125</v>
      </c>
      <c r="B1126" s="46" t="str">
        <f aca="false">PROPER(TRIM(Orders!K1126))</f>
        <v>Chennai</v>
      </c>
      <c r="C1126" s="46" t="str">
        <f aca="false">IFERROR(VLOOKUP(Orders!D1126,Products!$A$2:$F$61,3,FALSE()),"Not Found")</f>
        <v>Grocery</v>
      </c>
      <c r="D1126" s="46" t="str">
        <f aca="false">IFERROR(VLOOKUP(Orders!C1126,Customers!$A$2:$F$301,5,FALSE()),"Not Found")</f>
        <v>Corporate</v>
      </c>
      <c r="E1126" s="46" t="n">
        <f aca="false">IFERROR(VLOOKUP(Orders!C1126,Customers!$A$2:$F$301,3,FALSE()),"Not Found")</f>
        <v>55</v>
      </c>
      <c r="F1126" s="46" t="str">
        <f aca="false">IFERROR(VLOOKUP(Orders!E1126,Sales_Reps!$A$2:$E$31,3,FALSE()),"Not Found")</f>
        <v>North</v>
      </c>
      <c r="G1126" s="46" t="n">
        <f aca="false">IFERROR(VLOOKUP(Orders!D1126,Products!$A$2:$F$61,4,FALSE()),"")</f>
        <v>2911</v>
      </c>
      <c r="H1126" s="47" t="n">
        <f aca="false">IF(G1126="","",(Orders!G1126-G1126)/Orders!G1126)</f>
        <v>0.283004926108374</v>
      </c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</row>
    <row r="1127" customFormat="false" ht="15" hidden="false" customHeight="false" outlineLevel="0" collapsed="false">
      <c r="A1127" s="46" t="str">
        <f aca="false">Orders!A1127</f>
        <v>ORD-01126</v>
      </c>
      <c r="B1127" s="46" t="str">
        <f aca="false">PROPER(TRIM(Orders!K1127))</f>
        <v>Pune</v>
      </c>
      <c r="C1127" s="46" t="str">
        <f aca="false">IFERROR(VLOOKUP(Orders!D1127,Products!$A$2:$F$61,3,FALSE()),"Not Found")</f>
        <v>Home</v>
      </c>
      <c r="D1127" s="46" t="str">
        <f aca="false">IFERROR(VLOOKUP(Orders!C1127,Customers!$A$2:$F$301,5,FALSE()),"Not Found")</f>
        <v>SMB</v>
      </c>
      <c r="E1127" s="46" t="n">
        <f aca="false">IFERROR(VLOOKUP(Orders!C1127,Customers!$A$2:$F$301,3,FALSE()),"Not Found")</f>
        <v>53</v>
      </c>
      <c r="F1127" s="46" t="str">
        <f aca="false">IFERROR(VLOOKUP(Orders!E1127,Sales_Reps!$A$2:$E$31,3,FALSE()),"Not Found")</f>
        <v>South</v>
      </c>
      <c r="G1127" s="46" t="n">
        <f aca="false">IFERROR(VLOOKUP(Orders!D1127,Products!$A$2:$F$61,4,FALSE()),"")</f>
        <v>1143</v>
      </c>
      <c r="H1127" s="47" t="n">
        <f aca="false">IF(G1127="","",(Orders!G1127-G1127)/Orders!G1127)</f>
        <v>0.436945812807882</v>
      </c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</row>
    <row r="1128" customFormat="false" ht="15" hidden="false" customHeight="false" outlineLevel="0" collapsed="false">
      <c r="A1128" s="46" t="str">
        <f aca="false">Orders!A1128</f>
        <v>ORD-01127</v>
      </c>
      <c r="B1128" s="46" t="str">
        <f aca="false">PROPER(TRIM(Orders!K1128))</f>
        <v>Pune</v>
      </c>
      <c r="C1128" s="46" t="str">
        <f aca="false">IFERROR(VLOOKUP(Orders!D1128,Products!$A$2:$F$61,3,FALSE()),"Not Found")</f>
        <v>Beauty</v>
      </c>
      <c r="D1128" s="46" t="str">
        <f aca="false">IFERROR(VLOOKUP(Orders!C1128,Customers!$A$2:$F$301,5,FALSE()),"Not Found")</f>
        <v>Retail</v>
      </c>
      <c r="E1128" s="46" t="n">
        <f aca="false">IFERROR(VLOOKUP(Orders!C1128,Customers!$A$2:$F$301,3,FALSE()),"Not Found")</f>
        <v>36</v>
      </c>
      <c r="F1128" s="46" t="str">
        <f aca="false">IFERROR(VLOOKUP(Orders!E1128,Sales_Reps!$A$2:$E$31,3,FALSE()),"Not Found")</f>
        <v>South</v>
      </c>
      <c r="G1128" s="46" t="n">
        <f aca="false">IFERROR(VLOOKUP(Orders!D1128,Products!$A$2:$F$61,4,FALSE()),"")</f>
        <v>1728</v>
      </c>
      <c r="H1128" s="47" t="n">
        <f aca="false">IF(G1128="","",(Orders!G1128-G1128)/Orders!G1128)</f>
        <v>0.484179104477612</v>
      </c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</row>
    <row r="1129" customFormat="false" ht="15" hidden="false" customHeight="false" outlineLevel="0" collapsed="false">
      <c r="A1129" s="46" t="str">
        <f aca="false">Orders!A1129</f>
        <v>ORD-01128</v>
      </c>
      <c r="B1129" s="46" t="str">
        <f aca="false">PROPER(TRIM(Orders!K1129))</f>
        <v>Hyderabad</v>
      </c>
      <c r="C1129" s="46" t="str">
        <f aca="false">IFERROR(VLOOKUP(Orders!D1129,Products!$A$2:$F$61,3,FALSE()),"Not Found")</f>
        <v>Home</v>
      </c>
      <c r="D1129" s="46" t="str">
        <f aca="false">IFERROR(VLOOKUP(Orders!C1129,Customers!$A$2:$F$301,5,FALSE()),"Not Found")</f>
        <v>Corporate</v>
      </c>
      <c r="E1129" s="46" t="n">
        <f aca="false">IFERROR(VLOOKUP(Orders!C1129,Customers!$A$2:$F$301,3,FALSE()),"Not Found")</f>
        <v>43</v>
      </c>
      <c r="F1129" s="46" t="str">
        <f aca="false">IFERROR(VLOOKUP(Orders!E1129,Sales_Reps!$A$2:$E$31,3,FALSE()),"Not Found")</f>
        <v>North</v>
      </c>
      <c r="G1129" s="46" t="n">
        <f aca="false">IFERROR(VLOOKUP(Orders!D1129,Products!$A$2:$F$61,4,FALSE()),"")</f>
        <v>329</v>
      </c>
      <c r="H1129" s="47" t="n">
        <f aca="false">IF(G1129="","",(Orders!G1129-G1129)/Orders!G1129)</f>
        <v>0.501515151515152</v>
      </c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</row>
    <row r="1130" customFormat="false" ht="15" hidden="false" customHeight="false" outlineLevel="0" collapsed="false">
      <c r="A1130" s="46" t="str">
        <f aca="false">Orders!A1130</f>
        <v>ORD-01129</v>
      </c>
      <c r="B1130" s="46" t="str">
        <f aca="false">PROPER(TRIM(Orders!K1130))</f>
        <v>Delhi</v>
      </c>
      <c r="C1130" s="46" t="str">
        <f aca="false">IFERROR(VLOOKUP(Orders!D1130,Products!$A$2:$F$61,3,FALSE()),"Not Found")</f>
        <v>Beauty</v>
      </c>
      <c r="D1130" s="46" t="str">
        <f aca="false">IFERROR(VLOOKUP(Orders!C1130,Customers!$A$2:$F$301,5,FALSE()),"Not Found")</f>
        <v>Retail</v>
      </c>
      <c r="E1130" s="46" t="n">
        <f aca="false">IFERROR(VLOOKUP(Orders!C1130,Customers!$A$2:$F$301,3,FALSE()),"Not Found")</f>
        <v>54</v>
      </c>
      <c r="F1130" s="46" t="str">
        <f aca="false">IFERROR(VLOOKUP(Orders!E1130,Sales_Reps!$A$2:$E$31,3,FALSE()),"Not Found")</f>
        <v>South</v>
      </c>
      <c r="G1130" s="46" t="n">
        <f aca="false">IFERROR(VLOOKUP(Orders!D1130,Products!$A$2:$F$61,4,FALSE()),"")</f>
        <v>1626</v>
      </c>
      <c r="H1130" s="47" t="n">
        <f aca="false">IF(G1130="","",(Orders!G1130-G1130)/Orders!G1130)</f>
        <v>0.46158940397351</v>
      </c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</row>
    <row r="1131" customFormat="false" ht="15" hidden="false" customHeight="false" outlineLevel="0" collapsed="false">
      <c r="A1131" s="46" t="str">
        <f aca="false">Orders!A1131</f>
        <v>ORD-01130</v>
      </c>
      <c r="B1131" s="46" t="str">
        <f aca="false">PROPER(TRIM(Orders!K1131))</f>
        <v>Mumbai</v>
      </c>
      <c r="C1131" s="46" t="str">
        <f aca="false">IFERROR(VLOOKUP(Orders!D1131,Products!$A$2:$F$61,3,FALSE()),"Not Found")</f>
        <v>Electronics</v>
      </c>
      <c r="D1131" s="46" t="str">
        <f aca="false">IFERROR(VLOOKUP(Orders!C1131,Customers!$A$2:$F$301,5,FALSE()),"Not Found")</f>
        <v>SMB</v>
      </c>
      <c r="E1131" s="46" t="n">
        <f aca="false">IFERROR(VLOOKUP(Orders!C1131,Customers!$A$2:$F$301,3,FALSE()),"Not Found")</f>
        <v>61</v>
      </c>
      <c r="F1131" s="46" t="str">
        <f aca="false">IFERROR(VLOOKUP(Orders!E1131,Sales_Reps!$A$2:$E$31,3,FALSE()),"Not Found")</f>
        <v>North</v>
      </c>
      <c r="G1131" s="46" t="n">
        <f aca="false">IFERROR(VLOOKUP(Orders!D1131,Products!$A$2:$F$61,4,FALSE()),"")</f>
        <v>1259</v>
      </c>
      <c r="H1131" s="47" t="n">
        <f aca="false">IF(G1131="","",(Orders!G1131-G1131)/Orders!G1131)</f>
        <v>0.526691729323308</v>
      </c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</row>
    <row r="1132" customFormat="false" ht="15" hidden="false" customHeight="false" outlineLevel="0" collapsed="false">
      <c r="A1132" s="46" t="str">
        <f aca="false">Orders!A1132</f>
        <v>ORD-01131</v>
      </c>
      <c r="B1132" s="46" t="str">
        <f aca="false">PROPER(TRIM(Orders!K1132))</f>
        <v>Mumbai</v>
      </c>
      <c r="C1132" s="46" t="str">
        <f aca="false">IFERROR(VLOOKUP(Orders!D1132,Products!$A$2:$F$61,3,FALSE()),"Not Found")</f>
        <v>Sports</v>
      </c>
      <c r="D1132" s="46" t="str">
        <f aca="false">IFERROR(VLOOKUP(Orders!C1132,Customers!$A$2:$F$301,5,FALSE()),"Not Found")</f>
        <v>Retail</v>
      </c>
      <c r="E1132" s="46" t="n">
        <f aca="false">IFERROR(VLOOKUP(Orders!C1132,Customers!$A$2:$F$301,3,FALSE()),"Not Found")</f>
        <v>49</v>
      </c>
      <c r="F1132" s="46" t="str">
        <f aca="false">IFERROR(VLOOKUP(Orders!E1132,Sales_Reps!$A$2:$E$31,3,FALSE()),"Not Found")</f>
        <v>North</v>
      </c>
      <c r="G1132" s="46" t="n">
        <f aca="false">IFERROR(VLOOKUP(Orders!D1132,Products!$A$2:$F$61,4,FALSE()),"")</f>
        <v>516</v>
      </c>
      <c r="H1132" s="47" t="n">
        <f aca="false">IF(G1132="","",(Orders!G1132-G1132)/Orders!G1132)</f>
        <v>0.489108910891089</v>
      </c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</row>
    <row r="1133" customFormat="false" ht="15" hidden="false" customHeight="false" outlineLevel="0" collapsed="false">
      <c r="A1133" s="46" t="str">
        <f aca="false">Orders!A1133</f>
        <v>ORD-01132</v>
      </c>
      <c r="B1133" s="46" t="str">
        <f aca="false">PROPER(TRIM(Orders!K1133))</f>
        <v>Hyderabad</v>
      </c>
      <c r="C1133" s="46" t="str">
        <f aca="false">IFERROR(VLOOKUP(Orders!D1133,Products!$A$2:$F$61,3,FALSE()),"Not Found")</f>
        <v>Home</v>
      </c>
      <c r="D1133" s="46" t="str">
        <f aca="false">IFERROR(VLOOKUP(Orders!C1133,Customers!$A$2:$F$301,5,FALSE()),"Not Found")</f>
        <v>Retail</v>
      </c>
      <c r="E1133" s="46" t="n">
        <f aca="false">IFERROR(VLOOKUP(Orders!C1133,Customers!$A$2:$F$301,3,FALSE()),"Not Found")</f>
        <v>35</v>
      </c>
      <c r="F1133" s="46" t="str">
        <f aca="false">IFERROR(VLOOKUP(Orders!E1133,Sales_Reps!$A$2:$E$31,3,FALSE()),"Not Found")</f>
        <v>East</v>
      </c>
      <c r="G1133" s="46" t="n">
        <f aca="false">IFERROR(VLOOKUP(Orders!D1133,Products!$A$2:$F$61,4,FALSE()),"")</f>
        <v>2549</v>
      </c>
      <c r="H1133" s="47" t="n">
        <f aca="false">IF(G1133="","",(Orders!G1133-G1133)/Orders!G1133)</f>
        <v>0.535701275045537</v>
      </c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</row>
    <row r="1134" customFormat="false" ht="15" hidden="false" customHeight="false" outlineLevel="0" collapsed="false">
      <c r="A1134" s="46" t="str">
        <f aca="false">Orders!A1134</f>
        <v>ORD-01133</v>
      </c>
      <c r="B1134" s="46" t="str">
        <f aca="false">PROPER(TRIM(Orders!K1134))</f>
        <v>Mumbai</v>
      </c>
      <c r="C1134" s="46" t="str">
        <f aca="false">IFERROR(VLOOKUP(Orders!D1134,Products!$A$2:$F$61,3,FALSE()),"Not Found")</f>
        <v>Sports</v>
      </c>
      <c r="D1134" s="46" t="str">
        <f aca="false">IFERROR(VLOOKUP(Orders!C1134,Customers!$A$2:$F$301,5,FALSE()),"Not Found")</f>
        <v>Retail</v>
      </c>
      <c r="E1134" s="46" t="n">
        <f aca="false">IFERROR(VLOOKUP(Orders!C1134,Customers!$A$2:$F$301,3,FALSE()),"Not Found")</f>
        <v>54</v>
      </c>
      <c r="F1134" s="46" t="str">
        <f aca="false">IFERROR(VLOOKUP(Orders!E1134,Sales_Reps!$A$2:$E$31,3,FALSE()),"Not Found")</f>
        <v>East</v>
      </c>
      <c r="G1134" s="46" t="n">
        <f aca="false">IFERROR(VLOOKUP(Orders!D1134,Products!$A$2:$F$61,4,FALSE()),"")</f>
        <v>974</v>
      </c>
      <c r="H1134" s="47" t="n">
        <f aca="false">IF(G1134="","",(Orders!G1134-G1134)/Orders!G1134)</f>
        <v>0.594166666666667</v>
      </c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</row>
    <row r="1135" customFormat="false" ht="15" hidden="false" customHeight="false" outlineLevel="0" collapsed="false">
      <c r="A1135" s="46" t="str">
        <f aca="false">Orders!A1135</f>
        <v>ORD-01134</v>
      </c>
      <c r="B1135" s="46" t="str">
        <f aca="false">PROPER(TRIM(Orders!K1135))</f>
        <v>Delhi</v>
      </c>
      <c r="C1135" s="46" t="str">
        <f aca="false">IFERROR(VLOOKUP(Orders!D1135,Products!$A$2:$F$61,3,FALSE()),"Not Found")</f>
        <v>Home</v>
      </c>
      <c r="D1135" s="46" t="str">
        <f aca="false">IFERROR(VLOOKUP(Orders!C1135,Customers!$A$2:$F$301,5,FALSE()),"Not Found")</f>
        <v>SMB</v>
      </c>
      <c r="E1135" s="46" t="n">
        <f aca="false">IFERROR(VLOOKUP(Orders!C1135,Customers!$A$2:$F$301,3,FALSE()),"Not Found")</f>
        <v>28</v>
      </c>
      <c r="F1135" s="46" t="str">
        <f aca="false">IFERROR(VLOOKUP(Orders!E1135,Sales_Reps!$A$2:$E$31,3,FALSE()),"Not Found")</f>
        <v>South</v>
      </c>
      <c r="G1135" s="46" t="n">
        <f aca="false">IFERROR(VLOOKUP(Orders!D1135,Products!$A$2:$F$61,4,FALSE()),"")</f>
        <v>329</v>
      </c>
      <c r="H1135" s="47" t="n">
        <f aca="false">IF(G1135="","",(Orders!G1135-G1135)/Orders!G1135)</f>
        <v>0.501515151515152</v>
      </c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</row>
    <row r="1136" customFormat="false" ht="15" hidden="false" customHeight="false" outlineLevel="0" collapsed="false">
      <c r="A1136" s="46" t="str">
        <f aca="false">Orders!A1136</f>
        <v>ORD-01135</v>
      </c>
      <c r="B1136" s="46" t="str">
        <f aca="false">PROPER(TRIM(Orders!K1136))</f>
        <v>Chennai</v>
      </c>
      <c r="C1136" s="46" t="str">
        <f aca="false">IFERROR(VLOOKUP(Orders!D1136,Products!$A$2:$F$61,3,FALSE()),"Not Found")</f>
        <v>Electronics</v>
      </c>
      <c r="D1136" s="46" t="str">
        <f aca="false">IFERROR(VLOOKUP(Orders!C1136,Customers!$A$2:$F$301,5,FALSE()),"Not Found")</f>
        <v>SMB</v>
      </c>
      <c r="E1136" s="46" t="n">
        <f aca="false">IFERROR(VLOOKUP(Orders!C1136,Customers!$A$2:$F$301,3,FALSE()),"Not Found")</f>
        <v>43</v>
      </c>
      <c r="F1136" s="46" t="str">
        <f aca="false">IFERROR(VLOOKUP(Orders!E1136,Sales_Reps!$A$2:$E$31,3,FALSE()),"Not Found")</f>
        <v>South</v>
      </c>
      <c r="G1136" s="46" t="n">
        <f aca="false">IFERROR(VLOOKUP(Orders!D1136,Products!$A$2:$F$61,4,FALSE()),"")</f>
        <v>2405</v>
      </c>
      <c r="H1136" s="47" t="n">
        <f aca="false">IF(G1136="","",(Orders!G1136-G1136)/Orders!G1136)</f>
        <v>0.548780487804878</v>
      </c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</row>
    <row r="1137" customFormat="false" ht="15" hidden="false" customHeight="false" outlineLevel="0" collapsed="false">
      <c r="A1137" s="46" t="str">
        <f aca="false">Orders!A1137</f>
        <v>ORD-01136</v>
      </c>
      <c r="B1137" s="46" t="str">
        <f aca="false">PROPER(TRIM(Orders!K1137))</f>
        <v>Chennai</v>
      </c>
      <c r="C1137" s="46" t="str">
        <f aca="false">IFERROR(VLOOKUP(Orders!D1137,Products!$A$2:$F$61,3,FALSE()),"Not Found")</f>
        <v>Electronics</v>
      </c>
      <c r="D1137" s="46" t="str">
        <f aca="false">IFERROR(VLOOKUP(Orders!C1137,Customers!$A$2:$F$301,5,FALSE()),"Not Found")</f>
        <v>Corporate</v>
      </c>
      <c r="E1137" s="46" t="n">
        <f aca="false">IFERROR(VLOOKUP(Orders!C1137,Customers!$A$2:$F$301,3,FALSE()),"Not Found")</f>
        <v>30</v>
      </c>
      <c r="F1137" s="46" t="str">
        <f aca="false">IFERROR(VLOOKUP(Orders!E1137,Sales_Reps!$A$2:$E$31,3,FALSE()),"Not Found")</f>
        <v>North</v>
      </c>
      <c r="G1137" s="46" t="n">
        <f aca="false">IFERROR(VLOOKUP(Orders!D1137,Products!$A$2:$F$61,4,FALSE()),"")</f>
        <v>1052</v>
      </c>
      <c r="H1137" s="47" t="n">
        <f aca="false">IF(G1137="","",(Orders!G1137-G1137)/Orders!G1137)</f>
        <v>0.595384615384615</v>
      </c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</row>
    <row r="1138" customFormat="false" ht="15" hidden="false" customHeight="false" outlineLevel="0" collapsed="false">
      <c r="A1138" s="46" t="str">
        <f aca="false">Orders!A1138</f>
        <v>ORD-01137</v>
      </c>
      <c r="B1138" s="46" t="str">
        <f aca="false">PROPER(TRIM(Orders!K1138))</f>
        <v>Bengaluru</v>
      </c>
      <c r="C1138" s="46" t="str">
        <f aca="false">IFERROR(VLOOKUP(Orders!D1138,Products!$A$2:$F$61,3,FALSE()),"Not Found")</f>
        <v>Home</v>
      </c>
      <c r="D1138" s="46" t="str">
        <f aca="false">IFERROR(VLOOKUP(Orders!C1138,Customers!$A$2:$F$301,5,FALSE()),"Not Found")</f>
        <v>Retail</v>
      </c>
      <c r="E1138" s="46" t="n">
        <f aca="false">IFERROR(VLOOKUP(Orders!C1138,Customers!$A$2:$F$301,3,FALSE()),"Not Found")</f>
        <v>53</v>
      </c>
      <c r="F1138" s="46" t="str">
        <f aca="false">IFERROR(VLOOKUP(Orders!E1138,Sales_Reps!$A$2:$E$31,3,FALSE()),"Not Found")</f>
        <v>East</v>
      </c>
      <c r="G1138" s="46" t="n">
        <f aca="false">IFERROR(VLOOKUP(Orders!D1138,Products!$A$2:$F$61,4,FALSE()),"")</f>
        <v>2459</v>
      </c>
      <c r="H1138" s="47" t="n">
        <f aca="false">IF(G1138="","",(Orders!G1138-G1138)/Orders!G1138)</f>
        <v>0.515944881889764</v>
      </c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</row>
    <row r="1139" customFormat="false" ht="15" hidden="false" customHeight="false" outlineLevel="0" collapsed="false">
      <c r="A1139" s="46" t="str">
        <f aca="false">Orders!A1139</f>
        <v>ORD-01138</v>
      </c>
      <c r="B1139" s="46" t="str">
        <f aca="false">PROPER(TRIM(Orders!K1139))</f>
        <v>Pune</v>
      </c>
      <c r="C1139" s="46" t="str">
        <f aca="false">IFERROR(VLOOKUP(Orders!D1139,Products!$A$2:$F$61,3,FALSE()),"Not Found")</f>
        <v>Grocery</v>
      </c>
      <c r="D1139" s="46" t="str">
        <f aca="false">IFERROR(VLOOKUP(Orders!C1139,Customers!$A$2:$F$301,5,FALSE()),"Not Found")</f>
        <v>Retail</v>
      </c>
      <c r="E1139" s="46" t="n">
        <f aca="false">IFERROR(VLOOKUP(Orders!C1139,Customers!$A$2:$F$301,3,FALSE()),"Not Found")</f>
        <v>44</v>
      </c>
      <c r="F1139" s="46" t="str">
        <f aca="false">IFERROR(VLOOKUP(Orders!E1139,Sales_Reps!$A$2:$E$31,3,FALSE()),"Not Found")</f>
        <v>North</v>
      </c>
      <c r="G1139" s="46" t="n">
        <f aca="false">IFERROR(VLOOKUP(Orders!D1139,Products!$A$2:$F$61,4,FALSE()),"")</f>
        <v>1182</v>
      </c>
      <c r="H1139" s="47" t="n">
        <f aca="false">IF(G1139="","",(Orders!G1139-G1139)/Orders!G1139)</f>
        <v>0.503361344537815</v>
      </c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</row>
    <row r="1140" customFormat="false" ht="15" hidden="false" customHeight="false" outlineLevel="0" collapsed="false">
      <c r="A1140" s="46" t="str">
        <f aca="false">Orders!A1140</f>
        <v>ORD-01139</v>
      </c>
      <c r="B1140" s="46" t="str">
        <f aca="false">PROPER(TRIM(Orders!K1140))</f>
        <v>Bengaluru</v>
      </c>
      <c r="C1140" s="46" t="str">
        <f aca="false">IFERROR(VLOOKUP(Orders!D1140,Products!$A$2:$F$61,3,FALSE()),"Not Found")</f>
        <v>Beauty</v>
      </c>
      <c r="D1140" s="46" t="str">
        <f aca="false">IFERROR(VLOOKUP(Orders!C1140,Customers!$A$2:$F$301,5,FALSE()),"Not Found")</f>
        <v>Retail</v>
      </c>
      <c r="E1140" s="46" t="n">
        <f aca="false">IFERROR(VLOOKUP(Orders!C1140,Customers!$A$2:$F$301,3,FALSE()),"Not Found")</f>
        <v>34</v>
      </c>
      <c r="F1140" s="46" t="str">
        <f aca="false">IFERROR(VLOOKUP(Orders!E1140,Sales_Reps!$A$2:$E$31,3,FALSE()),"Not Found")</f>
        <v>North</v>
      </c>
      <c r="G1140" s="46" t="n">
        <f aca="false">IFERROR(VLOOKUP(Orders!D1140,Products!$A$2:$F$61,4,FALSE()),"")</f>
        <v>2768</v>
      </c>
      <c r="H1140" s="47" t="n">
        <f aca="false">IF(G1140="","",(Orders!G1140-G1140)/Orders!G1140)</f>
        <v>0.432786885245902</v>
      </c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</row>
    <row r="1141" customFormat="false" ht="15" hidden="false" customHeight="false" outlineLevel="0" collapsed="false">
      <c r="A1141" s="46" t="str">
        <f aca="false">Orders!A1141</f>
        <v>ORD-01140</v>
      </c>
      <c r="B1141" s="46" t="str">
        <f aca="false">PROPER(TRIM(Orders!K1141))</f>
        <v>Chennai</v>
      </c>
      <c r="C1141" s="46" t="str">
        <f aca="false">IFERROR(VLOOKUP(Orders!D1141,Products!$A$2:$F$61,3,FALSE()),"Not Found")</f>
        <v>Beauty</v>
      </c>
      <c r="D1141" s="46" t="str">
        <f aca="false">IFERROR(VLOOKUP(Orders!C1141,Customers!$A$2:$F$301,5,FALSE()),"Not Found")</f>
        <v>SMB</v>
      </c>
      <c r="E1141" s="46" t="n">
        <f aca="false">IFERROR(VLOOKUP(Orders!C1141,Customers!$A$2:$F$301,3,FALSE()),"Not Found")</f>
        <v>26</v>
      </c>
      <c r="F1141" s="46" t="str">
        <f aca="false">IFERROR(VLOOKUP(Orders!E1141,Sales_Reps!$A$2:$E$31,3,FALSE()),"Not Found")</f>
        <v>South</v>
      </c>
      <c r="G1141" s="46" t="n">
        <f aca="false">IFERROR(VLOOKUP(Orders!D1141,Products!$A$2:$F$61,4,FALSE()),"")</f>
        <v>1728</v>
      </c>
      <c r="H1141" s="47" t="n">
        <f aca="false">IF(G1141="","",(Orders!G1141-G1141)/Orders!G1141)</f>
        <v>0.484179104477612</v>
      </c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</row>
    <row r="1142" customFormat="false" ht="15" hidden="false" customHeight="false" outlineLevel="0" collapsed="false">
      <c r="A1142" s="46" t="str">
        <f aca="false">Orders!A1142</f>
        <v>ORD-01141</v>
      </c>
      <c r="B1142" s="46" t="str">
        <f aca="false">PROPER(TRIM(Orders!K1142))</f>
        <v>Chennai</v>
      </c>
      <c r="C1142" s="46" t="str">
        <f aca="false">IFERROR(VLOOKUP(Orders!D1142,Products!$A$2:$F$61,3,FALSE()),"Not Found")</f>
        <v>Grocery</v>
      </c>
      <c r="D1142" s="46" t="str">
        <f aca="false">IFERROR(VLOOKUP(Orders!C1142,Customers!$A$2:$F$301,5,FALSE()),"Not Found")</f>
        <v>Retail</v>
      </c>
      <c r="E1142" s="46" t="n">
        <f aca="false">IFERROR(VLOOKUP(Orders!C1142,Customers!$A$2:$F$301,3,FALSE()),"Not Found")</f>
        <v>35</v>
      </c>
      <c r="F1142" s="46" t="str">
        <f aca="false">IFERROR(VLOOKUP(Orders!E1142,Sales_Reps!$A$2:$E$31,3,FALSE()),"Not Found")</f>
        <v>West</v>
      </c>
      <c r="G1142" s="46" t="n">
        <f aca="false">IFERROR(VLOOKUP(Orders!D1142,Products!$A$2:$F$61,4,FALSE()),"")</f>
        <v>434</v>
      </c>
      <c r="H1142" s="47" t="n">
        <f aca="false">IF(G1142="","",(Orders!G1142-G1142)/Orders!G1142)</f>
        <v>0.552577319587629</v>
      </c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</row>
    <row r="1143" customFormat="false" ht="15" hidden="false" customHeight="false" outlineLevel="0" collapsed="false">
      <c r="A1143" s="46" t="str">
        <f aca="false">Orders!A1143</f>
        <v>ORD-01142</v>
      </c>
      <c r="B1143" s="46" t="str">
        <f aca="false">PROPER(TRIM(Orders!K1143))</f>
        <v>Chennai</v>
      </c>
      <c r="C1143" s="46" t="str">
        <f aca="false">IFERROR(VLOOKUP(Orders!D1143,Products!$A$2:$F$61,3,FALSE()),"Not Found")</f>
        <v>Electronics</v>
      </c>
      <c r="D1143" s="46" t="str">
        <f aca="false">IFERROR(VLOOKUP(Orders!C1143,Customers!$A$2:$F$301,5,FALSE()),"Not Found")</f>
        <v>SMB</v>
      </c>
      <c r="E1143" s="46" t="n">
        <f aca="false">IFERROR(VLOOKUP(Orders!C1143,Customers!$A$2:$F$301,3,FALSE()),"Not Found")</f>
        <v>57</v>
      </c>
      <c r="F1143" s="46" t="str">
        <f aca="false">IFERROR(VLOOKUP(Orders!E1143,Sales_Reps!$A$2:$E$31,3,FALSE()),"Not Found")</f>
        <v>East</v>
      </c>
      <c r="G1143" s="46" t="n">
        <f aca="false">IFERROR(VLOOKUP(Orders!D1143,Products!$A$2:$F$61,4,FALSE()),"")</f>
        <v>128</v>
      </c>
      <c r="H1143" s="47" t="n">
        <f aca="false">IF(G1143="","",(Orders!G1143-G1143)/Orders!G1143)</f>
        <v>0.573333333333333</v>
      </c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</row>
    <row r="1144" customFormat="false" ht="15" hidden="false" customHeight="false" outlineLevel="0" collapsed="false">
      <c r="A1144" s="46" t="str">
        <f aca="false">Orders!A1144</f>
        <v>ORD-01143</v>
      </c>
      <c r="B1144" s="46" t="str">
        <f aca="false">PROPER(TRIM(Orders!K1144))</f>
        <v>Pune</v>
      </c>
      <c r="C1144" s="46" t="str">
        <f aca="false">IFERROR(VLOOKUP(Orders!D1144,Products!$A$2:$F$61,3,FALSE()),"Not Found")</f>
        <v>Electronics</v>
      </c>
      <c r="D1144" s="46" t="str">
        <f aca="false">IFERROR(VLOOKUP(Orders!C1144,Customers!$A$2:$F$301,5,FALSE()),"Not Found")</f>
        <v>Retail</v>
      </c>
      <c r="E1144" s="46" t="n">
        <f aca="false">IFERROR(VLOOKUP(Orders!C1144,Customers!$A$2:$F$301,3,FALSE()),"Not Found")</f>
        <v>62</v>
      </c>
      <c r="F1144" s="46" t="str">
        <f aca="false">IFERROR(VLOOKUP(Orders!E1144,Sales_Reps!$A$2:$E$31,3,FALSE()),"Not Found")</f>
        <v>North</v>
      </c>
      <c r="G1144" s="46" t="n">
        <f aca="false">IFERROR(VLOOKUP(Orders!D1144,Products!$A$2:$F$61,4,FALSE()),"")</f>
        <v>2865</v>
      </c>
      <c r="H1144" s="47" t="n">
        <f aca="false">IF(G1144="","",(Orders!G1144-G1144)/Orders!G1144)</f>
        <v>0.278337531486146</v>
      </c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</row>
    <row r="1145" customFormat="false" ht="15" hidden="false" customHeight="false" outlineLevel="0" collapsed="false">
      <c r="A1145" s="46" t="str">
        <f aca="false">Orders!A1145</f>
        <v>ORD-01144</v>
      </c>
      <c r="B1145" s="46" t="str">
        <f aca="false">PROPER(TRIM(Orders!K1145))</f>
        <v>Mumbai</v>
      </c>
      <c r="C1145" s="46" t="str">
        <f aca="false">IFERROR(VLOOKUP(Orders!D1145,Products!$A$2:$F$61,3,FALSE()),"Not Found")</f>
        <v>Apparel</v>
      </c>
      <c r="D1145" s="46" t="str">
        <f aca="false">IFERROR(VLOOKUP(Orders!C1145,Customers!$A$2:$F$301,5,FALSE()),"Not Found")</f>
        <v>Corporate</v>
      </c>
      <c r="E1145" s="46" t="n">
        <f aca="false">IFERROR(VLOOKUP(Orders!C1145,Customers!$A$2:$F$301,3,FALSE()),"Not Found")</f>
        <v>46</v>
      </c>
      <c r="F1145" s="46" t="str">
        <f aca="false">IFERROR(VLOOKUP(Orders!E1145,Sales_Reps!$A$2:$E$31,3,FALSE()),"Not Found")</f>
        <v>South</v>
      </c>
      <c r="G1145" s="46" t="n">
        <f aca="false">IFERROR(VLOOKUP(Orders!D1145,Products!$A$2:$F$61,4,FALSE()),"")</f>
        <v>1962</v>
      </c>
      <c r="H1145" s="47" t="n">
        <f aca="false">IF(G1145="","",(Orders!G1145-G1145)/Orders!G1145)</f>
        <v>0.278676470588235</v>
      </c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</row>
    <row r="1146" customFormat="false" ht="15" hidden="false" customHeight="false" outlineLevel="0" collapsed="false">
      <c r="A1146" s="46" t="str">
        <f aca="false">Orders!A1146</f>
        <v>ORD-01145</v>
      </c>
      <c r="B1146" s="46" t="str">
        <f aca="false">PROPER(TRIM(Orders!K1146))</f>
        <v>Pune</v>
      </c>
      <c r="C1146" s="46" t="str">
        <f aca="false">IFERROR(VLOOKUP(Orders!D1146,Products!$A$2:$F$61,3,FALSE()),"Not Found")</f>
        <v>Apparel</v>
      </c>
      <c r="D1146" s="46" t="str">
        <f aca="false">IFERROR(VLOOKUP(Orders!C1146,Customers!$A$2:$F$301,5,FALSE()),"Not Found")</f>
        <v>Retail</v>
      </c>
      <c r="E1146" s="46" t="n">
        <f aca="false">IFERROR(VLOOKUP(Orders!C1146,Customers!$A$2:$F$301,3,FALSE()),"Not Found")</f>
        <v>44</v>
      </c>
      <c r="F1146" s="46" t="str">
        <f aca="false">IFERROR(VLOOKUP(Orders!E1146,Sales_Reps!$A$2:$E$31,3,FALSE()),"Not Found")</f>
        <v>East</v>
      </c>
      <c r="G1146" s="46" t="n">
        <f aca="false">IFERROR(VLOOKUP(Orders!D1146,Products!$A$2:$F$61,4,FALSE()),"")</f>
        <v>396</v>
      </c>
      <c r="H1146" s="47" t="n">
        <f aca="false">IF(G1146="","",(Orders!G1146-G1146)/Orders!G1146)</f>
        <v>0.361290322580645</v>
      </c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</row>
    <row r="1147" customFormat="false" ht="15" hidden="false" customHeight="false" outlineLevel="0" collapsed="false">
      <c r="A1147" s="46" t="str">
        <f aca="false">Orders!A1147</f>
        <v>ORD-01146</v>
      </c>
      <c r="B1147" s="46" t="str">
        <f aca="false">PROPER(TRIM(Orders!K1147))</f>
        <v>Chennai</v>
      </c>
      <c r="C1147" s="46" t="str">
        <f aca="false">IFERROR(VLOOKUP(Orders!D1147,Products!$A$2:$F$61,3,FALSE()),"Not Found")</f>
        <v>Beauty</v>
      </c>
      <c r="D1147" s="46" t="str">
        <f aca="false">IFERROR(VLOOKUP(Orders!C1147,Customers!$A$2:$F$301,5,FALSE()),"Not Found")</f>
        <v>Corporate</v>
      </c>
      <c r="E1147" s="46" t="n">
        <f aca="false">IFERROR(VLOOKUP(Orders!C1147,Customers!$A$2:$F$301,3,FALSE()),"Not Found")</f>
        <v>55</v>
      </c>
      <c r="F1147" s="46" t="str">
        <f aca="false">IFERROR(VLOOKUP(Orders!E1147,Sales_Reps!$A$2:$E$31,3,FALSE()),"Not Found")</f>
        <v>West</v>
      </c>
      <c r="G1147" s="46" t="n">
        <f aca="false">IFERROR(VLOOKUP(Orders!D1147,Products!$A$2:$F$61,4,FALSE()),"")</f>
        <v>647</v>
      </c>
      <c r="H1147" s="47" t="n">
        <f aca="false">IF(G1147="","",(Orders!G1147-G1147)/Orders!G1147)</f>
        <v>0.57987012987013</v>
      </c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</row>
    <row r="1148" customFormat="false" ht="15" hidden="false" customHeight="false" outlineLevel="0" collapsed="false">
      <c r="A1148" s="46" t="str">
        <f aca="false">Orders!A1148</f>
        <v>ORD-01147</v>
      </c>
      <c r="B1148" s="46" t="str">
        <f aca="false">PROPER(TRIM(Orders!K1148))</f>
        <v>Hyderabad</v>
      </c>
      <c r="C1148" s="46" t="str">
        <f aca="false">IFERROR(VLOOKUP(Orders!D1148,Products!$A$2:$F$61,3,FALSE()),"Not Found")</f>
        <v>Beauty</v>
      </c>
      <c r="D1148" s="46" t="str">
        <f aca="false">IFERROR(VLOOKUP(Orders!C1148,Customers!$A$2:$F$301,5,FALSE()),"Not Found")</f>
        <v>Retail</v>
      </c>
      <c r="E1148" s="46" t="n">
        <f aca="false">IFERROR(VLOOKUP(Orders!C1148,Customers!$A$2:$F$301,3,FALSE()),"Not Found")</f>
        <v>46</v>
      </c>
      <c r="F1148" s="46" t="str">
        <f aca="false">IFERROR(VLOOKUP(Orders!E1148,Sales_Reps!$A$2:$E$31,3,FALSE()),"Not Found")</f>
        <v>West</v>
      </c>
      <c r="G1148" s="46" t="n">
        <f aca="false">IFERROR(VLOOKUP(Orders!D1148,Products!$A$2:$F$61,4,FALSE()),"")</f>
        <v>1219</v>
      </c>
      <c r="H1148" s="47" t="n">
        <f aca="false">IF(G1148="","",(Orders!G1148-G1148)/Orders!G1148)</f>
        <v>0.467685589519651</v>
      </c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</row>
    <row r="1149" customFormat="false" ht="15" hidden="false" customHeight="false" outlineLevel="0" collapsed="false">
      <c r="A1149" s="46" t="str">
        <f aca="false">Orders!A1149</f>
        <v>ORD-01148</v>
      </c>
      <c r="B1149" s="46" t="str">
        <f aca="false">PROPER(TRIM(Orders!K1149))</f>
        <v>Delhi</v>
      </c>
      <c r="C1149" s="46" t="str">
        <f aca="false">IFERROR(VLOOKUP(Orders!D1149,Products!$A$2:$F$61,3,FALSE()),"Not Found")</f>
        <v>Apparel</v>
      </c>
      <c r="D1149" s="46" t="str">
        <f aca="false">IFERROR(VLOOKUP(Orders!C1149,Customers!$A$2:$F$301,5,FALSE()),"Not Found")</f>
        <v>SMB</v>
      </c>
      <c r="E1149" s="46" t="n">
        <f aca="false">IFERROR(VLOOKUP(Orders!C1149,Customers!$A$2:$F$301,3,FALSE()),"Not Found")</f>
        <v>26</v>
      </c>
      <c r="F1149" s="46" t="str">
        <f aca="false">IFERROR(VLOOKUP(Orders!E1149,Sales_Reps!$A$2:$E$31,3,FALSE()),"Not Found")</f>
        <v>East</v>
      </c>
      <c r="G1149" s="46" t="n">
        <f aca="false">IFERROR(VLOOKUP(Orders!D1149,Products!$A$2:$F$61,4,FALSE()),"")</f>
        <v>1962</v>
      </c>
      <c r="H1149" s="47" t="n">
        <f aca="false">IF(G1149="","",(Orders!G1149-G1149)/Orders!G1149)</f>
        <v>0.278676470588235</v>
      </c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</row>
    <row r="1150" customFormat="false" ht="15" hidden="false" customHeight="false" outlineLevel="0" collapsed="false">
      <c r="A1150" s="46" t="str">
        <f aca="false">Orders!A1150</f>
        <v>ORD-01149</v>
      </c>
      <c r="B1150" s="46" t="str">
        <f aca="false">PROPER(TRIM(Orders!K1150))</f>
        <v>Hyderabad</v>
      </c>
      <c r="C1150" s="46" t="str">
        <f aca="false">IFERROR(VLOOKUP(Orders!D1150,Products!$A$2:$F$61,3,FALSE()),"Not Found")</f>
        <v>Grocery</v>
      </c>
      <c r="D1150" s="46" t="str">
        <f aca="false">IFERROR(VLOOKUP(Orders!C1150,Customers!$A$2:$F$301,5,FALSE()),"Not Found")</f>
        <v>Corporate</v>
      </c>
      <c r="E1150" s="46" t="n">
        <f aca="false">IFERROR(VLOOKUP(Orders!C1150,Customers!$A$2:$F$301,3,FALSE()),"Not Found")</f>
        <v>25</v>
      </c>
      <c r="F1150" s="46" t="str">
        <f aca="false">IFERROR(VLOOKUP(Orders!E1150,Sales_Reps!$A$2:$E$31,3,FALSE()),"Not Found")</f>
        <v>East</v>
      </c>
      <c r="G1150" s="46" t="n">
        <f aca="false">IFERROR(VLOOKUP(Orders!D1150,Products!$A$2:$F$61,4,FALSE()),"")</f>
        <v>2911</v>
      </c>
      <c r="H1150" s="47" t="n">
        <f aca="false">IF(G1150="","",(Orders!G1150-G1150)/Orders!G1150)</f>
        <v>0.283004926108374</v>
      </c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</row>
    <row r="1151" customFormat="false" ht="15" hidden="false" customHeight="false" outlineLevel="0" collapsed="false">
      <c r="A1151" s="46" t="str">
        <f aca="false">Orders!A1151</f>
        <v>ORD-01150</v>
      </c>
      <c r="B1151" s="46" t="str">
        <f aca="false">PROPER(TRIM(Orders!K1151))</f>
        <v>Chennai</v>
      </c>
      <c r="C1151" s="46" t="str">
        <f aca="false">IFERROR(VLOOKUP(Orders!D1151,Products!$A$2:$F$61,3,FALSE()),"Not Found")</f>
        <v>Electronics</v>
      </c>
      <c r="D1151" s="46" t="str">
        <f aca="false">IFERROR(VLOOKUP(Orders!C1151,Customers!$A$2:$F$301,5,FALSE()),"Not Found")</f>
        <v>Retail</v>
      </c>
      <c r="E1151" s="46" t="n">
        <f aca="false">IFERROR(VLOOKUP(Orders!C1151,Customers!$A$2:$F$301,3,FALSE()),"Not Found")</f>
        <v>26</v>
      </c>
      <c r="F1151" s="46" t="str">
        <f aca="false">IFERROR(VLOOKUP(Orders!E1151,Sales_Reps!$A$2:$E$31,3,FALSE()),"Not Found")</f>
        <v>South</v>
      </c>
      <c r="G1151" s="46" t="n">
        <f aca="false">IFERROR(VLOOKUP(Orders!D1151,Products!$A$2:$F$61,4,FALSE()),"")</f>
        <v>1665</v>
      </c>
      <c r="H1151" s="47" t="n">
        <f aca="false">IF(G1151="","",(Orders!G1151-G1151)/Orders!G1151)</f>
        <v>0.533613445378151</v>
      </c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</row>
    <row r="1152" customFormat="false" ht="15" hidden="false" customHeight="false" outlineLevel="0" collapsed="false">
      <c r="A1152" s="46" t="str">
        <f aca="false">Orders!A1152</f>
        <v>ORD-01151</v>
      </c>
      <c r="B1152" s="46" t="str">
        <f aca="false">PROPER(TRIM(Orders!K1152))</f>
        <v>Bengaluru</v>
      </c>
      <c r="C1152" s="46" t="str">
        <f aca="false">IFERROR(VLOOKUP(Orders!D1152,Products!$A$2:$F$61,3,FALSE()),"Not Found")</f>
        <v>Sports</v>
      </c>
      <c r="D1152" s="46" t="str">
        <f aca="false">IFERROR(VLOOKUP(Orders!C1152,Customers!$A$2:$F$301,5,FALSE()),"Not Found")</f>
        <v>Retail</v>
      </c>
      <c r="E1152" s="46" t="n">
        <f aca="false">IFERROR(VLOOKUP(Orders!C1152,Customers!$A$2:$F$301,3,FALSE()),"Not Found")</f>
        <v>55</v>
      </c>
      <c r="F1152" s="46" t="str">
        <f aca="false">IFERROR(VLOOKUP(Orders!E1152,Sales_Reps!$A$2:$E$31,3,FALSE()),"Not Found")</f>
        <v>North</v>
      </c>
      <c r="G1152" s="46" t="n">
        <f aca="false">IFERROR(VLOOKUP(Orders!D1152,Products!$A$2:$F$61,4,FALSE()),"")</f>
        <v>2467</v>
      </c>
      <c r="H1152" s="47" t="n">
        <f aca="false">IF(G1152="","",(Orders!G1152-G1152)/Orders!G1152)</f>
        <v>0.284927536231884</v>
      </c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</row>
    <row r="1153" customFormat="false" ht="15" hidden="false" customHeight="false" outlineLevel="0" collapsed="false">
      <c r="A1153" s="46" t="str">
        <f aca="false">Orders!A1153</f>
        <v>ORD-01152</v>
      </c>
      <c r="B1153" s="46" t="str">
        <f aca="false">PROPER(TRIM(Orders!K1153))</f>
        <v>Delhi</v>
      </c>
      <c r="C1153" s="46" t="str">
        <f aca="false">IFERROR(VLOOKUP(Orders!D1153,Products!$A$2:$F$61,3,FALSE()),"Not Found")</f>
        <v>Electronics</v>
      </c>
      <c r="D1153" s="46" t="str">
        <f aca="false">IFERROR(VLOOKUP(Orders!C1153,Customers!$A$2:$F$301,5,FALSE()),"Not Found")</f>
        <v>Retail</v>
      </c>
      <c r="E1153" s="46" t="n">
        <f aca="false">IFERROR(VLOOKUP(Orders!C1153,Customers!$A$2:$F$301,3,FALSE()),"Not Found")</f>
        <v>44</v>
      </c>
      <c r="F1153" s="46" t="str">
        <f aca="false">IFERROR(VLOOKUP(Orders!E1153,Sales_Reps!$A$2:$E$31,3,FALSE()),"Not Found")</f>
        <v>North</v>
      </c>
      <c r="G1153" s="46" t="n">
        <f aca="false">IFERROR(VLOOKUP(Orders!D1153,Products!$A$2:$F$61,4,FALSE()),"")</f>
        <v>1149</v>
      </c>
      <c r="H1153" s="47" t="n">
        <f aca="false">IF(G1153="","",(Orders!G1153-G1153)/Orders!G1153)</f>
        <v>0.564772727272727</v>
      </c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</row>
    <row r="1154" customFormat="false" ht="15" hidden="false" customHeight="false" outlineLevel="0" collapsed="false">
      <c r="A1154" s="46" t="str">
        <f aca="false">Orders!A1154</f>
        <v>ORD-01153</v>
      </c>
      <c r="B1154" s="46" t="str">
        <f aca="false">PROPER(TRIM(Orders!K1154))</f>
        <v>Chennai</v>
      </c>
      <c r="C1154" s="46" t="str">
        <f aca="false">IFERROR(VLOOKUP(Orders!D1154,Products!$A$2:$F$61,3,FALSE()),"Not Found")</f>
        <v>Home</v>
      </c>
      <c r="D1154" s="46" t="str">
        <f aca="false">IFERROR(VLOOKUP(Orders!C1154,Customers!$A$2:$F$301,5,FALSE()),"Not Found")</f>
        <v>Retail</v>
      </c>
      <c r="E1154" s="46" t="n">
        <f aca="false">IFERROR(VLOOKUP(Orders!C1154,Customers!$A$2:$F$301,3,FALSE()),"Not Found")</f>
        <v>24</v>
      </c>
      <c r="F1154" s="46" t="str">
        <f aca="false">IFERROR(VLOOKUP(Orders!E1154,Sales_Reps!$A$2:$E$31,3,FALSE()),"Not Found")</f>
        <v>South</v>
      </c>
      <c r="G1154" s="46" t="n">
        <f aca="false">IFERROR(VLOOKUP(Orders!D1154,Products!$A$2:$F$61,4,FALSE()),"")</f>
        <v>288</v>
      </c>
      <c r="H1154" s="47" t="n">
        <f aca="false">IF(G1154="","",(Orders!G1154-G1154)/Orders!G1154)</f>
        <v>0.221621621621622</v>
      </c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</row>
    <row r="1155" customFormat="false" ht="15" hidden="false" customHeight="false" outlineLevel="0" collapsed="false">
      <c r="A1155" s="46" t="str">
        <f aca="false">Orders!A1155</f>
        <v>ORD-01154</v>
      </c>
      <c r="B1155" s="46" t="str">
        <f aca="false">PROPER(TRIM(Orders!K1155))</f>
        <v>Bengaluru</v>
      </c>
      <c r="C1155" s="46" t="str">
        <f aca="false">IFERROR(VLOOKUP(Orders!D1155,Products!$A$2:$F$61,3,FALSE()),"Not Found")</f>
        <v>Electronics</v>
      </c>
      <c r="D1155" s="46" t="str">
        <f aca="false">IFERROR(VLOOKUP(Orders!C1155,Customers!$A$2:$F$301,5,FALSE()),"Not Found")</f>
        <v>Corporate</v>
      </c>
      <c r="E1155" s="46" t="n">
        <f aca="false">IFERROR(VLOOKUP(Orders!C1155,Customers!$A$2:$F$301,3,FALSE()),"Not Found")</f>
        <v>36</v>
      </c>
      <c r="F1155" s="46" t="str">
        <f aca="false">IFERROR(VLOOKUP(Orders!E1155,Sales_Reps!$A$2:$E$31,3,FALSE()),"Not Found")</f>
        <v>West</v>
      </c>
      <c r="G1155" s="46" t="n">
        <f aca="false">IFERROR(VLOOKUP(Orders!D1155,Products!$A$2:$F$61,4,FALSE()),"")</f>
        <v>517</v>
      </c>
      <c r="H1155" s="47" t="n">
        <f aca="false">IF(G1155="","",(Orders!G1155-G1155)/Orders!G1155)</f>
        <v>0.576229508196721</v>
      </c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</row>
    <row r="1156" customFormat="false" ht="15" hidden="false" customHeight="false" outlineLevel="0" collapsed="false">
      <c r="A1156" s="46" t="str">
        <f aca="false">Orders!A1156</f>
        <v>ORD-01155</v>
      </c>
      <c r="B1156" s="46" t="str">
        <f aca="false">PROPER(TRIM(Orders!K1156))</f>
        <v>Pune</v>
      </c>
      <c r="C1156" s="46" t="str">
        <f aca="false">IFERROR(VLOOKUP(Orders!D1156,Products!$A$2:$F$61,3,FALSE()),"Not Found")</f>
        <v>Electronics</v>
      </c>
      <c r="D1156" s="46" t="str">
        <f aca="false">IFERROR(VLOOKUP(Orders!C1156,Customers!$A$2:$F$301,5,FALSE()),"Not Found")</f>
        <v>Retail</v>
      </c>
      <c r="E1156" s="46" t="n">
        <f aca="false">IFERROR(VLOOKUP(Orders!C1156,Customers!$A$2:$F$301,3,FALSE()),"Not Found")</f>
        <v>29</v>
      </c>
      <c r="F1156" s="46" t="str">
        <f aca="false">IFERROR(VLOOKUP(Orders!E1156,Sales_Reps!$A$2:$E$31,3,FALSE()),"Not Found")</f>
        <v>East</v>
      </c>
      <c r="G1156" s="46" t="n">
        <f aca="false">IFERROR(VLOOKUP(Orders!D1156,Products!$A$2:$F$61,4,FALSE()),"")</f>
        <v>1149</v>
      </c>
      <c r="H1156" s="47" t="n">
        <f aca="false">IF(G1156="","",(Orders!G1156-G1156)/Orders!G1156)</f>
        <v>0.564772727272727</v>
      </c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</row>
    <row r="1157" customFormat="false" ht="15" hidden="false" customHeight="false" outlineLevel="0" collapsed="false">
      <c r="A1157" s="46" t="str">
        <f aca="false">Orders!A1157</f>
        <v>ORD-01156</v>
      </c>
      <c r="B1157" s="46" t="str">
        <f aca="false">PROPER(TRIM(Orders!K1157))</f>
        <v>Mumbai</v>
      </c>
      <c r="C1157" s="46" t="str">
        <f aca="false">IFERROR(VLOOKUP(Orders!D1157,Products!$A$2:$F$61,3,FALSE()),"Not Found")</f>
        <v>Beauty</v>
      </c>
      <c r="D1157" s="46" t="str">
        <f aca="false">IFERROR(VLOOKUP(Orders!C1157,Customers!$A$2:$F$301,5,FALSE()),"Not Found")</f>
        <v>Retail</v>
      </c>
      <c r="E1157" s="46" t="n">
        <f aca="false">IFERROR(VLOOKUP(Orders!C1157,Customers!$A$2:$F$301,3,FALSE()),"Not Found")</f>
        <v>36</v>
      </c>
      <c r="F1157" s="46" t="str">
        <f aca="false">IFERROR(VLOOKUP(Orders!E1157,Sales_Reps!$A$2:$E$31,3,FALSE()),"Not Found")</f>
        <v>South</v>
      </c>
      <c r="G1157" s="46" t="n">
        <f aca="false">IFERROR(VLOOKUP(Orders!D1157,Products!$A$2:$F$61,4,FALSE()),"")</f>
        <v>2237</v>
      </c>
      <c r="H1157" s="47" t="n">
        <f aca="false">IF(G1157="","",(Orders!G1157-G1157)/Orders!G1157)</f>
        <v>0.561372549019608</v>
      </c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</row>
    <row r="1158" customFormat="false" ht="15" hidden="false" customHeight="false" outlineLevel="0" collapsed="false">
      <c r="A1158" s="46" t="str">
        <f aca="false">Orders!A1158</f>
        <v>ORD-01157</v>
      </c>
      <c r="B1158" s="46" t="str">
        <f aca="false">PROPER(TRIM(Orders!K1158))</f>
        <v>Chennai</v>
      </c>
      <c r="C1158" s="46" t="str">
        <f aca="false">IFERROR(VLOOKUP(Orders!D1158,Products!$A$2:$F$61,3,FALSE()),"Not Found")</f>
        <v>Beauty</v>
      </c>
      <c r="D1158" s="46" t="str">
        <f aca="false">IFERROR(VLOOKUP(Orders!C1158,Customers!$A$2:$F$301,5,FALSE()),"Not Found")</f>
        <v>SMB</v>
      </c>
      <c r="E1158" s="46" t="n">
        <f aca="false">IFERROR(VLOOKUP(Orders!C1158,Customers!$A$2:$F$301,3,FALSE()),"Not Found")</f>
        <v>26</v>
      </c>
      <c r="F1158" s="46" t="str">
        <f aca="false">IFERROR(VLOOKUP(Orders!E1158,Sales_Reps!$A$2:$E$31,3,FALSE()),"Not Found")</f>
        <v>North</v>
      </c>
      <c r="G1158" s="46" t="n">
        <f aca="false">IFERROR(VLOOKUP(Orders!D1158,Products!$A$2:$F$61,4,FALSE()),"")</f>
        <v>2617</v>
      </c>
      <c r="H1158" s="47" t="n">
        <f aca="false">IF(G1158="","",(Orders!G1158-G1158)/Orders!G1158)</f>
        <v>0.569572368421053</v>
      </c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</row>
    <row r="1159" customFormat="false" ht="15" hidden="false" customHeight="false" outlineLevel="0" collapsed="false">
      <c r="A1159" s="46" t="str">
        <f aca="false">Orders!A1159</f>
        <v>ORD-01158</v>
      </c>
      <c r="B1159" s="46" t="str">
        <f aca="false">PROPER(TRIM(Orders!K1159))</f>
        <v>Pune</v>
      </c>
      <c r="C1159" s="46" t="str">
        <f aca="false">IFERROR(VLOOKUP(Orders!D1159,Products!$A$2:$F$61,3,FALSE()),"Not Found")</f>
        <v>Electronics</v>
      </c>
      <c r="D1159" s="46" t="str">
        <f aca="false">IFERROR(VLOOKUP(Orders!C1159,Customers!$A$2:$F$301,5,FALSE()),"Not Found")</f>
        <v>Corporate</v>
      </c>
      <c r="E1159" s="46" t="n">
        <f aca="false">IFERROR(VLOOKUP(Orders!C1159,Customers!$A$2:$F$301,3,FALSE()),"Not Found")</f>
        <v>29</v>
      </c>
      <c r="F1159" s="46" t="str">
        <f aca="false">IFERROR(VLOOKUP(Orders!E1159,Sales_Reps!$A$2:$E$31,3,FALSE()),"Not Found")</f>
        <v>West</v>
      </c>
      <c r="G1159" s="46" t="n">
        <f aca="false">IFERROR(VLOOKUP(Orders!D1159,Products!$A$2:$F$61,4,FALSE()),"")</f>
        <v>128</v>
      </c>
      <c r="H1159" s="47" t="n">
        <f aca="false">IF(G1159="","",(Orders!G1159-G1159)/Orders!G1159)</f>
        <v>0.573333333333333</v>
      </c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  <c r="AB1159" s="46"/>
      <c r="AC1159" s="46"/>
      <c r="AD1159" s="46"/>
      <c r="AE1159" s="46"/>
      <c r="AF1159" s="46"/>
      <c r="AG1159" s="46"/>
      <c r="AH1159" s="46"/>
      <c r="AI1159" s="46"/>
      <c r="AJ1159" s="46"/>
      <c r="AK1159" s="4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</row>
    <row r="1160" customFormat="false" ht="15" hidden="false" customHeight="false" outlineLevel="0" collapsed="false">
      <c r="A1160" s="46" t="str">
        <f aca="false">Orders!A1160</f>
        <v>ORD-01159</v>
      </c>
      <c r="B1160" s="46" t="str">
        <f aca="false">PROPER(TRIM(Orders!K1160))</f>
        <v>Hyderabad</v>
      </c>
      <c r="C1160" s="46" t="str">
        <f aca="false">IFERROR(VLOOKUP(Orders!D1160,Products!$A$2:$F$61,3,FALSE()),"Not Found")</f>
        <v>Beauty</v>
      </c>
      <c r="D1160" s="46" t="str">
        <f aca="false">IFERROR(VLOOKUP(Orders!C1160,Customers!$A$2:$F$301,5,FALSE()),"Not Found")</f>
        <v>Retail</v>
      </c>
      <c r="E1160" s="46" t="n">
        <f aca="false">IFERROR(VLOOKUP(Orders!C1160,Customers!$A$2:$F$301,3,FALSE()),"Not Found")</f>
        <v>44</v>
      </c>
      <c r="F1160" s="46" t="str">
        <f aca="false">IFERROR(VLOOKUP(Orders!E1160,Sales_Reps!$A$2:$E$31,3,FALSE()),"Not Found")</f>
        <v>East</v>
      </c>
      <c r="G1160" s="46" t="n">
        <f aca="false">IFERROR(VLOOKUP(Orders!D1160,Products!$A$2:$F$61,4,FALSE()),"")</f>
        <v>1626</v>
      </c>
      <c r="H1160" s="47" t="n">
        <f aca="false">IF(G1160="","",(Orders!G1160-G1160)/Orders!G1160)</f>
        <v>0.46158940397351</v>
      </c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</row>
    <row r="1161" customFormat="false" ht="15" hidden="false" customHeight="false" outlineLevel="0" collapsed="false">
      <c r="A1161" s="46" t="str">
        <f aca="false">Orders!A1161</f>
        <v>ORD-01160</v>
      </c>
      <c r="B1161" s="46" t="str">
        <f aca="false">PROPER(TRIM(Orders!K1161))</f>
        <v>Delhi</v>
      </c>
      <c r="C1161" s="46" t="str">
        <f aca="false">IFERROR(VLOOKUP(Orders!D1161,Products!$A$2:$F$61,3,FALSE()),"Not Found")</f>
        <v>Electronics</v>
      </c>
      <c r="D1161" s="46" t="str">
        <f aca="false">IFERROR(VLOOKUP(Orders!C1161,Customers!$A$2:$F$301,5,FALSE()),"Not Found")</f>
        <v>SMB</v>
      </c>
      <c r="E1161" s="46" t="n">
        <f aca="false">IFERROR(VLOOKUP(Orders!C1161,Customers!$A$2:$F$301,3,FALSE()),"Not Found")</f>
        <v>50</v>
      </c>
      <c r="F1161" s="46" t="str">
        <f aca="false">IFERROR(VLOOKUP(Orders!E1161,Sales_Reps!$A$2:$E$31,3,FALSE()),"Not Found")</f>
        <v>East</v>
      </c>
      <c r="G1161" s="46" t="n">
        <f aca="false">IFERROR(VLOOKUP(Orders!D1161,Products!$A$2:$F$61,4,FALSE()),"")</f>
        <v>128</v>
      </c>
      <c r="H1161" s="47" t="n">
        <f aca="false">IF(G1161="","",(Orders!G1161-G1161)/Orders!G1161)</f>
        <v>0.573333333333333</v>
      </c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  <c r="AB1161" s="46"/>
      <c r="AC1161" s="46"/>
      <c r="AD1161" s="46"/>
      <c r="AE1161" s="46"/>
      <c r="AF1161" s="46"/>
      <c r="AG1161" s="46"/>
      <c r="AH1161" s="46"/>
      <c r="AI1161" s="46"/>
      <c r="AJ1161" s="46"/>
      <c r="AK1161" s="4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</row>
    <row r="1162" customFormat="false" ht="15" hidden="false" customHeight="false" outlineLevel="0" collapsed="false">
      <c r="A1162" s="46" t="str">
        <f aca="false">Orders!A1162</f>
        <v>ORD-01161</v>
      </c>
      <c r="B1162" s="46" t="str">
        <f aca="false">PROPER(TRIM(Orders!K1162))</f>
        <v>Bengaluru</v>
      </c>
      <c r="C1162" s="46" t="str">
        <f aca="false">IFERROR(VLOOKUP(Orders!D1162,Products!$A$2:$F$61,3,FALSE()),"Not Found")</f>
        <v>Beauty</v>
      </c>
      <c r="D1162" s="46" t="str">
        <f aca="false">IFERROR(VLOOKUP(Orders!C1162,Customers!$A$2:$F$301,5,FALSE()),"Not Found")</f>
        <v>Retail</v>
      </c>
      <c r="E1162" s="46" t="n">
        <f aca="false">IFERROR(VLOOKUP(Orders!C1162,Customers!$A$2:$F$301,3,FALSE()),"Not Found")</f>
        <v>37</v>
      </c>
      <c r="F1162" s="46" t="str">
        <f aca="false">IFERROR(VLOOKUP(Orders!E1162,Sales_Reps!$A$2:$E$31,3,FALSE()),"Not Found")</f>
        <v>South</v>
      </c>
      <c r="G1162" s="46" t="n">
        <f aca="false">IFERROR(VLOOKUP(Orders!D1162,Products!$A$2:$F$61,4,FALSE()),"")</f>
        <v>1728</v>
      </c>
      <c r="H1162" s="47" t="n">
        <f aca="false">IF(G1162="","",(Orders!G1162-G1162)/Orders!G1162)</f>
        <v>0.484179104477612</v>
      </c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</row>
    <row r="1163" customFormat="false" ht="15" hidden="false" customHeight="false" outlineLevel="0" collapsed="false">
      <c r="A1163" s="46" t="str">
        <f aca="false">Orders!A1163</f>
        <v>ORD-01162</v>
      </c>
      <c r="B1163" s="46" t="str">
        <f aca="false">PROPER(TRIM(Orders!K1163))</f>
        <v>Delhi</v>
      </c>
      <c r="C1163" s="46" t="str">
        <f aca="false">IFERROR(VLOOKUP(Orders!D1163,Products!$A$2:$F$61,3,FALSE()),"Not Found")</f>
        <v>Grocery</v>
      </c>
      <c r="D1163" s="46" t="str">
        <f aca="false">IFERROR(VLOOKUP(Orders!C1163,Customers!$A$2:$F$301,5,FALSE()),"Not Found")</f>
        <v>SMB</v>
      </c>
      <c r="E1163" s="46" t="n">
        <f aca="false">IFERROR(VLOOKUP(Orders!C1163,Customers!$A$2:$F$301,3,FALSE()),"Not Found")</f>
        <v>45</v>
      </c>
      <c r="F1163" s="46" t="str">
        <f aca="false">IFERROR(VLOOKUP(Orders!E1163,Sales_Reps!$A$2:$E$31,3,FALSE()),"Not Found")</f>
        <v>West</v>
      </c>
      <c r="G1163" s="46" t="n">
        <f aca="false">IFERROR(VLOOKUP(Orders!D1163,Products!$A$2:$F$61,4,FALSE()),"")</f>
        <v>2027</v>
      </c>
      <c r="H1163" s="47" t="n">
        <f aca="false">IF(G1163="","",(Orders!G1163-G1163)/Orders!G1163)</f>
        <v>0.501965601965602</v>
      </c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</row>
    <row r="1164" customFormat="false" ht="15" hidden="false" customHeight="false" outlineLevel="0" collapsed="false">
      <c r="A1164" s="46" t="str">
        <f aca="false">Orders!A1164</f>
        <v>ORD-01163</v>
      </c>
      <c r="B1164" s="46" t="str">
        <f aca="false">PROPER(TRIM(Orders!K1164))</f>
        <v>Chennai</v>
      </c>
      <c r="C1164" s="46" t="str">
        <f aca="false">IFERROR(VLOOKUP(Orders!D1164,Products!$A$2:$F$61,3,FALSE()),"Not Found")</f>
        <v>Sports</v>
      </c>
      <c r="D1164" s="46" t="str">
        <f aca="false">IFERROR(VLOOKUP(Orders!C1164,Customers!$A$2:$F$301,5,FALSE()),"Not Found")</f>
        <v>SMB</v>
      </c>
      <c r="E1164" s="46" t="n">
        <f aca="false">IFERROR(VLOOKUP(Orders!C1164,Customers!$A$2:$F$301,3,FALSE()),"Not Found")</f>
        <v>51</v>
      </c>
      <c r="F1164" s="46" t="str">
        <f aca="false">IFERROR(VLOOKUP(Orders!E1164,Sales_Reps!$A$2:$E$31,3,FALSE()),"Not Found")</f>
        <v>West</v>
      </c>
      <c r="G1164" s="46" t="n">
        <f aca="false">IFERROR(VLOOKUP(Orders!D1164,Products!$A$2:$F$61,4,FALSE()),"")</f>
        <v>1860</v>
      </c>
      <c r="H1164" s="47" t="n">
        <f aca="false">IF(G1164="","",(Orders!G1164-G1164)/Orders!G1164)</f>
        <v>0.507936507936508</v>
      </c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</row>
    <row r="1165" customFormat="false" ht="15" hidden="false" customHeight="false" outlineLevel="0" collapsed="false">
      <c r="A1165" s="46" t="str">
        <f aca="false">Orders!A1165</f>
        <v>ORD-01164</v>
      </c>
      <c r="B1165" s="46" t="str">
        <f aca="false">PROPER(TRIM(Orders!K1165))</f>
        <v>Pune</v>
      </c>
      <c r="C1165" s="46" t="str">
        <f aca="false">IFERROR(VLOOKUP(Orders!D1165,Products!$A$2:$F$61,3,FALSE()),"Not Found")</f>
        <v>Home</v>
      </c>
      <c r="D1165" s="46" t="str">
        <f aca="false">IFERROR(VLOOKUP(Orders!C1165,Customers!$A$2:$F$301,5,FALSE()),"Not Found")</f>
        <v>SMB</v>
      </c>
      <c r="E1165" s="46" t="n">
        <f aca="false">IFERROR(VLOOKUP(Orders!C1165,Customers!$A$2:$F$301,3,FALSE()),"Not Found")</f>
        <v>44</v>
      </c>
      <c r="F1165" s="46" t="str">
        <f aca="false">IFERROR(VLOOKUP(Orders!E1165,Sales_Reps!$A$2:$E$31,3,FALSE()),"Not Found")</f>
        <v>West</v>
      </c>
      <c r="G1165" s="46" t="n">
        <f aca="false">IFERROR(VLOOKUP(Orders!D1165,Products!$A$2:$F$61,4,FALSE()),"")</f>
        <v>519</v>
      </c>
      <c r="H1165" s="47" t="n">
        <f aca="false">IF(G1165="","",(Orders!G1165-G1165)/Orders!G1165)</f>
        <v>0.519444444444445</v>
      </c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/>
      <c r="AD1165" s="46"/>
      <c r="AE1165" s="46"/>
      <c r="AF1165" s="46"/>
      <c r="AG1165" s="46"/>
      <c r="AH1165" s="46"/>
      <c r="AI1165" s="46"/>
      <c r="AJ1165" s="46"/>
      <c r="AK1165" s="46"/>
      <c r="AL1165" s="46"/>
      <c r="AM1165" s="46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</row>
    <row r="1166" customFormat="false" ht="15" hidden="false" customHeight="false" outlineLevel="0" collapsed="false">
      <c r="A1166" s="46" t="str">
        <f aca="false">Orders!A1166</f>
        <v>ORD-01165</v>
      </c>
      <c r="B1166" s="46" t="str">
        <f aca="false">PROPER(TRIM(Orders!K1166))</f>
        <v>Bengaluru</v>
      </c>
      <c r="C1166" s="46" t="str">
        <f aca="false">IFERROR(VLOOKUP(Orders!D1166,Products!$A$2:$F$61,3,FALSE()),"Not Found")</f>
        <v>Electronics</v>
      </c>
      <c r="D1166" s="46" t="str">
        <f aca="false">IFERROR(VLOOKUP(Orders!C1166,Customers!$A$2:$F$301,5,FALSE()),"Not Found")</f>
        <v>Retail</v>
      </c>
      <c r="E1166" s="46" t="n">
        <f aca="false">IFERROR(VLOOKUP(Orders!C1166,Customers!$A$2:$F$301,3,FALSE()),"Not Found")</f>
        <v>55</v>
      </c>
      <c r="F1166" s="46" t="str">
        <f aca="false">IFERROR(VLOOKUP(Orders!E1166,Sales_Reps!$A$2:$E$31,3,FALSE()),"Not Found")</f>
        <v>East</v>
      </c>
      <c r="G1166" s="46" t="n">
        <f aca="false">IFERROR(VLOOKUP(Orders!D1166,Products!$A$2:$F$61,4,FALSE()),"")</f>
        <v>1052</v>
      </c>
      <c r="H1166" s="47" t="n">
        <f aca="false">IF(G1166="","",(Orders!G1166-G1166)/Orders!G1166)</f>
        <v>0.595384615384615</v>
      </c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</row>
    <row r="1167" customFormat="false" ht="15" hidden="false" customHeight="false" outlineLevel="0" collapsed="false">
      <c r="A1167" s="46" t="str">
        <f aca="false">Orders!A1167</f>
        <v>ORD-01166</v>
      </c>
      <c r="B1167" s="46" t="str">
        <f aca="false">PROPER(TRIM(Orders!K1167))</f>
        <v>Delhi</v>
      </c>
      <c r="C1167" s="46" t="str">
        <f aca="false">IFERROR(VLOOKUP(Orders!D1167,Products!$A$2:$F$61,3,FALSE()),"Not Found")</f>
        <v>Apparel</v>
      </c>
      <c r="D1167" s="46" t="str">
        <f aca="false">IFERROR(VLOOKUP(Orders!C1167,Customers!$A$2:$F$301,5,FALSE()),"Not Found")</f>
        <v>Retail</v>
      </c>
      <c r="E1167" s="46" t="n">
        <f aca="false">IFERROR(VLOOKUP(Orders!C1167,Customers!$A$2:$F$301,3,FALSE()),"Not Found")</f>
        <v>63</v>
      </c>
      <c r="F1167" s="46" t="str">
        <f aca="false">IFERROR(VLOOKUP(Orders!E1167,Sales_Reps!$A$2:$E$31,3,FALSE()),"Not Found")</f>
        <v>North</v>
      </c>
      <c r="G1167" s="46" t="n">
        <f aca="false">IFERROR(VLOOKUP(Orders!D1167,Products!$A$2:$F$61,4,FALSE()),"")</f>
        <v>1962</v>
      </c>
      <c r="H1167" s="47" t="n">
        <f aca="false">IF(G1167="","",(Orders!G1167-G1167)/Orders!G1167)</f>
        <v>0.278676470588235</v>
      </c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  <c r="AB1167" s="46"/>
      <c r="AC1167" s="46"/>
      <c r="AD1167" s="46"/>
      <c r="AE1167" s="46"/>
      <c r="AF1167" s="46"/>
      <c r="AG1167" s="46"/>
      <c r="AH1167" s="46"/>
      <c r="AI1167" s="46"/>
      <c r="AJ1167" s="46"/>
      <c r="AK1167" s="4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</row>
    <row r="1168" customFormat="false" ht="15" hidden="false" customHeight="false" outlineLevel="0" collapsed="false">
      <c r="A1168" s="46" t="str">
        <f aca="false">Orders!A1168</f>
        <v>ORD-01167</v>
      </c>
      <c r="B1168" s="46" t="str">
        <f aca="false">PROPER(TRIM(Orders!K1168))</f>
        <v>Chennai</v>
      </c>
      <c r="C1168" s="46" t="str">
        <f aca="false">IFERROR(VLOOKUP(Orders!D1168,Products!$A$2:$F$61,3,FALSE()),"Not Found")</f>
        <v>Grocery</v>
      </c>
      <c r="D1168" s="46" t="str">
        <f aca="false">IFERROR(VLOOKUP(Orders!C1168,Customers!$A$2:$F$301,5,FALSE()),"Not Found")</f>
        <v>SMB</v>
      </c>
      <c r="E1168" s="46" t="n">
        <f aca="false">IFERROR(VLOOKUP(Orders!C1168,Customers!$A$2:$F$301,3,FALSE()),"Not Found")</f>
        <v>53</v>
      </c>
      <c r="F1168" s="46" t="str">
        <f aca="false">IFERROR(VLOOKUP(Orders!E1168,Sales_Reps!$A$2:$E$31,3,FALSE()),"Not Found")</f>
        <v>South</v>
      </c>
      <c r="G1168" s="46" t="n">
        <f aca="false">IFERROR(VLOOKUP(Orders!D1168,Products!$A$2:$F$61,4,FALSE()),"")</f>
        <v>2214</v>
      </c>
      <c r="H1168" s="47" t="n">
        <f aca="false">IF(G1168="","",(Orders!G1168-G1168)/Orders!G1168)</f>
        <v>0.395081967213115</v>
      </c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46"/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</row>
    <row r="1169" customFormat="false" ht="15" hidden="false" customHeight="false" outlineLevel="0" collapsed="false">
      <c r="A1169" s="46" t="str">
        <f aca="false">Orders!A1169</f>
        <v>ORD-01168</v>
      </c>
      <c r="B1169" s="46" t="str">
        <f aca="false">PROPER(TRIM(Orders!K1169))</f>
        <v>Bengaluru</v>
      </c>
      <c r="C1169" s="46" t="str">
        <f aca="false">IFERROR(VLOOKUP(Orders!D1169,Products!$A$2:$F$61,3,FALSE()),"Not Found")</f>
        <v>Beauty</v>
      </c>
      <c r="D1169" s="46" t="str">
        <f aca="false">IFERROR(VLOOKUP(Orders!C1169,Customers!$A$2:$F$301,5,FALSE()),"Not Found")</f>
        <v>Retail</v>
      </c>
      <c r="E1169" s="46" t="n">
        <f aca="false">IFERROR(VLOOKUP(Orders!C1169,Customers!$A$2:$F$301,3,FALSE()),"Not Found")</f>
        <v>23</v>
      </c>
      <c r="F1169" s="46" t="str">
        <f aca="false">IFERROR(VLOOKUP(Orders!E1169,Sales_Reps!$A$2:$E$31,3,FALSE()),"Not Found")</f>
        <v>North</v>
      </c>
      <c r="G1169" s="46" t="n">
        <f aca="false">IFERROR(VLOOKUP(Orders!D1169,Products!$A$2:$F$61,4,FALSE()),"")</f>
        <v>1222</v>
      </c>
      <c r="H1169" s="47" t="n">
        <f aca="false">IF(G1169="","",(Orders!G1169-G1169)/Orders!G1169)</f>
        <v>0.259393939393939</v>
      </c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  <c r="AB1169" s="46"/>
      <c r="AC1169" s="46"/>
      <c r="AD1169" s="46"/>
      <c r="AE1169" s="46"/>
      <c r="AF1169" s="46"/>
      <c r="AG1169" s="46"/>
      <c r="AH1169" s="46"/>
      <c r="AI1169" s="46"/>
      <c r="AJ1169" s="46"/>
      <c r="AK1169" s="4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</row>
    <row r="1170" customFormat="false" ht="15" hidden="false" customHeight="false" outlineLevel="0" collapsed="false">
      <c r="A1170" s="46" t="str">
        <f aca="false">Orders!A1170</f>
        <v>ORD-01169</v>
      </c>
      <c r="B1170" s="46" t="str">
        <f aca="false">PROPER(TRIM(Orders!K1170))</f>
        <v>Hyderabad</v>
      </c>
      <c r="C1170" s="46" t="str">
        <f aca="false">IFERROR(VLOOKUP(Orders!D1170,Products!$A$2:$F$61,3,FALSE()),"Not Found")</f>
        <v>Sports</v>
      </c>
      <c r="D1170" s="46" t="str">
        <f aca="false">IFERROR(VLOOKUP(Orders!C1170,Customers!$A$2:$F$301,5,FALSE()),"Not Found")</f>
        <v>SMB</v>
      </c>
      <c r="E1170" s="46" t="n">
        <f aca="false">IFERROR(VLOOKUP(Orders!C1170,Customers!$A$2:$F$301,3,FALSE()),"Not Found")</f>
        <v>65</v>
      </c>
      <c r="F1170" s="46" t="str">
        <f aca="false">IFERROR(VLOOKUP(Orders!E1170,Sales_Reps!$A$2:$E$31,3,FALSE()),"Not Found")</f>
        <v>East</v>
      </c>
      <c r="G1170" s="46" t="n">
        <f aca="false">IFERROR(VLOOKUP(Orders!D1170,Products!$A$2:$F$61,4,FALSE()),"")</f>
        <v>2028</v>
      </c>
      <c r="H1170" s="47" t="n">
        <f aca="false">IF(G1170="","",(Orders!G1170-G1170)/Orders!G1170)</f>
        <v>0.290909090909091</v>
      </c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</row>
    <row r="1171" customFormat="false" ht="15" hidden="false" customHeight="false" outlineLevel="0" collapsed="false">
      <c r="A1171" s="46" t="str">
        <f aca="false">Orders!A1171</f>
        <v>ORD-01170</v>
      </c>
      <c r="B1171" s="46" t="str">
        <f aca="false">PROPER(TRIM(Orders!K1171))</f>
        <v>Hyderabad</v>
      </c>
      <c r="C1171" s="46" t="str">
        <f aca="false">IFERROR(VLOOKUP(Orders!D1171,Products!$A$2:$F$61,3,FALSE()),"Not Found")</f>
        <v>Sports</v>
      </c>
      <c r="D1171" s="46" t="str">
        <f aca="false">IFERROR(VLOOKUP(Orders!C1171,Customers!$A$2:$F$301,5,FALSE()),"Not Found")</f>
        <v>Retail</v>
      </c>
      <c r="E1171" s="46" t="n">
        <f aca="false">IFERROR(VLOOKUP(Orders!C1171,Customers!$A$2:$F$301,3,FALSE()),"Not Found")</f>
        <v>41</v>
      </c>
      <c r="F1171" s="46" t="str">
        <f aca="false">IFERROR(VLOOKUP(Orders!E1171,Sales_Reps!$A$2:$E$31,3,FALSE()),"Not Found")</f>
        <v>West</v>
      </c>
      <c r="G1171" s="46" t="n">
        <f aca="false">IFERROR(VLOOKUP(Orders!D1171,Products!$A$2:$F$61,4,FALSE()),"")</f>
        <v>2467</v>
      </c>
      <c r="H1171" s="47" t="n">
        <f aca="false">IF(G1171="","",(Orders!G1171-G1171)/Orders!G1171)</f>
        <v>0.284927536231884</v>
      </c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  <c r="AB1171" s="46"/>
      <c r="AC1171" s="46"/>
      <c r="AD1171" s="46"/>
      <c r="AE1171" s="46"/>
      <c r="AF1171" s="46"/>
      <c r="AG1171" s="46"/>
      <c r="AH1171" s="46"/>
      <c r="AI1171" s="46"/>
      <c r="AJ1171" s="46"/>
      <c r="AK1171" s="4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</row>
    <row r="1172" customFormat="false" ht="15" hidden="false" customHeight="false" outlineLevel="0" collapsed="false">
      <c r="A1172" s="46" t="str">
        <f aca="false">Orders!A1172</f>
        <v>ORD-01171</v>
      </c>
      <c r="B1172" s="46" t="str">
        <f aca="false">PROPER(TRIM(Orders!K1172))</f>
        <v>Pune</v>
      </c>
      <c r="C1172" s="46" t="str">
        <f aca="false">IFERROR(VLOOKUP(Orders!D1172,Products!$A$2:$F$61,3,FALSE()),"Not Found")</f>
        <v>Home</v>
      </c>
      <c r="D1172" s="46" t="str">
        <f aca="false">IFERROR(VLOOKUP(Orders!C1172,Customers!$A$2:$F$301,5,FALSE()),"Not Found")</f>
        <v>Retail</v>
      </c>
      <c r="E1172" s="46" t="n">
        <f aca="false">IFERROR(VLOOKUP(Orders!C1172,Customers!$A$2:$F$301,3,FALSE()),"Not Found")</f>
        <v>44</v>
      </c>
      <c r="F1172" s="46" t="str">
        <f aca="false">IFERROR(VLOOKUP(Orders!E1172,Sales_Reps!$A$2:$E$31,3,FALSE()),"Not Found")</f>
        <v>North</v>
      </c>
      <c r="G1172" s="46" t="n">
        <f aca="false">IFERROR(VLOOKUP(Orders!D1172,Products!$A$2:$F$61,4,FALSE()),"")</f>
        <v>1143</v>
      </c>
      <c r="H1172" s="47" t="n">
        <f aca="false">IF(G1172="","",(Orders!G1172-G1172)/Orders!G1172)</f>
        <v>0.436945812807882</v>
      </c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</row>
    <row r="1173" customFormat="false" ht="15" hidden="false" customHeight="false" outlineLevel="0" collapsed="false">
      <c r="A1173" s="46" t="str">
        <f aca="false">Orders!A1173</f>
        <v>ORD-01172</v>
      </c>
      <c r="B1173" s="46" t="str">
        <f aca="false">PROPER(TRIM(Orders!K1173))</f>
        <v>Pune</v>
      </c>
      <c r="C1173" s="46" t="str">
        <f aca="false">IFERROR(VLOOKUP(Orders!D1173,Products!$A$2:$F$61,3,FALSE()),"Not Found")</f>
        <v>Grocery</v>
      </c>
      <c r="D1173" s="46" t="str">
        <f aca="false">IFERROR(VLOOKUP(Orders!C1173,Customers!$A$2:$F$301,5,FALSE()),"Not Found")</f>
        <v>Retail</v>
      </c>
      <c r="E1173" s="46" t="n">
        <f aca="false">IFERROR(VLOOKUP(Orders!C1173,Customers!$A$2:$F$301,3,FALSE()),"Not Found")</f>
        <v>22</v>
      </c>
      <c r="F1173" s="46" t="str">
        <f aca="false">IFERROR(VLOOKUP(Orders!E1173,Sales_Reps!$A$2:$E$31,3,FALSE()),"Not Found")</f>
        <v>South</v>
      </c>
      <c r="G1173" s="46" t="n">
        <f aca="false">IFERROR(VLOOKUP(Orders!D1173,Products!$A$2:$F$61,4,FALSE()),"")</f>
        <v>1412</v>
      </c>
      <c r="H1173" s="47" t="n">
        <f aca="false">IF(G1173="","",(Orders!G1173-G1173)/Orders!G1173)</f>
        <v>0.377973568281938</v>
      </c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</row>
    <row r="1174" customFormat="false" ht="15" hidden="false" customHeight="false" outlineLevel="0" collapsed="false">
      <c r="A1174" s="46" t="str">
        <f aca="false">Orders!A1174</f>
        <v>ORD-01173</v>
      </c>
      <c r="B1174" s="46" t="str">
        <f aca="false">PROPER(TRIM(Orders!K1174))</f>
        <v>Mumbai</v>
      </c>
      <c r="C1174" s="46" t="str">
        <f aca="false">IFERROR(VLOOKUP(Orders!D1174,Products!$A$2:$F$61,3,FALSE()),"Not Found")</f>
        <v>Home</v>
      </c>
      <c r="D1174" s="46" t="str">
        <f aca="false">IFERROR(VLOOKUP(Orders!C1174,Customers!$A$2:$F$301,5,FALSE()),"Not Found")</f>
        <v>Retail</v>
      </c>
      <c r="E1174" s="46" t="n">
        <f aca="false">IFERROR(VLOOKUP(Orders!C1174,Customers!$A$2:$F$301,3,FALSE()),"Not Found")</f>
        <v>61</v>
      </c>
      <c r="F1174" s="46" t="str">
        <f aca="false">IFERROR(VLOOKUP(Orders!E1174,Sales_Reps!$A$2:$E$31,3,FALSE()),"Not Found")</f>
        <v>South</v>
      </c>
      <c r="G1174" s="46" t="n">
        <f aca="false">IFERROR(VLOOKUP(Orders!D1174,Products!$A$2:$F$61,4,FALSE()),"")</f>
        <v>2459</v>
      </c>
      <c r="H1174" s="47" t="n">
        <f aca="false">IF(G1174="","",(Orders!G1174-G1174)/Orders!G1174)</f>
        <v>0.515944881889764</v>
      </c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  <c r="AE1174" s="46"/>
      <c r="AF1174" s="46"/>
      <c r="AG1174" s="46"/>
      <c r="AH1174" s="46"/>
      <c r="AI1174" s="46"/>
      <c r="AJ1174" s="46"/>
      <c r="AK1174" s="4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</row>
    <row r="1175" customFormat="false" ht="15" hidden="false" customHeight="false" outlineLevel="0" collapsed="false">
      <c r="A1175" s="46" t="str">
        <f aca="false">Orders!A1175</f>
        <v>ORD-01174</v>
      </c>
      <c r="B1175" s="46" t="str">
        <f aca="false">PROPER(TRIM(Orders!K1175))</f>
        <v>Pune</v>
      </c>
      <c r="C1175" s="46" t="str">
        <f aca="false">IFERROR(VLOOKUP(Orders!D1175,Products!$A$2:$F$61,3,FALSE()),"Not Found")</f>
        <v>Grocery</v>
      </c>
      <c r="D1175" s="46" t="str">
        <f aca="false">IFERROR(VLOOKUP(Orders!C1175,Customers!$A$2:$F$301,5,FALSE()),"Not Found")</f>
        <v>Retail</v>
      </c>
      <c r="E1175" s="46" t="n">
        <f aca="false">IFERROR(VLOOKUP(Orders!C1175,Customers!$A$2:$F$301,3,FALSE()),"Not Found")</f>
        <v>31</v>
      </c>
      <c r="F1175" s="46" t="str">
        <f aca="false">IFERROR(VLOOKUP(Orders!E1175,Sales_Reps!$A$2:$E$31,3,FALSE()),"Not Found")</f>
        <v>West</v>
      </c>
      <c r="G1175" s="46" t="n">
        <f aca="false">IFERROR(VLOOKUP(Orders!D1175,Products!$A$2:$F$61,4,FALSE()),"")</f>
        <v>2027</v>
      </c>
      <c r="H1175" s="47" t="n">
        <f aca="false">IF(G1175="","",(Orders!G1175-G1175)/Orders!G1175)</f>
        <v>0.501965601965602</v>
      </c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46"/>
      <c r="AE1175" s="46"/>
      <c r="AF1175" s="46"/>
      <c r="AG1175" s="46"/>
      <c r="AH1175" s="46"/>
      <c r="AI1175" s="46"/>
      <c r="AJ1175" s="46"/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</row>
    <row r="1176" customFormat="false" ht="15" hidden="false" customHeight="false" outlineLevel="0" collapsed="false">
      <c r="A1176" s="46" t="str">
        <f aca="false">Orders!A1176</f>
        <v>ORD-01175</v>
      </c>
      <c r="B1176" s="46" t="str">
        <f aca="false">PROPER(TRIM(Orders!K1176))</f>
        <v>Chennai</v>
      </c>
      <c r="C1176" s="46" t="str">
        <f aca="false">IFERROR(VLOOKUP(Orders!D1176,Products!$A$2:$F$61,3,FALSE()),"Not Found")</f>
        <v>Beauty</v>
      </c>
      <c r="D1176" s="46" t="str">
        <f aca="false">IFERROR(VLOOKUP(Orders!C1176,Customers!$A$2:$F$301,5,FALSE()),"Not Found")</f>
        <v>SMB</v>
      </c>
      <c r="E1176" s="46" t="n">
        <f aca="false">IFERROR(VLOOKUP(Orders!C1176,Customers!$A$2:$F$301,3,FALSE()),"Not Found")</f>
        <v>64</v>
      </c>
      <c r="F1176" s="46" t="str">
        <f aca="false">IFERROR(VLOOKUP(Orders!E1176,Sales_Reps!$A$2:$E$31,3,FALSE()),"Not Found")</f>
        <v>North</v>
      </c>
      <c r="G1176" s="46" t="n">
        <f aca="false">IFERROR(VLOOKUP(Orders!D1176,Products!$A$2:$F$61,4,FALSE()),"")</f>
        <v>647</v>
      </c>
      <c r="H1176" s="47" t="n">
        <f aca="false">IF(G1176="","",(Orders!G1176-G1176)/Orders!G1176)</f>
        <v>0.57987012987013</v>
      </c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  <c r="AE1176" s="46"/>
      <c r="AF1176" s="46"/>
      <c r="AG1176" s="46"/>
      <c r="AH1176" s="46"/>
      <c r="AI1176" s="46"/>
      <c r="AJ1176" s="46"/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</row>
    <row r="1177" customFormat="false" ht="15" hidden="false" customHeight="false" outlineLevel="0" collapsed="false">
      <c r="A1177" s="46" t="str">
        <f aca="false">Orders!A1177</f>
        <v>ORD-01176</v>
      </c>
      <c r="B1177" s="46" t="str">
        <f aca="false">PROPER(TRIM(Orders!K1177))</f>
        <v>Bengaluru</v>
      </c>
      <c r="C1177" s="46" t="str">
        <f aca="false">IFERROR(VLOOKUP(Orders!D1177,Products!$A$2:$F$61,3,FALSE()),"Not Found")</f>
        <v>Beauty</v>
      </c>
      <c r="D1177" s="46" t="str">
        <f aca="false">IFERROR(VLOOKUP(Orders!C1177,Customers!$A$2:$F$301,5,FALSE()),"Not Found")</f>
        <v>Retail</v>
      </c>
      <c r="E1177" s="46" t="n">
        <f aca="false">IFERROR(VLOOKUP(Orders!C1177,Customers!$A$2:$F$301,3,FALSE()),"Not Found")</f>
        <v>48</v>
      </c>
      <c r="F1177" s="46" t="str">
        <f aca="false">IFERROR(VLOOKUP(Orders!E1177,Sales_Reps!$A$2:$E$31,3,FALSE()),"Not Found")</f>
        <v>West</v>
      </c>
      <c r="G1177" s="46" t="n">
        <f aca="false">IFERROR(VLOOKUP(Orders!D1177,Products!$A$2:$F$61,4,FALSE()),"")</f>
        <v>2237</v>
      </c>
      <c r="H1177" s="47" t="n">
        <f aca="false">IF(G1177="","",(Orders!G1177-G1177)/Orders!G1177)</f>
        <v>0.561372549019608</v>
      </c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</row>
    <row r="1178" customFormat="false" ht="15" hidden="false" customHeight="false" outlineLevel="0" collapsed="false">
      <c r="A1178" s="46" t="str">
        <f aca="false">Orders!A1178</f>
        <v>ORD-01177</v>
      </c>
      <c r="B1178" s="46" t="str">
        <f aca="false">PROPER(TRIM(Orders!K1178))</f>
        <v>Pune</v>
      </c>
      <c r="C1178" s="46" t="str">
        <f aca="false">IFERROR(VLOOKUP(Orders!D1178,Products!$A$2:$F$61,3,FALSE()),"Not Found")</f>
        <v>Apparel</v>
      </c>
      <c r="D1178" s="46" t="str">
        <f aca="false">IFERROR(VLOOKUP(Orders!C1178,Customers!$A$2:$F$301,5,FALSE()),"Not Found")</f>
        <v>Corporate</v>
      </c>
      <c r="E1178" s="46" t="n">
        <f aca="false">IFERROR(VLOOKUP(Orders!C1178,Customers!$A$2:$F$301,3,FALSE()),"Not Found")</f>
        <v>40</v>
      </c>
      <c r="F1178" s="46" t="str">
        <f aca="false">IFERROR(VLOOKUP(Orders!E1178,Sales_Reps!$A$2:$E$31,3,FALSE()),"Not Found")</f>
        <v>North</v>
      </c>
      <c r="G1178" s="46" t="n">
        <f aca="false">IFERROR(VLOOKUP(Orders!D1178,Products!$A$2:$F$61,4,FALSE()),"")</f>
        <v>2509</v>
      </c>
      <c r="H1178" s="47" t="n">
        <f aca="false">IF(G1178="","",(Orders!G1178-G1178)/Orders!G1178)</f>
        <v>0.306906077348066</v>
      </c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46"/>
      <c r="AE1178" s="46"/>
      <c r="AF1178" s="46"/>
      <c r="AG1178" s="46"/>
      <c r="AH1178" s="46"/>
      <c r="AI1178" s="46"/>
      <c r="AJ1178" s="46"/>
      <c r="AK1178" s="4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</row>
    <row r="1179" customFormat="false" ht="15" hidden="false" customHeight="false" outlineLevel="0" collapsed="false">
      <c r="A1179" s="46" t="str">
        <f aca="false">Orders!A1179</f>
        <v>ORD-01178</v>
      </c>
      <c r="B1179" s="46" t="str">
        <f aca="false">PROPER(TRIM(Orders!K1179))</f>
        <v>Pune</v>
      </c>
      <c r="C1179" s="46" t="str">
        <f aca="false">IFERROR(VLOOKUP(Orders!D1179,Products!$A$2:$F$61,3,FALSE()),"Not Found")</f>
        <v>Beauty</v>
      </c>
      <c r="D1179" s="46" t="str">
        <f aca="false">IFERROR(VLOOKUP(Orders!C1179,Customers!$A$2:$F$301,5,FALSE()),"Not Found")</f>
        <v>Retail</v>
      </c>
      <c r="E1179" s="46" t="n">
        <f aca="false">IFERROR(VLOOKUP(Orders!C1179,Customers!$A$2:$F$301,3,FALSE()),"Not Found")</f>
        <v>56</v>
      </c>
      <c r="F1179" s="46" t="str">
        <f aca="false">IFERROR(VLOOKUP(Orders!E1179,Sales_Reps!$A$2:$E$31,3,FALSE()),"Not Found")</f>
        <v>North</v>
      </c>
      <c r="G1179" s="46" t="n">
        <f aca="false">IFERROR(VLOOKUP(Orders!D1179,Products!$A$2:$F$61,4,FALSE()),"")</f>
        <v>2768</v>
      </c>
      <c r="H1179" s="47" t="n">
        <f aca="false">IF(G1179="","",(Orders!G1179-G1179)/Orders!G1179)</f>
        <v>0.432786885245902</v>
      </c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  <c r="AB1179" s="46"/>
      <c r="AC1179" s="46"/>
      <c r="AD1179" s="46"/>
      <c r="AE1179" s="46"/>
      <c r="AF1179" s="46"/>
      <c r="AG1179" s="46"/>
      <c r="AH1179" s="46"/>
      <c r="AI1179" s="46"/>
      <c r="AJ1179" s="46"/>
      <c r="AK1179" s="4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</row>
    <row r="1180" customFormat="false" ht="15" hidden="false" customHeight="false" outlineLevel="0" collapsed="false">
      <c r="A1180" s="46" t="str">
        <f aca="false">Orders!A1180</f>
        <v>ORD-01179</v>
      </c>
      <c r="B1180" s="46" t="str">
        <f aca="false">PROPER(TRIM(Orders!K1180))</f>
        <v>Pune</v>
      </c>
      <c r="C1180" s="46" t="str">
        <f aca="false">IFERROR(VLOOKUP(Orders!D1180,Products!$A$2:$F$61,3,FALSE()),"Not Found")</f>
        <v>Electronics</v>
      </c>
      <c r="D1180" s="46" t="str">
        <f aca="false">IFERROR(VLOOKUP(Orders!C1180,Customers!$A$2:$F$301,5,FALSE()),"Not Found")</f>
        <v>SMB</v>
      </c>
      <c r="E1180" s="46" t="n">
        <f aca="false">IFERROR(VLOOKUP(Orders!C1180,Customers!$A$2:$F$301,3,FALSE()),"Not Found")</f>
        <v>44</v>
      </c>
      <c r="F1180" s="46" t="str">
        <f aca="false">IFERROR(VLOOKUP(Orders!E1180,Sales_Reps!$A$2:$E$31,3,FALSE()),"Not Found")</f>
        <v>West</v>
      </c>
      <c r="G1180" s="46" t="n">
        <f aca="false">IFERROR(VLOOKUP(Orders!D1180,Products!$A$2:$F$61,4,FALSE()),"")</f>
        <v>1149</v>
      </c>
      <c r="H1180" s="47" t="n">
        <f aca="false">IF(G1180="","",(Orders!G1180-G1180)/Orders!G1180)</f>
        <v>0.564772727272727</v>
      </c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</row>
    <row r="1181" customFormat="false" ht="15" hidden="false" customHeight="false" outlineLevel="0" collapsed="false">
      <c r="A1181" s="46" t="str">
        <f aca="false">Orders!A1181</f>
        <v>ORD-01180</v>
      </c>
      <c r="B1181" s="46" t="str">
        <f aca="false">PROPER(TRIM(Orders!K1181))</f>
        <v>Hyderabad</v>
      </c>
      <c r="C1181" s="46" t="str">
        <f aca="false">IFERROR(VLOOKUP(Orders!D1181,Products!$A$2:$F$61,3,FALSE()),"Not Found")</f>
        <v>Grocery</v>
      </c>
      <c r="D1181" s="46" t="str">
        <f aca="false">IFERROR(VLOOKUP(Orders!C1181,Customers!$A$2:$F$301,5,FALSE()),"Not Found")</f>
        <v>Retail</v>
      </c>
      <c r="E1181" s="46" t="n">
        <f aca="false">IFERROR(VLOOKUP(Orders!C1181,Customers!$A$2:$F$301,3,FALSE()),"Not Found")</f>
        <v>53</v>
      </c>
      <c r="F1181" s="46" t="str">
        <f aca="false">IFERROR(VLOOKUP(Orders!E1181,Sales_Reps!$A$2:$E$31,3,FALSE()),"Not Found")</f>
        <v>East</v>
      </c>
      <c r="G1181" s="46" t="n">
        <f aca="false">IFERROR(VLOOKUP(Orders!D1181,Products!$A$2:$F$61,4,FALSE()),"")</f>
        <v>2027</v>
      </c>
      <c r="H1181" s="47" t="n">
        <f aca="false">IF(G1181="","",(Orders!G1181-G1181)/Orders!G1181)</f>
        <v>0.501965601965602</v>
      </c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46"/>
      <c r="AE1181" s="46"/>
      <c r="AF1181" s="46"/>
      <c r="AG1181" s="46"/>
      <c r="AH1181" s="46"/>
      <c r="AI1181" s="46"/>
      <c r="AJ1181" s="46"/>
      <c r="AK1181" s="4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</row>
    <row r="1182" customFormat="false" ht="15" hidden="false" customHeight="false" outlineLevel="0" collapsed="false">
      <c r="A1182" s="46" t="str">
        <f aca="false">Orders!A1182</f>
        <v>ORD-01181</v>
      </c>
      <c r="B1182" s="46" t="str">
        <f aca="false">PROPER(TRIM(Orders!K1182))</f>
        <v>Chennai</v>
      </c>
      <c r="C1182" s="46" t="str">
        <f aca="false">IFERROR(VLOOKUP(Orders!D1182,Products!$A$2:$F$61,3,FALSE()),"Not Found")</f>
        <v>Electronics</v>
      </c>
      <c r="D1182" s="46" t="str">
        <f aca="false">IFERROR(VLOOKUP(Orders!C1182,Customers!$A$2:$F$301,5,FALSE()),"Not Found")</f>
        <v>Retail</v>
      </c>
      <c r="E1182" s="46" t="n">
        <f aca="false">IFERROR(VLOOKUP(Orders!C1182,Customers!$A$2:$F$301,3,FALSE()),"Not Found")</f>
        <v>28</v>
      </c>
      <c r="F1182" s="46" t="str">
        <f aca="false">IFERROR(VLOOKUP(Orders!E1182,Sales_Reps!$A$2:$E$31,3,FALSE()),"Not Found")</f>
        <v>West</v>
      </c>
      <c r="G1182" s="46" t="n">
        <f aca="false">IFERROR(VLOOKUP(Orders!D1182,Products!$A$2:$F$61,4,FALSE()),"")</f>
        <v>1665</v>
      </c>
      <c r="H1182" s="47" t="n">
        <f aca="false">IF(G1182="","",(Orders!G1182-G1182)/Orders!G1182)</f>
        <v>0.533613445378151</v>
      </c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</row>
    <row r="1183" customFormat="false" ht="15" hidden="false" customHeight="false" outlineLevel="0" collapsed="false">
      <c r="A1183" s="46" t="str">
        <f aca="false">Orders!A1183</f>
        <v>ORD-01182</v>
      </c>
      <c r="B1183" s="46" t="str">
        <f aca="false">PROPER(TRIM(Orders!K1183))</f>
        <v>Chennai</v>
      </c>
      <c r="C1183" s="46" t="str">
        <f aca="false">IFERROR(VLOOKUP(Orders!D1183,Products!$A$2:$F$61,3,FALSE()),"Not Found")</f>
        <v>Beauty</v>
      </c>
      <c r="D1183" s="46" t="str">
        <f aca="false">IFERROR(VLOOKUP(Orders!C1183,Customers!$A$2:$F$301,5,FALSE()),"Not Found")</f>
        <v>SMB</v>
      </c>
      <c r="E1183" s="46" t="n">
        <f aca="false">IFERROR(VLOOKUP(Orders!C1183,Customers!$A$2:$F$301,3,FALSE()),"Not Found")</f>
        <v>55</v>
      </c>
      <c r="F1183" s="46" t="str">
        <f aca="false">IFERROR(VLOOKUP(Orders!E1183,Sales_Reps!$A$2:$E$31,3,FALSE()),"Not Found")</f>
        <v>North</v>
      </c>
      <c r="G1183" s="46" t="n">
        <f aca="false">IFERROR(VLOOKUP(Orders!D1183,Products!$A$2:$F$61,4,FALSE()),"")</f>
        <v>1728</v>
      </c>
      <c r="H1183" s="47" t="n">
        <f aca="false">IF(G1183="","",(Orders!G1183-G1183)/Orders!G1183)</f>
        <v>0.484179104477612</v>
      </c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</row>
    <row r="1184" customFormat="false" ht="15" hidden="false" customHeight="false" outlineLevel="0" collapsed="false">
      <c r="A1184" s="46" t="str">
        <f aca="false">Orders!A1184</f>
        <v>ORD-01183</v>
      </c>
      <c r="B1184" s="46" t="str">
        <f aca="false">PROPER(TRIM(Orders!K1184))</f>
        <v>Chennai</v>
      </c>
      <c r="C1184" s="46" t="str">
        <f aca="false">IFERROR(VLOOKUP(Orders!D1184,Products!$A$2:$F$61,3,FALSE()),"Not Found")</f>
        <v>Sports</v>
      </c>
      <c r="D1184" s="46" t="str">
        <f aca="false">IFERROR(VLOOKUP(Orders!C1184,Customers!$A$2:$F$301,5,FALSE()),"Not Found")</f>
        <v>Retail</v>
      </c>
      <c r="E1184" s="46" t="n">
        <f aca="false">IFERROR(VLOOKUP(Orders!C1184,Customers!$A$2:$F$301,3,FALSE()),"Not Found")</f>
        <v>24</v>
      </c>
      <c r="F1184" s="46" t="str">
        <f aca="false">IFERROR(VLOOKUP(Orders!E1184,Sales_Reps!$A$2:$E$31,3,FALSE()),"Not Found")</f>
        <v>West</v>
      </c>
      <c r="G1184" s="46" t="n">
        <f aca="false">IFERROR(VLOOKUP(Orders!D1184,Products!$A$2:$F$61,4,FALSE()),"")</f>
        <v>1860</v>
      </c>
      <c r="H1184" s="47" t="n">
        <f aca="false">IF(G1184="","",(Orders!G1184-G1184)/Orders!G1184)</f>
        <v>0.507936507936508</v>
      </c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</row>
    <row r="1185" customFormat="false" ht="15" hidden="false" customHeight="false" outlineLevel="0" collapsed="false">
      <c r="A1185" s="46" t="str">
        <f aca="false">Orders!A1185</f>
        <v>ORD-01184</v>
      </c>
      <c r="B1185" s="46" t="str">
        <f aca="false">PROPER(TRIM(Orders!K1185))</f>
        <v>Pune</v>
      </c>
      <c r="C1185" s="46" t="str">
        <f aca="false">IFERROR(VLOOKUP(Orders!D1185,Products!$A$2:$F$61,3,FALSE()),"Not Found")</f>
        <v>Electronics</v>
      </c>
      <c r="D1185" s="46" t="str">
        <f aca="false">IFERROR(VLOOKUP(Orders!C1185,Customers!$A$2:$F$301,5,FALSE()),"Not Found")</f>
        <v>Corporate</v>
      </c>
      <c r="E1185" s="46" t="n">
        <f aca="false">IFERROR(VLOOKUP(Orders!C1185,Customers!$A$2:$F$301,3,FALSE()),"Not Found")</f>
        <v>52</v>
      </c>
      <c r="F1185" s="46" t="str">
        <f aca="false">IFERROR(VLOOKUP(Orders!E1185,Sales_Reps!$A$2:$E$31,3,FALSE()),"Not Found")</f>
        <v>North</v>
      </c>
      <c r="G1185" s="46" t="n">
        <f aca="false">IFERROR(VLOOKUP(Orders!D1185,Products!$A$2:$F$61,4,FALSE()),"")</f>
        <v>1665</v>
      </c>
      <c r="H1185" s="47" t="n">
        <f aca="false">IF(G1185="","",(Orders!G1185-G1185)/Orders!G1185)</f>
        <v>0.533613445378151</v>
      </c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</row>
    <row r="1186" customFormat="false" ht="15" hidden="false" customHeight="false" outlineLevel="0" collapsed="false">
      <c r="A1186" s="46" t="str">
        <f aca="false">Orders!A1186</f>
        <v>ORD-01185</v>
      </c>
      <c r="B1186" s="46" t="str">
        <f aca="false">PROPER(TRIM(Orders!K1186))</f>
        <v>Delhi</v>
      </c>
      <c r="C1186" s="46" t="str">
        <f aca="false">IFERROR(VLOOKUP(Orders!D1186,Products!$A$2:$F$61,3,FALSE()),"Not Found")</f>
        <v>Sports</v>
      </c>
      <c r="D1186" s="46" t="str">
        <f aca="false">IFERROR(VLOOKUP(Orders!C1186,Customers!$A$2:$F$301,5,FALSE()),"Not Found")</f>
        <v>Retail</v>
      </c>
      <c r="E1186" s="46" t="n">
        <f aca="false">IFERROR(VLOOKUP(Orders!C1186,Customers!$A$2:$F$301,3,FALSE()),"Not Found")</f>
        <v>44</v>
      </c>
      <c r="F1186" s="46" t="str">
        <f aca="false">IFERROR(VLOOKUP(Orders!E1186,Sales_Reps!$A$2:$E$31,3,FALSE()),"Not Found")</f>
        <v>West</v>
      </c>
      <c r="G1186" s="46" t="n">
        <f aca="false">IFERROR(VLOOKUP(Orders!D1186,Products!$A$2:$F$61,4,FALSE()),"")</f>
        <v>2028</v>
      </c>
      <c r="H1186" s="47" t="n">
        <f aca="false">IF(G1186="","",(Orders!G1186-G1186)/Orders!G1186)</f>
        <v>0.290909090909091</v>
      </c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</row>
    <row r="1187" customFormat="false" ht="15" hidden="false" customHeight="false" outlineLevel="0" collapsed="false">
      <c r="A1187" s="46" t="str">
        <f aca="false">Orders!A1187</f>
        <v>ORD-01186</v>
      </c>
      <c r="B1187" s="46" t="str">
        <f aca="false">PROPER(TRIM(Orders!K1187))</f>
        <v>Delhi</v>
      </c>
      <c r="C1187" s="46" t="str">
        <f aca="false">IFERROR(VLOOKUP(Orders!D1187,Products!$A$2:$F$61,3,FALSE()),"Not Found")</f>
        <v>Apparel</v>
      </c>
      <c r="D1187" s="46" t="str">
        <f aca="false">IFERROR(VLOOKUP(Orders!C1187,Customers!$A$2:$F$301,5,FALSE()),"Not Found")</f>
        <v>Retail</v>
      </c>
      <c r="E1187" s="46" t="n">
        <f aca="false">IFERROR(VLOOKUP(Orders!C1187,Customers!$A$2:$F$301,3,FALSE()),"Not Found")</f>
        <v>41</v>
      </c>
      <c r="F1187" s="46" t="str">
        <f aca="false">IFERROR(VLOOKUP(Orders!E1187,Sales_Reps!$A$2:$E$31,3,FALSE()),"Not Found")</f>
        <v>North</v>
      </c>
      <c r="G1187" s="46" t="n">
        <f aca="false">IFERROR(VLOOKUP(Orders!D1187,Products!$A$2:$F$61,4,FALSE()),"")</f>
        <v>396</v>
      </c>
      <c r="H1187" s="47" t="n">
        <f aca="false">IF(G1187="","",(Orders!G1187-G1187)/Orders!G1187)</f>
        <v>0.361290322580645</v>
      </c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  <c r="AA1187" s="46"/>
      <c r="AB1187" s="46"/>
      <c r="AC1187" s="46"/>
      <c r="AD1187" s="46"/>
      <c r="AE1187" s="46"/>
      <c r="AF1187" s="46"/>
      <c r="AG1187" s="46"/>
      <c r="AH1187" s="46"/>
      <c r="AI1187" s="46"/>
      <c r="AJ1187" s="46"/>
      <c r="AK1187" s="46"/>
      <c r="AL1187" s="46"/>
      <c r="AM1187" s="46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46"/>
      <c r="AY1187" s="46"/>
      <c r="AZ1187" s="46"/>
    </row>
    <row r="1188" customFormat="false" ht="15" hidden="false" customHeight="false" outlineLevel="0" collapsed="false">
      <c r="A1188" s="46" t="str">
        <f aca="false">Orders!A1188</f>
        <v>ORD-01187</v>
      </c>
      <c r="B1188" s="46" t="str">
        <f aca="false">PROPER(TRIM(Orders!K1188))</f>
        <v>Pune</v>
      </c>
      <c r="C1188" s="46" t="str">
        <f aca="false">IFERROR(VLOOKUP(Orders!D1188,Products!$A$2:$F$61,3,FALSE()),"Not Found")</f>
        <v>Electronics</v>
      </c>
      <c r="D1188" s="46" t="str">
        <f aca="false">IFERROR(VLOOKUP(Orders!C1188,Customers!$A$2:$F$301,5,FALSE()),"Not Found")</f>
        <v>SMB</v>
      </c>
      <c r="E1188" s="46" t="n">
        <f aca="false">IFERROR(VLOOKUP(Orders!C1188,Customers!$A$2:$F$301,3,FALSE()),"Not Found")</f>
        <v>44</v>
      </c>
      <c r="F1188" s="46" t="str">
        <f aca="false">IFERROR(VLOOKUP(Orders!E1188,Sales_Reps!$A$2:$E$31,3,FALSE()),"Not Found")</f>
        <v>South</v>
      </c>
      <c r="G1188" s="46" t="n">
        <f aca="false">IFERROR(VLOOKUP(Orders!D1188,Products!$A$2:$F$61,4,FALSE()),"")</f>
        <v>1665</v>
      </c>
      <c r="H1188" s="47" t="n">
        <f aca="false">IF(G1188="","",(Orders!G1188-G1188)/Orders!G1188)</f>
        <v>0.533613445378151</v>
      </c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</row>
    <row r="1189" customFormat="false" ht="15" hidden="false" customHeight="false" outlineLevel="0" collapsed="false">
      <c r="A1189" s="46" t="str">
        <f aca="false">Orders!A1189</f>
        <v>ORD-01188</v>
      </c>
      <c r="B1189" s="46" t="str">
        <f aca="false">PROPER(TRIM(Orders!K1189))</f>
        <v>Chennai</v>
      </c>
      <c r="C1189" s="46" t="str">
        <f aca="false">IFERROR(VLOOKUP(Orders!D1189,Products!$A$2:$F$61,3,FALSE()),"Not Found")</f>
        <v>Electronics</v>
      </c>
      <c r="D1189" s="46" t="str">
        <f aca="false">IFERROR(VLOOKUP(Orders!C1189,Customers!$A$2:$F$301,5,FALSE()),"Not Found")</f>
        <v>Corporate</v>
      </c>
      <c r="E1189" s="46" t="n">
        <f aca="false">IFERROR(VLOOKUP(Orders!C1189,Customers!$A$2:$F$301,3,FALSE()),"Not Found")</f>
        <v>41</v>
      </c>
      <c r="F1189" s="46" t="str">
        <f aca="false">IFERROR(VLOOKUP(Orders!E1189,Sales_Reps!$A$2:$E$31,3,FALSE()),"Not Found")</f>
        <v>South</v>
      </c>
      <c r="G1189" s="46" t="n">
        <f aca="false">IFERROR(VLOOKUP(Orders!D1189,Products!$A$2:$F$61,4,FALSE()),"")</f>
        <v>2405</v>
      </c>
      <c r="H1189" s="47" t="n">
        <f aca="false">IF(G1189="","",(Orders!G1189-G1189)/Orders!G1189)</f>
        <v>0.548780487804878</v>
      </c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  <c r="AA1189" s="46"/>
      <c r="AB1189" s="46"/>
      <c r="AC1189" s="46"/>
      <c r="AD1189" s="46"/>
      <c r="AE1189" s="46"/>
      <c r="AF1189" s="46"/>
      <c r="AG1189" s="46"/>
      <c r="AH1189" s="46"/>
      <c r="AI1189" s="46"/>
      <c r="AJ1189" s="46"/>
      <c r="AK1189" s="4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46"/>
      <c r="AZ1189" s="46"/>
    </row>
    <row r="1190" customFormat="false" ht="15" hidden="false" customHeight="false" outlineLevel="0" collapsed="false">
      <c r="A1190" s="46" t="str">
        <f aca="false">Orders!A1190</f>
        <v>ORD-01189</v>
      </c>
      <c r="B1190" s="46" t="str">
        <f aca="false">PROPER(TRIM(Orders!K1190))</f>
        <v>Mumbai</v>
      </c>
      <c r="C1190" s="46" t="str">
        <f aca="false">IFERROR(VLOOKUP(Orders!D1190,Products!$A$2:$F$61,3,FALSE()),"Not Found")</f>
        <v>Sports</v>
      </c>
      <c r="D1190" s="46" t="str">
        <f aca="false">IFERROR(VLOOKUP(Orders!C1190,Customers!$A$2:$F$301,5,FALSE()),"Not Found")</f>
        <v>SMB</v>
      </c>
      <c r="E1190" s="46" t="n">
        <f aca="false">IFERROR(VLOOKUP(Orders!C1190,Customers!$A$2:$F$301,3,FALSE()),"Not Found")</f>
        <v>22</v>
      </c>
      <c r="F1190" s="46" t="str">
        <f aca="false">IFERROR(VLOOKUP(Orders!E1190,Sales_Reps!$A$2:$E$31,3,FALSE()),"Not Found")</f>
        <v>East</v>
      </c>
      <c r="G1190" s="46" t="n">
        <f aca="false">IFERROR(VLOOKUP(Orders!D1190,Products!$A$2:$F$61,4,FALSE()),"")</f>
        <v>2265</v>
      </c>
      <c r="H1190" s="47" t="n">
        <f aca="false">IF(G1190="","",(Orders!G1190-G1190)/Orders!G1190)</f>
        <v>0.581330868761553</v>
      </c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</row>
    <row r="1191" customFormat="false" ht="15" hidden="false" customHeight="false" outlineLevel="0" collapsed="false">
      <c r="A1191" s="46" t="str">
        <f aca="false">Orders!A1191</f>
        <v>ORD-01190</v>
      </c>
      <c r="B1191" s="46" t="str">
        <f aca="false">PROPER(TRIM(Orders!K1191))</f>
        <v>Pune</v>
      </c>
      <c r="C1191" s="46" t="str">
        <f aca="false">IFERROR(VLOOKUP(Orders!D1191,Products!$A$2:$F$61,3,FALSE()),"Not Found")</f>
        <v>Home</v>
      </c>
      <c r="D1191" s="46" t="str">
        <f aca="false">IFERROR(VLOOKUP(Orders!C1191,Customers!$A$2:$F$301,5,FALSE()),"Not Found")</f>
        <v>Retail</v>
      </c>
      <c r="E1191" s="46" t="n">
        <f aca="false">IFERROR(VLOOKUP(Orders!C1191,Customers!$A$2:$F$301,3,FALSE()),"Not Found")</f>
        <v>42</v>
      </c>
      <c r="F1191" s="46" t="str">
        <f aca="false">IFERROR(VLOOKUP(Orders!E1191,Sales_Reps!$A$2:$E$31,3,FALSE()),"Not Found")</f>
        <v>South</v>
      </c>
      <c r="G1191" s="46" t="n">
        <f aca="false">IFERROR(VLOOKUP(Orders!D1191,Products!$A$2:$F$61,4,FALSE()),"")</f>
        <v>2459</v>
      </c>
      <c r="H1191" s="47" t="n">
        <f aca="false">IF(G1191="","",(Orders!G1191-G1191)/Orders!G1191)</f>
        <v>0.515944881889764</v>
      </c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/>
      <c r="AC1191" s="46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46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</row>
    <row r="1192" customFormat="false" ht="15" hidden="false" customHeight="false" outlineLevel="0" collapsed="false">
      <c r="A1192" s="46" t="str">
        <f aca="false">Orders!A1192</f>
        <v>ORD-01191</v>
      </c>
      <c r="B1192" s="46" t="str">
        <f aca="false">PROPER(TRIM(Orders!K1192))</f>
        <v>Delhi</v>
      </c>
      <c r="C1192" s="46" t="str">
        <f aca="false">IFERROR(VLOOKUP(Orders!D1192,Products!$A$2:$F$61,3,FALSE()),"Not Found")</f>
        <v>Electronics</v>
      </c>
      <c r="D1192" s="46" t="str">
        <f aca="false">IFERROR(VLOOKUP(Orders!C1192,Customers!$A$2:$F$301,5,FALSE()),"Not Found")</f>
        <v>Retail</v>
      </c>
      <c r="E1192" s="46" t="n">
        <f aca="false">IFERROR(VLOOKUP(Orders!C1192,Customers!$A$2:$F$301,3,FALSE()),"Not Found")</f>
        <v>24</v>
      </c>
      <c r="F1192" s="46" t="str">
        <f aca="false">IFERROR(VLOOKUP(Orders!E1192,Sales_Reps!$A$2:$E$31,3,FALSE()),"Not Found")</f>
        <v>North</v>
      </c>
      <c r="G1192" s="46" t="n">
        <f aca="false">IFERROR(VLOOKUP(Orders!D1192,Products!$A$2:$F$61,4,FALSE()),"")</f>
        <v>1665</v>
      </c>
      <c r="H1192" s="47" t="n">
        <f aca="false">IF(G1192="","",(Orders!G1192-G1192)/Orders!G1192)</f>
        <v>0.533613445378151</v>
      </c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</row>
    <row r="1193" customFormat="false" ht="15" hidden="false" customHeight="false" outlineLevel="0" collapsed="false">
      <c r="A1193" s="46" t="str">
        <f aca="false">Orders!A1193</f>
        <v>ORD-01192</v>
      </c>
      <c r="B1193" s="46" t="str">
        <f aca="false">PROPER(TRIM(Orders!K1193))</f>
        <v>Bengaluru</v>
      </c>
      <c r="C1193" s="46" t="str">
        <f aca="false">IFERROR(VLOOKUP(Orders!D1193,Products!$A$2:$F$61,3,FALSE()),"Not Found")</f>
        <v>Grocery</v>
      </c>
      <c r="D1193" s="46" t="str">
        <f aca="false">IFERROR(VLOOKUP(Orders!C1193,Customers!$A$2:$F$301,5,FALSE()),"Not Found")</f>
        <v>Retail</v>
      </c>
      <c r="E1193" s="46" t="n">
        <f aca="false">IFERROR(VLOOKUP(Orders!C1193,Customers!$A$2:$F$301,3,FALSE()),"Not Found")</f>
        <v>34</v>
      </c>
      <c r="F1193" s="46" t="str">
        <f aca="false">IFERROR(VLOOKUP(Orders!E1193,Sales_Reps!$A$2:$E$31,3,FALSE()),"Not Found")</f>
        <v>East</v>
      </c>
      <c r="G1193" s="46" t="n">
        <f aca="false">IFERROR(VLOOKUP(Orders!D1193,Products!$A$2:$F$61,4,FALSE()),"")</f>
        <v>434</v>
      </c>
      <c r="H1193" s="47" t="n">
        <f aca="false">IF(G1193="","",(Orders!G1193-G1193)/Orders!G1193)</f>
        <v>0.552577319587629</v>
      </c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</row>
    <row r="1194" customFormat="false" ht="15" hidden="false" customHeight="false" outlineLevel="0" collapsed="false">
      <c r="A1194" s="46" t="str">
        <f aca="false">Orders!A1194</f>
        <v>ORD-01193</v>
      </c>
      <c r="B1194" s="46" t="str">
        <f aca="false">PROPER(TRIM(Orders!K1194))</f>
        <v>Delhi</v>
      </c>
      <c r="C1194" s="46" t="str">
        <f aca="false">IFERROR(VLOOKUP(Orders!D1194,Products!$A$2:$F$61,3,FALSE()),"Not Found")</f>
        <v>Electronics</v>
      </c>
      <c r="D1194" s="46" t="str">
        <f aca="false">IFERROR(VLOOKUP(Orders!C1194,Customers!$A$2:$F$301,5,FALSE()),"Not Found")</f>
        <v>Retail</v>
      </c>
      <c r="E1194" s="46" t="n">
        <f aca="false">IFERROR(VLOOKUP(Orders!C1194,Customers!$A$2:$F$301,3,FALSE()),"Not Found")</f>
        <v>44</v>
      </c>
      <c r="F1194" s="46" t="str">
        <f aca="false">IFERROR(VLOOKUP(Orders!E1194,Sales_Reps!$A$2:$E$31,3,FALSE()),"Not Found")</f>
        <v>South</v>
      </c>
      <c r="G1194" s="46" t="n">
        <f aca="false">IFERROR(VLOOKUP(Orders!D1194,Products!$A$2:$F$61,4,FALSE()),"")</f>
        <v>128</v>
      </c>
      <c r="H1194" s="47" t="n">
        <f aca="false">IF(G1194="","",(Orders!G1194-G1194)/Orders!G1194)</f>
        <v>0.573333333333333</v>
      </c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</row>
    <row r="1195" customFormat="false" ht="15" hidden="false" customHeight="false" outlineLevel="0" collapsed="false">
      <c r="A1195" s="46" t="str">
        <f aca="false">Orders!A1195</f>
        <v>ORD-01194</v>
      </c>
      <c r="B1195" s="46" t="str">
        <f aca="false">PROPER(TRIM(Orders!K1195))</f>
        <v>Chennai</v>
      </c>
      <c r="C1195" s="46" t="str">
        <f aca="false">IFERROR(VLOOKUP(Orders!D1195,Products!$A$2:$F$61,3,FALSE()),"Not Found")</f>
        <v>Beauty</v>
      </c>
      <c r="D1195" s="46" t="str">
        <f aca="false">IFERROR(VLOOKUP(Orders!C1195,Customers!$A$2:$F$301,5,FALSE()),"Not Found")</f>
        <v>SMB</v>
      </c>
      <c r="E1195" s="46" t="n">
        <f aca="false">IFERROR(VLOOKUP(Orders!C1195,Customers!$A$2:$F$301,3,FALSE()),"Not Found")</f>
        <v>64</v>
      </c>
      <c r="F1195" s="46" t="str">
        <f aca="false">IFERROR(VLOOKUP(Orders!E1195,Sales_Reps!$A$2:$E$31,3,FALSE()),"Not Found")</f>
        <v>North</v>
      </c>
      <c r="G1195" s="46" t="n">
        <f aca="false">IFERROR(VLOOKUP(Orders!D1195,Products!$A$2:$F$61,4,FALSE()),"")</f>
        <v>2617</v>
      </c>
      <c r="H1195" s="47" t="n">
        <f aca="false">IF(G1195="","",(Orders!G1195-G1195)/Orders!G1195)</f>
        <v>0.569572368421053</v>
      </c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  <c r="AA1195" s="46"/>
      <c r="AB1195" s="46"/>
      <c r="AC1195" s="46"/>
      <c r="AD1195" s="46"/>
      <c r="AE1195" s="46"/>
      <c r="AF1195" s="46"/>
      <c r="AG1195" s="46"/>
      <c r="AH1195" s="46"/>
      <c r="AI1195" s="46"/>
      <c r="AJ1195" s="46"/>
      <c r="AK1195" s="4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</row>
    <row r="1196" customFormat="false" ht="15" hidden="false" customHeight="false" outlineLevel="0" collapsed="false">
      <c r="A1196" s="46" t="str">
        <f aca="false">Orders!A1196</f>
        <v>ORD-01195</v>
      </c>
      <c r="B1196" s="46" t="str">
        <f aca="false">PROPER(TRIM(Orders!K1196))</f>
        <v>Pune</v>
      </c>
      <c r="C1196" s="46" t="str">
        <f aca="false">IFERROR(VLOOKUP(Orders!D1196,Products!$A$2:$F$61,3,FALSE()),"Not Found")</f>
        <v>Beauty</v>
      </c>
      <c r="D1196" s="46" t="str">
        <f aca="false">IFERROR(VLOOKUP(Orders!C1196,Customers!$A$2:$F$301,5,FALSE()),"Not Found")</f>
        <v>SMB</v>
      </c>
      <c r="E1196" s="46" t="n">
        <f aca="false">IFERROR(VLOOKUP(Orders!C1196,Customers!$A$2:$F$301,3,FALSE()),"Not Found")</f>
        <v>39</v>
      </c>
      <c r="F1196" s="46" t="str">
        <f aca="false">IFERROR(VLOOKUP(Orders!E1196,Sales_Reps!$A$2:$E$31,3,FALSE()),"Not Found")</f>
        <v>South</v>
      </c>
      <c r="G1196" s="46" t="n">
        <f aca="false">IFERROR(VLOOKUP(Orders!D1196,Products!$A$2:$F$61,4,FALSE()),"")</f>
        <v>2237</v>
      </c>
      <c r="H1196" s="47" t="n">
        <f aca="false">IF(G1196="","",(Orders!G1196-G1196)/Orders!G1196)</f>
        <v>0.561372549019608</v>
      </c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</row>
    <row r="1197" customFormat="false" ht="15" hidden="false" customHeight="false" outlineLevel="0" collapsed="false">
      <c r="A1197" s="46" t="str">
        <f aca="false">Orders!A1197</f>
        <v>ORD-01196</v>
      </c>
      <c r="B1197" s="46" t="str">
        <f aca="false">PROPER(TRIM(Orders!K1197))</f>
        <v>Mumbai</v>
      </c>
      <c r="C1197" s="46" t="str">
        <f aca="false">IFERROR(VLOOKUP(Orders!D1197,Products!$A$2:$F$61,3,FALSE()),"Not Found")</f>
        <v>Apparel</v>
      </c>
      <c r="D1197" s="46" t="str">
        <f aca="false">IFERROR(VLOOKUP(Orders!C1197,Customers!$A$2:$F$301,5,FALSE()),"Not Found")</f>
        <v>Retail</v>
      </c>
      <c r="E1197" s="46" t="n">
        <f aca="false">IFERROR(VLOOKUP(Orders!C1197,Customers!$A$2:$F$301,3,FALSE()),"Not Found")</f>
        <v>42</v>
      </c>
      <c r="F1197" s="46" t="str">
        <f aca="false">IFERROR(VLOOKUP(Orders!E1197,Sales_Reps!$A$2:$E$31,3,FALSE()),"Not Found")</f>
        <v>East</v>
      </c>
      <c r="G1197" s="46" t="n">
        <f aca="false">IFERROR(VLOOKUP(Orders!D1197,Products!$A$2:$F$61,4,FALSE()),"")</f>
        <v>1748</v>
      </c>
      <c r="H1197" s="47" t="n">
        <f aca="false">IF(G1197="","",(Orders!G1197-G1197)/Orders!G1197)</f>
        <v>0.493333333333333</v>
      </c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46"/>
      <c r="AE1197" s="46"/>
      <c r="AF1197" s="46"/>
      <c r="AG1197" s="46"/>
      <c r="AH1197" s="46"/>
      <c r="AI1197" s="46"/>
      <c r="AJ1197" s="46"/>
      <c r="AK1197" s="4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</row>
    <row r="1198" customFormat="false" ht="15" hidden="false" customHeight="false" outlineLevel="0" collapsed="false">
      <c r="A1198" s="46" t="str">
        <f aca="false">Orders!A1198</f>
        <v>ORD-01197</v>
      </c>
      <c r="B1198" s="46" t="str">
        <f aca="false">PROPER(TRIM(Orders!K1198))</f>
        <v>Bengaluru</v>
      </c>
      <c r="C1198" s="46" t="str">
        <f aca="false">IFERROR(VLOOKUP(Orders!D1198,Products!$A$2:$F$61,3,FALSE()),"Not Found")</f>
        <v>Apparel</v>
      </c>
      <c r="D1198" s="46" t="str">
        <f aca="false">IFERROR(VLOOKUP(Orders!C1198,Customers!$A$2:$F$301,5,FALSE()),"Not Found")</f>
        <v>Retail</v>
      </c>
      <c r="E1198" s="46" t="n">
        <f aca="false">IFERROR(VLOOKUP(Orders!C1198,Customers!$A$2:$F$301,3,FALSE()),"Not Found")</f>
        <v>29</v>
      </c>
      <c r="F1198" s="46" t="str">
        <f aca="false">IFERROR(VLOOKUP(Orders!E1198,Sales_Reps!$A$2:$E$31,3,FALSE()),"Not Found")</f>
        <v>South</v>
      </c>
      <c r="G1198" s="46" t="n">
        <f aca="false">IFERROR(VLOOKUP(Orders!D1198,Products!$A$2:$F$61,4,FALSE()),"")</f>
        <v>1173</v>
      </c>
      <c r="H1198" s="47" t="n">
        <f aca="false">IF(G1198="","",(Orders!G1198-G1198)/Orders!G1198)</f>
        <v>0.527016129032258</v>
      </c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</row>
    <row r="1199" customFormat="false" ht="15" hidden="false" customHeight="false" outlineLevel="0" collapsed="false">
      <c r="A1199" s="46" t="str">
        <f aca="false">Orders!A1199</f>
        <v>ORD-01198</v>
      </c>
      <c r="B1199" s="46" t="str">
        <f aca="false">PROPER(TRIM(Orders!K1199))</f>
        <v>Delhi</v>
      </c>
      <c r="C1199" s="46" t="str">
        <f aca="false">IFERROR(VLOOKUP(Orders!D1199,Products!$A$2:$F$61,3,FALSE()),"Not Found")</f>
        <v>Sports</v>
      </c>
      <c r="D1199" s="46" t="str">
        <f aca="false">IFERROR(VLOOKUP(Orders!C1199,Customers!$A$2:$F$301,5,FALSE()),"Not Found")</f>
        <v>Corporate</v>
      </c>
      <c r="E1199" s="46" t="n">
        <f aca="false">IFERROR(VLOOKUP(Orders!C1199,Customers!$A$2:$F$301,3,FALSE()),"Not Found")</f>
        <v>55</v>
      </c>
      <c r="F1199" s="46" t="str">
        <f aca="false">IFERROR(VLOOKUP(Orders!E1199,Sales_Reps!$A$2:$E$31,3,FALSE()),"Not Found")</f>
        <v>South</v>
      </c>
      <c r="G1199" s="46" t="n">
        <f aca="false">IFERROR(VLOOKUP(Orders!D1199,Products!$A$2:$F$61,4,FALSE()),"")</f>
        <v>147</v>
      </c>
      <c r="H1199" s="47" t="n">
        <f aca="false">IF(G1199="","",(Orders!G1199-G1199)/Orders!G1199)</f>
        <v>0.226315789473684</v>
      </c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</row>
    <row r="1200" customFormat="false" ht="15" hidden="false" customHeight="false" outlineLevel="0" collapsed="false">
      <c r="A1200" s="46" t="str">
        <f aca="false">Orders!A1200</f>
        <v>ORD-01199</v>
      </c>
      <c r="B1200" s="46" t="str">
        <f aca="false">PROPER(TRIM(Orders!K1200))</f>
        <v>Bengaluru</v>
      </c>
      <c r="C1200" s="46" t="str">
        <f aca="false">IFERROR(VLOOKUP(Orders!D1200,Products!$A$2:$F$61,3,FALSE()),"Not Found")</f>
        <v>Grocery</v>
      </c>
      <c r="D1200" s="46" t="str">
        <f aca="false">IFERROR(VLOOKUP(Orders!C1200,Customers!$A$2:$F$301,5,FALSE()),"Not Found")</f>
        <v>SMB</v>
      </c>
      <c r="E1200" s="46" t="n">
        <f aca="false">IFERROR(VLOOKUP(Orders!C1200,Customers!$A$2:$F$301,3,FALSE()),"Not Found")</f>
        <v>44</v>
      </c>
      <c r="F1200" s="46" t="str">
        <f aca="false">IFERROR(VLOOKUP(Orders!E1200,Sales_Reps!$A$2:$E$31,3,FALSE()),"Not Found")</f>
        <v>East</v>
      </c>
      <c r="G1200" s="46" t="n">
        <f aca="false">IFERROR(VLOOKUP(Orders!D1200,Products!$A$2:$F$61,4,FALSE()),"")</f>
        <v>1412</v>
      </c>
      <c r="H1200" s="47" t="n">
        <f aca="false">IF(G1200="","",(Orders!G1200-G1200)/Orders!G1200)</f>
        <v>0.377973568281938</v>
      </c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</row>
    <row r="1201" customFormat="false" ht="15" hidden="false" customHeight="false" outlineLevel="0" collapsed="false">
      <c r="A1201" s="46" t="str">
        <f aca="false">Orders!A1201</f>
        <v>ORD-01200</v>
      </c>
      <c r="B1201" s="46" t="str">
        <f aca="false">PROPER(TRIM(Orders!K1201))</f>
        <v>Bengaluru</v>
      </c>
      <c r="C1201" s="46" t="str">
        <f aca="false">IFERROR(VLOOKUP(Orders!D1201,Products!$A$2:$F$61,3,FALSE()),"Not Found")</f>
        <v>Apparel</v>
      </c>
      <c r="D1201" s="46" t="str">
        <f aca="false">IFERROR(VLOOKUP(Orders!C1201,Customers!$A$2:$F$301,5,FALSE()),"Not Found")</f>
        <v>SMB</v>
      </c>
      <c r="E1201" s="46" t="n">
        <f aca="false">IFERROR(VLOOKUP(Orders!C1201,Customers!$A$2:$F$301,3,FALSE()),"Not Found")</f>
        <v>26</v>
      </c>
      <c r="F1201" s="46" t="str">
        <f aca="false">IFERROR(VLOOKUP(Orders!E1201,Sales_Reps!$A$2:$E$31,3,FALSE()),"Not Found")</f>
        <v>West</v>
      </c>
      <c r="G1201" s="46" t="n">
        <f aca="false">IFERROR(VLOOKUP(Orders!D1201,Products!$A$2:$F$61,4,FALSE()),"")</f>
        <v>1075</v>
      </c>
      <c r="H1201" s="47" t="n">
        <f aca="false">IF(G1201="","",(Orders!G1201-G1201)/Orders!G1201)</f>
        <v>0.571713147410359</v>
      </c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  <c r="AA1201" s="46"/>
      <c r="AB1201" s="46"/>
      <c r="AC1201" s="46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</row>
    <row r="1202" customFormat="false" ht="15" hidden="false" customHeight="false" outlineLevel="0" collapsed="false">
      <c r="A1202" s="46" t="str">
        <f aca="false">Orders!A1202</f>
        <v>ORD-01201</v>
      </c>
      <c r="B1202" s="46" t="str">
        <f aca="false">PROPER(TRIM(Orders!K1202))</f>
        <v>Pune</v>
      </c>
      <c r="C1202" s="46" t="str">
        <f aca="false">IFERROR(VLOOKUP(Orders!D1202,Products!$A$2:$F$61,3,FALSE()),"Not Found")</f>
        <v>Sports</v>
      </c>
      <c r="D1202" s="46" t="str">
        <f aca="false">IFERROR(VLOOKUP(Orders!C1202,Customers!$A$2:$F$301,5,FALSE()),"Not Found")</f>
        <v>Retail</v>
      </c>
      <c r="E1202" s="46" t="n">
        <f aca="false">IFERROR(VLOOKUP(Orders!C1202,Customers!$A$2:$F$301,3,FALSE()),"Not Found")</f>
        <v>56</v>
      </c>
      <c r="F1202" s="46" t="str">
        <f aca="false">IFERROR(VLOOKUP(Orders!E1202,Sales_Reps!$A$2:$E$31,3,FALSE()),"Not Found")</f>
        <v>North</v>
      </c>
      <c r="G1202" s="46" t="n">
        <f aca="false">IFERROR(VLOOKUP(Orders!D1202,Products!$A$2:$F$61,4,FALSE()),"")</f>
        <v>1860</v>
      </c>
      <c r="H1202" s="47" t="n">
        <f aca="false">IF(G1202="","",(Orders!G1202-G1202)/Orders!G1202)</f>
        <v>0.507936507936508</v>
      </c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</row>
    <row r="1203" customFormat="false" ht="15" hidden="false" customHeight="false" outlineLevel="0" collapsed="false">
      <c r="A1203" s="46" t="str">
        <f aca="false">Orders!A1203</f>
        <v>ORD-01202</v>
      </c>
      <c r="B1203" s="46" t="str">
        <f aca="false">PROPER(TRIM(Orders!K1203))</f>
        <v>Hyderabad</v>
      </c>
      <c r="C1203" s="46" t="str">
        <f aca="false">IFERROR(VLOOKUP(Orders!D1203,Products!$A$2:$F$61,3,FALSE()),"Not Found")</f>
        <v>Electronics</v>
      </c>
      <c r="D1203" s="46" t="str">
        <f aca="false">IFERROR(VLOOKUP(Orders!C1203,Customers!$A$2:$F$301,5,FALSE()),"Not Found")</f>
        <v>SMB</v>
      </c>
      <c r="E1203" s="46" t="n">
        <f aca="false">IFERROR(VLOOKUP(Orders!C1203,Customers!$A$2:$F$301,3,FALSE()),"Not Found")</f>
        <v>43</v>
      </c>
      <c r="F1203" s="46" t="str">
        <f aca="false">IFERROR(VLOOKUP(Orders!E1203,Sales_Reps!$A$2:$E$31,3,FALSE()),"Not Found")</f>
        <v>South</v>
      </c>
      <c r="G1203" s="46" t="n">
        <f aca="false">IFERROR(VLOOKUP(Orders!D1203,Products!$A$2:$F$61,4,FALSE()),"")</f>
        <v>1665</v>
      </c>
      <c r="H1203" s="47" t="n">
        <f aca="false">IF(G1203="","",(Orders!G1203-G1203)/Orders!G1203)</f>
        <v>0.533613445378151</v>
      </c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</row>
    <row r="1204" customFormat="false" ht="15" hidden="false" customHeight="false" outlineLevel="0" collapsed="false">
      <c r="A1204" s="46" t="str">
        <f aca="false">Orders!A1204</f>
        <v>ORD-01203</v>
      </c>
      <c r="B1204" s="46" t="str">
        <f aca="false">PROPER(TRIM(Orders!K1204))</f>
        <v>Pune</v>
      </c>
      <c r="C1204" s="46" t="str">
        <f aca="false">IFERROR(VLOOKUP(Orders!D1204,Products!$A$2:$F$61,3,FALSE()),"Not Found")</f>
        <v>Home</v>
      </c>
      <c r="D1204" s="46" t="str">
        <f aca="false">IFERROR(VLOOKUP(Orders!C1204,Customers!$A$2:$F$301,5,FALSE()),"Not Found")</f>
        <v>Corporate</v>
      </c>
      <c r="E1204" s="46" t="n">
        <f aca="false">IFERROR(VLOOKUP(Orders!C1204,Customers!$A$2:$F$301,3,FALSE()),"Not Found")</f>
        <v>48</v>
      </c>
      <c r="F1204" s="46" t="str">
        <f aca="false">IFERROR(VLOOKUP(Orders!E1204,Sales_Reps!$A$2:$E$31,3,FALSE()),"Not Found")</f>
        <v>South</v>
      </c>
      <c r="G1204" s="46" t="n">
        <f aca="false">IFERROR(VLOOKUP(Orders!D1204,Products!$A$2:$F$61,4,FALSE()),"")</f>
        <v>329</v>
      </c>
      <c r="H1204" s="47" t="n">
        <f aca="false">IF(G1204="","",(Orders!G1204-G1204)/Orders!G1204)</f>
        <v>0.501515151515152</v>
      </c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  <c r="AB1204" s="46"/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</row>
    <row r="1205" customFormat="false" ht="15" hidden="false" customHeight="false" outlineLevel="0" collapsed="false">
      <c r="A1205" s="46" t="str">
        <f aca="false">Orders!A1205</f>
        <v>ORD-01204</v>
      </c>
      <c r="B1205" s="46" t="str">
        <f aca="false">PROPER(TRIM(Orders!K1205))</f>
        <v>Mumbai</v>
      </c>
      <c r="C1205" s="46" t="str">
        <f aca="false">IFERROR(VLOOKUP(Orders!D1205,Products!$A$2:$F$61,3,FALSE()),"Not Found")</f>
        <v>Grocery</v>
      </c>
      <c r="D1205" s="46" t="str">
        <f aca="false">IFERROR(VLOOKUP(Orders!C1205,Customers!$A$2:$F$301,5,FALSE()),"Not Found")</f>
        <v>Retail</v>
      </c>
      <c r="E1205" s="46" t="n">
        <f aca="false">IFERROR(VLOOKUP(Orders!C1205,Customers!$A$2:$F$301,3,FALSE()),"Not Found")</f>
        <v>54</v>
      </c>
      <c r="F1205" s="46" t="str">
        <f aca="false">IFERROR(VLOOKUP(Orders!E1205,Sales_Reps!$A$2:$E$31,3,FALSE()),"Not Found")</f>
        <v>South</v>
      </c>
      <c r="G1205" s="46" t="n">
        <f aca="false">IFERROR(VLOOKUP(Orders!D1205,Products!$A$2:$F$61,4,FALSE()),"")</f>
        <v>434</v>
      </c>
      <c r="H1205" s="47" t="n">
        <f aca="false">IF(G1205="","",(Orders!G1205-G1205)/Orders!G1205)</f>
        <v>0.552577319587629</v>
      </c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  <c r="AB1205" s="46"/>
      <c r="AC1205" s="46"/>
      <c r="AD1205" s="46"/>
      <c r="AE1205" s="46"/>
      <c r="AF1205" s="46"/>
      <c r="AG1205" s="46"/>
      <c r="AH1205" s="46"/>
      <c r="AI1205" s="46"/>
      <c r="AJ1205" s="46"/>
      <c r="AK1205" s="4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</row>
    <row r="1206" customFormat="false" ht="15" hidden="false" customHeight="false" outlineLevel="0" collapsed="false">
      <c r="A1206" s="46" t="str">
        <f aca="false">Orders!A1206</f>
        <v>ORD-01205</v>
      </c>
      <c r="B1206" s="46" t="str">
        <f aca="false">PROPER(TRIM(Orders!K1206))</f>
        <v>Delhi</v>
      </c>
      <c r="C1206" s="46" t="str">
        <f aca="false">IFERROR(VLOOKUP(Orders!D1206,Products!$A$2:$F$61,3,FALSE()),"Not Found")</f>
        <v>Grocery</v>
      </c>
      <c r="D1206" s="46" t="str">
        <f aca="false">IFERROR(VLOOKUP(Orders!C1206,Customers!$A$2:$F$301,5,FALSE()),"Not Found")</f>
        <v>SMB</v>
      </c>
      <c r="E1206" s="46" t="n">
        <f aca="false">IFERROR(VLOOKUP(Orders!C1206,Customers!$A$2:$F$301,3,FALSE()),"Not Found")</f>
        <v>38</v>
      </c>
      <c r="F1206" s="46" t="str">
        <f aca="false">IFERROR(VLOOKUP(Orders!E1206,Sales_Reps!$A$2:$E$31,3,FALSE()),"Not Found")</f>
        <v>North</v>
      </c>
      <c r="G1206" s="46" t="n">
        <f aca="false">IFERROR(VLOOKUP(Orders!D1206,Products!$A$2:$F$61,4,FALSE()),"")</f>
        <v>1203</v>
      </c>
      <c r="H1206" s="47" t="n">
        <f aca="false">IF(G1206="","",(Orders!G1206-G1206)/Orders!G1206)</f>
        <v>0.470044052863436</v>
      </c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</row>
    <row r="1207" customFormat="false" ht="15" hidden="false" customHeight="false" outlineLevel="0" collapsed="false">
      <c r="A1207" s="46" t="str">
        <f aca="false">Orders!A1207</f>
        <v>ORD-01206</v>
      </c>
      <c r="B1207" s="46" t="str">
        <f aca="false">PROPER(TRIM(Orders!K1207))</f>
        <v>Mumbai</v>
      </c>
      <c r="C1207" s="46" t="str">
        <f aca="false">IFERROR(VLOOKUP(Orders!D1207,Products!$A$2:$F$61,3,FALSE()),"Not Found")</f>
        <v>Sports</v>
      </c>
      <c r="D1207" s="46" t="str">
        <f aca="false">IFERROR(VLOOKUP(Orders!C1207,Customers!$A$2:$F$301,5,FALSE()),"Not Found")</f>
        <v>SMB</v>
      </c>
      <c r="E1207" s="46" t="n">
        <f aca="false">IFERROR(VLOOKUP(Orders!C1207,Customers!$A$2:$F$301,3,FALSE()),"Not Found")</f>
        <v>65</v>
      </c>
      <c r="F1207" s="46" t="str">
        <f aca="false">IFERROR(VLOOKUP(Orders!E1207,Sales_Reps!$A$2:$E$31,3,FALSE()),"Not Found")</f>
        <v>South</v>
      </c>
      <c r="G1207" s="46" t="n">
        <f aca="false">IFERROR(VLOOKUP(Orders!D1207,Products!$A$2:$F$61,4,FALSE()),"")</f>
        <v>974</v>
      </c>
      <c r="H1207" s="47" t="n">
        <f aca="false">IF(G1207="","",(Orders!G1207-G1207)/Orders!G1207)</f>
        <v>0.594166666666667</v>
      </c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  <c r="AB1207" s="46"/>
      <c r="AC1207" s="46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</row>
    <row r="1208" customFormat="false" ht="15" hidden="false" customHeight="false" outlineLevel="0" collapsed="false">
      <c r="A1208" s="46" t="str">
        <f aca="false">Orders!A1208</f>
        <v>ORD-01207</v>
      </c>
      <c r="B1208" s="46" t="str">
        <f aca="false">PROPER(TRIM(Orders!K1208))</f>
        <v>Mumbai</v>
      </c>
      <c r="C1208" s="46" t="str">
        <f aca="false">IFERROR(VLOOKUP(Orders!D1208,Products!$A$2:$F$61,3,FALSE()),"Not Found")</f>
        <v>Home</v>
      </c>
      <c r="D1208" s="46" t="str">
        <f aca="false">IFERROR(VLOOKUP(Orders!C1208,Customers!$A$2:$F$301,5,FALSE()),"Not Found")</f>
        <v>SMB</v>
      </c>
      <c r="E1208" s="46" t="n">
        <f aca="false">IFERROR(VLOOKUP(Orders!C1208,Customers!$A$2:$F$301,3,FALSE()),"Not Found")</f>
        <v>27</v>
      </c>
      <c r="F1208" s="46" t="str">
        <f aca="false">IFERROR(VLOOKUP(Orders!E1208,Sales_Reps!$A$2:$E$31,3,FALSE()),"Not Found")</f>
        <v>South</v>
      </c>
      <c r="G1208" s="46" t="n">
        <f aca="false">IFERROR(VLOOKUP(Orders!D1208,Products!$A$2:$F$61,4,FALSE()),"")</f>
        <v>2459</v>
      </c>
      <c r="H1208" s="47" t="n">
        <f aca="false">IF(G1208="","",(Orders!G1208-G1208)/Orders!G1208)</f>
        <v>0.515944881889764</v>
      </c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</row>
    <row r="1209" customFormat="false" ht="15" hidden="false" customHeight="false" outlineLevel="0" collapsed="false">
      <c r="A1209" s="46" t="str">
        <f aca="false">Orders!A1209</f>
        <v>ORD-01208</v>
      </c>
      <c r="B1209" s="46" t="str">
        <f aca="false">PROPER(TRIM(Orders!K1209))</f>
        <v>Bengaluru</v>
      </c>
      <c r="C1209" s="46" t="str">
        <f aca="false">IFERROR(VLOOKUP(Orders!D1209,Products!$A$2:$F$61,3,FALSE()),"Not Found")</f>
        <v>Beauty</v>
      </c>
      <c r="D1209" s="46" t="str">
        <f aca="false">IFERROR(VLOOKUP(Orders!C1209,Customers!$A$2:$F$301,5,FALSE()),"Not Found")</f>
        <v>Retail</v>
      </c>
      <c r="E1209" s="46" t="n">
        <f aca="false">IFERROR(VLOOKUP(Orders!C1209,Customers!$A$2:$F$301,3,FALSE()),"Not Found")</f>
        <v>42</v>
      </c>
      <c r="F1209" s="46" t="str">
        <f aca="false">IFERROR(VLOOKUP(Orders!E1209,Sales_Reps!$A$2:$E$31,3,FALSE()),"Not Found")</f>
        <v>South</v>
      </c>
      <c r="G1209" s="46" t="n">
        <f aca="false">IFERROR(VLOOKUP(Orders!D1209,Products!$A$2:$F$61,4,FALSE()),"")</f>
        <v>1728</v>
      </c>
      <c r="H1209" s="47" t="n">
        <f aca="false">IF(G1209="","",(Orders!G1209-G1209)/Orders!G1209)</f>
        <v>0.484179104477612</v>
      </c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  <c r="AB1209" s="46"/>
      <c r="AC1209" s="46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</row>
    <row r="1210" customFormat="false" ht="15" hidden="false" customHeight="false" outlineLevel="0" collapsed="false">
      <c r="A1210" s="46" t="str">
        <f aca="false">Orders!A1210</f>
        <v>ORD-01209</v>
      </c>
      <c r="B1210" s="46" t="str">
        <f aca="false">PROPER(TRIM(Orders!K1210))</f>
        <v>Chennai</v>
      </c>
      <c r="C1210" s="46" t="str">
        <f aca="false">IFERROR(VLOOKUP(Orders!D1210,Products!$A$2:$F$61,3,FALSE()),"Not Found")</f>
        <v>Beauty</v>
      </c>
      <c r="D1210" s="46" t="str">
        <f aca="false">IFERROR(VLOOKUP(Orders!C1210,Customers!$A$2:$F$301,5,FALSE()),"Not Found")</f>
        <v>Retail</v>
      </c>
      <c r="E1210" s="46" t="n">
        <f aca="false">IFERROR(VLOOKUP(Orders!C1210,Customers!$A$2:$F$301,3,FALSE()),"Not Found")</f>
        <v>22</v>
      </c>
      <c r="F1210" s="46" t="str">
        <f aca="false">IFERROR(VLOOKUP(Orders!E1210,Sales_Reps!$A$2:$E$31,3,FALSE()),"Not Found")</f>
        <v>North</v>
      </c>
      <c r="G1210" s="46" t="n">
        <f aca="false">IFERROR(VLOOKUP(Orders!D1210,Products!$A$2:$F$61,4,FALSE()),"")</f>
        <v>647</v>
      </c>
      <c r="H1210" s="47" t="n">
        <f aca="false">IF(G1210="","",(Orders!G1210-G1210)/Orders!G1210)</f>
        <v>0.57987012987013</v>
      </c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</row>
    <row r="1211" customFormat="false" ht="15" hidden="false" customHeight="false" outlineLevel="0" collapsed="false">
      <c r="A1211" s="46" t="str">
        <f aca="false">Orders!A1211</f>
        <v>ORD-01210</v>
      </c>
      <c r="B1211" s="46" t="str">
        <f aca="false">PROPER(TRIM(Orders!K1211))</f>
        <v>Mumbai</v>
      </c>
      <c r="C1211" s="46" t="str">
        <f aca="false">IFERROR(VLOOKUP(Orders!D1211,Products!$A$2:$F$61,3,FALSE()),"Not Found")</f>
        <v>Home</v>
      </c>
      <c r="D1211" s="46" t="str">
        <f aca="false">IFERROR(VLOOKUP(Orders!C1211,Customers!$A$2:$F$301,5,FALSE()),"Not Found")</f>
        <v>Retail</v>
      </c>
      <c r="E1211" s="46" t="n">
        <f aca="false">IFERROR(VLOOKUP(Orders!C1211,Customers!$A$2:$F$301,3,FALSE()),"Not Found")</f>
        <v>65</v>
      </c>
      <c r="F1211" s="46" t="str">
        <f aca="false">IFERROR(VLOOKUP(Orders!E1211,Sales_Reps!$A$2:$E$31,3,FALSE()),"Not Found")</f>
        <v>North</v>
      </c>
      <c r="G1211" s="46" t="n">
        <f aca="false">IFERROR(VLOOKUP(Orders!D1211,Products!$A$2:$F$61,4,FALSE()),"")</f>
        <v>2459</v>
      </c>
      <c r="H1211" s="47" t="n">
        <f aca="false">IF(G1211="","",(Orders!G1211-G1211)/Orders!G1211)</f>
        <v>0.515944881889764</v>
      </c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  <c r="AB1211" s="46"/>
      <c r="AC1211" s="46"/>
      <c r="AD1211" s="46"/>
      <c r="AE1211" s="46"/>
      <c r="AF1211" s="46"/>
      <c r="AG1211" s="46"/>
      <c r="AH1211" s="46"/>
      <c r="AI1211" s="46"/>
      <c r="AJ1211" s="46"/>
      <c r="AK1211" s="4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</row>
    <row r="1212" customFormat="false" ht="15" hidden="false" customHeight="false" outlineLevel="0" collapsed="false">
      <c r="A1212" s="46" t="str">
        <f aca="false">Orders!A1212</f>
        <v>ORD-01211</v>
      </c>
      <c r="B1212" s="46" t="str">
        <f aca="false">PROPER(TRIM(Orders!K1212))</f>
        <v>Mumbai</v>
      </c>
      <c r="C1212" s="46" t="str">
        <f aca="false">IFERROR(VLOOKUP(Orders!D1212,Products!$A$2:$F$61,3,FALSE()),"Not Found")</f>
        <v>Apparel</v>
      </c>
      <c r="D1212" s="46" t="str">
        <f aca="false">IFERROR(VLOOKUP(Orders!C1212,Customers!$A$2:$F$301,5,FALSE()),"Not Found")</f>
        <v>Retail</v>
      </c>
      <c r="E1212" s="46" t="n">
        <f aca="false">IFERROR(VLOOKUP(Orders!C1212,Customers!$A$2:$F$301,3,FALSE()),"Not Found")</f>
        <v>49</v>
      </c>
      <c r="F1212" s="46" t="str">
        <f aca="false">IFERROR(VLOOKUP(Orders!E1212,Sales_Reps!$A$2:$E$31,3,FALSE()),"Not Found")</f>
        <v>South</v>
      </c>
      <c r="G1212" s="46" t="n">
        <f aca="false">IFERROR(VLOOKUP(Orders!D1212,Products!$A$2:$F$61,4,FALSE()),"")</f>
        <v>2629</v>
      </c>
      <c r="H1212" s="47" t="n">
        <f aca="false">IF(G1212="","",(Orders!G1212-G1212)/Orders!G1212)</f>
        <v>0.261516853932584</v>
      </c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</row>
    <row r="1213" customFormat="false" ht="15" hidden="false" customHeight="false" outlineLevel="0" collapsed="false">
      <c r="A1213" s="46" t="str">
        <f aca="false">Orders!A1213</f>
        <v>ORD-01212</v>
      </c>
      <c r="B1213" s="46" t="str">
        <f aca="false">PROPER(TRIM(Orders!K1213))</f>
        <v>Bengaluru</v>
      </c>
      <c r="C1213" s="46" t="str">
        <f aca="false">IFERROR(VLOOKUP(Orders!D1213,Products!$A$2:$F$61,3,FALSE()),"Not Found")</f>
        <v>Home</v>
      </c>
      <c r="D1213" s="46" t="str">
        <f aca="false">IFERROR(VLOOKUP(Orders!C1213,Customers!$A$2:$F$301,5,FALSE()),"Not Found")</f>
        <v>Retail</v>
      </c>
      <c r="E1213" s="46" t="n">
        <f aca="false">IFERROR(VLOOKUP(Orders!C1213,Customers!$A$2:$F$301,3,FALSE()),"Not Found")</f>
        <v>27</v>
      </c>
      <c r="F1213" s="46" t="str">
        <f aca="false">IFERROR(VLOOKUP(Orders!E1213,Sales_Reps!$A$2:$E$31,3,FALSE()),"Not Found")</f>
        <v>South</v>
      </c>
      <c r="G1213" s="46" t="n">
        <f aca="false">IFERROR(VLOOKUP(Orders!D1213,Products!$A$2:$F$61,4,FALSE()),"")</f>
        <v>519</v>
      </c>
      <c r="H1213" s="47" t="n">
        <f aca="false">IF(G1213="","",(Orders!G1213-G1213)/Orders!G1213)</f>
        <v>0.519444444444445</v>
      </c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  <c r="AA1213" s="46"/>
      <c r="AB1213" s="46"/>
      <c r="AC1213" s="46"/>
      <c r="AD1213" s="46"/>
      <c r="AE1213" s="46"/>
      <c r="AF1213" s="46"/>
      <c r="AG1213" s="46"/>
      <c r="AH1213" s="46"/>
      <c r="AI1213" s="46"/>
      <c r="AJ1213" s="46"/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</row>
    <row r="1214" customFormat="false" ht="15" hidden="false" customHeight="false" outlineLevel="0" collapsed="false">
      <c r="A1214" s="46" t="str">
        <f aca="false">Orders!A1214</f>
        <v>ORD-01213</v>
      </c>
      <c r="B1214" s="46" t="str">
        <f aca="false">PROPER(TRIM(Orders!K1214))</f>
        <v>Mumbai</v>
      </c>
      <c r="C1214" s="46" t="str">
        <f aca="false">IFERROR(VLOOKUP(Orders!D1214,Products!$A$2:$F$61,3,FALSE()),"Not Found")</f>
        <v>Grocery</v>
      </c>
      <c r="D1214" s="46" t="str">
        <f aca="false">IFERROR(VLOOKUP(Orders!C1214,Customers!$A$2:$F$301,5,FALSE()),"Not Found")</f>
        <v>Retail</v>
      </c>
      <c r="E1214" s="46" t="n">
        <f aca="false">IFERROR(VLOOKUP(Orders!C1214,Customers!$A$2:$F$301,3,FALSE()),"Not Found")</f>
        <v>50</v>
      </c>
      <c r="F1214" s="46" t="str">
        <f aca="false">IFERROR(VLOOKUP(Orders!E1214,Sales_Reps!$A$2:$E$31,3,FALSE()),"Not Found")</f>
        <v>East</v>
      </c>
      <c r="G1214" s="46" t="n">
        <f aca="false">IFERROR(VLOOKUP(Orders!D1214,Products!$A$2:$F$61,4,FALSE()),"")</f>
        <v>1182</v>
      </c>
      <c r="H1214" s="47" t="n">
        <f aca="false">IF(G1214="","",(Orders!G1214-G1214)/Orders!G1214)</f>
        <v>0.503361344537815</v>
      </c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  <c r="AE1214" s="46"/>
      <c r="AF1214" s="46"/>
      <c r="AG1214" s="46"/>
      <c r="AH1214" s="46"/>
      <c r="AI1214" s="46"/>
      <c r="AJ1214" s="46"/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</row>
    <row r="1215" customFormat="false" ht="15" hidden="false" customHeight="false" outlineLevel="0" collapsed="false">
      <c r="A1215" s="46" t="str">
        <f aca="false">Orders!A1215</f>
        <v>ORD-01214</v>
      </c>
      <c r="B1215" s="46" t="str">
        <f aca="false">PROPER(TRIM(Orders!K1215))</f>
        <v>Chennai</v>
      </c>
      <c r="C1215" s="46" t="str">
        <f aca="false">IFERROR(VLOOKUP(Orders!D1215,Products!$A$2:$F$61,3,FALSE()),"Not Found")</f>
        <v>Apparel</v>
      </c>
      <c r="D1215" s="46" t="str">
        <f aca="false">IFERROR(VLOOKUP(Orders!C1215,Customers!$A$2:$F$301,5,FALSE()),"Not Found")</f>
        <v>SMB</v>
      </c>
      <c r="E1215" s="46" t="n">
        <f aca="false">IFERROR(VLOOKUP(Orders!C1215,Customers!$A$2:$F$301,3,FALSE()),"Not Found")</f>
        <v>57</v>
      </c>
      <c r="F1215" s="46" t="str">
        <f aca="false">IFERROR(VLOOKUP(Orders!E1215,Sales_Reps!$A$2:$E$31,3,FALSE()),"Not Found")</f>
        <v>West</v>
      </c>
      <c r="G1215" s="46" t="n">
        <f aca="false">IFERROR(VLOOKUP(Orders!D1215,Products!$A$2:$F$61,4,FALSE()),"")</f>
        <v>1173</v>
      </c>
      <c r="H1215" s="47" t="n">
        <f aca="false">IF(G1215="","",(Orders!G1215-G1215)/Orders!G1215)</f>
        <v>0.527016129032258</v>
      </c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  <c r="AE1215" s="46"/>
      <c r="AF1215" s="46"/>
      <c r="AG1215" s="46"/>
      <c r="AH1215" s="46"/>
      <c r="AI1215" s="46"/>
      <c r="AJ1215" s="46"/>
      <c r="AK1215" s="4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</row>
    <row r="1216" customFormat="false" ht="15" hidden="false" customHeight="false" outlineLevel="0" collapsed="false">
      <c r="A1216" s="46" t="str">
        <f aca="false">Orders!A1216</f>
        <v>ORD-01215</v>
      </c>
      <c r="B1216" s="46" t="str">
        <f aca="false">PROPER(TRIM(Orders!K1216))</f>
        <v>Hyderabad</v>
      </c>
      <c r="C1216" s="46" t="str">
        <f aca="false">IFERROR(VLOOKUP(Orders!D1216,Products!$A$2:$F$61,3,FALSE()),"Not Found")</f>
        <v>Beauty</v>
      </c>
      <c r="D1216" s="46" t="str">
        <f aca="false">IFERROR(VLOOKUP(Orders!C1216,Customers!$A$2:$F$301,5,FALSE()),"Not Found")</f>
        <v>SMB</v>
      </c>
      <c r="E1216" s="46" t="n">
        <f aca="false">IFERROR(VLOOKUP(Orders!C1216,Customers!$A$2:$F$301,3,FALSE()),"Not Found")</f>
        <v>29</v>
      </c>
      <c r="F1216" s="46" t="str">
        <f aca="false">IFERROR(VLOOKUP(Orders!E1216,Sales_Reps!$A$2:$E$31,3,FALSE()),"Not Found")</f>
        <v>South</v>
      </c>
      <c r="G1216" s="46" t="n">
        <f aca="false">IFERROR(VLOOKUP(Orders!D1216,Products!$A$2:$F$61,4,FALSE()),"")</f>
        <v>1219</v>
      </c>
      <c r="H1216" s="47" t="n">
        <f aca="false">IF(G1216="","",(Orders!G1216-G1216)/Orders!G1216)</f>
        <v>0.467685589519651</v>
      </c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</row>
    <row r="1217" customFormat="false" ht="15" hidden="false" customHeight="false" outlineLevel="0" collapsed="false">
      <c r="A1217" s="46" t="str">
        <f aca="false">Orders!A1217</f>
        <v>ORD-01216</v>
      </c>
      <c r="B1217" s="46" t="str">
        <f aca="false">PROPER(TRIM(Orders!K1217))</f>
        <v>Mumbai</v>
      </c>
      <c r="C1217" s="46" t="str">
        <f aca="false">IFERROR(VLOOKUP(Orders!D1217,Products!$A$2:$F$61,3,FALSE()),"Not Found")</f>
        <v>Apparel</v>
      </c>
      <c r="D1217" s="46" t="str">
        <f aca="false">IFERROR(VLOOKUP(Orders!C1217,Customers!$A$2:$F$301,5,FALSE()),"Not Found")</f>
        <v>Retail</v>
      </c>
      <c r="E1217" s="46" t="n">
        <f aca="false">IFERROR(VLOOKUP(Orders!C1217,Customers!$A$2:$F$301,3,FALSE()),"Not Found")</f>
        <v>44</v>
      </c>
      <c r="F1217" s="46" t="str">
        <f aca="false">IFERROR(VLOOKUP(Orders!E1217,Sales_Reps!$A$2:$E$31,3,FALSE()),"Not Found")</f>
        <v>South</v>
      </c>
      <c r="G1217" s="46" t="n">
        <f aca="false">IFERROR(VLOOKUP(Orders!D1217,Products!$A$2:$F$61,4,FALSE()),"")</f>
        <v>1748</v>
      </c>
      <c r="H1217" s="47" t="n">
        <f aca="false">IF(G1217="","",(Orders!G1217-G1217)/Orders!G1217)</f>
        <v>0.493333333333333</v>
      </c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  <c r="AB1217" s="46"/>
      <c r="AC1217" s="46"/>
      <c r="AD1217" s="46"/>
      <c r="AE1217" s="46"/>
      <c r="AF1217" s="46"/>
      <c r="AG1217" s="46"/>
      <c r="AH1217" s="46"/>
      <c r="AI1217" s="46"/>
      <c r="AJ1217" s="46"/>
      <c r="AK1217" s="4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</row>
    <row r="1218" customFormat="false" ht="15" hidden="false" customHeight="false" outlineLevel="0" collapsed="false">
      <c r="A1218" s="46" t="str">
        <f aca="false">Orders!A1218</f>
        <v>ORD-01217</v>
      </c>
      <c r="B1218" s="46" t="str">
        <f aca="false">PROPER(TRIM(Orders!K1218))</f>
        <v>Delhi</v>
      </c>
      <c r="C1218" s="46" t="str">
        <f aca="false">IFERROR(VLOOKUP(Orders!D1218,Products!$A$2:$F$61,3,FALSE()),"Not Found")</f>
        <v>Beauty</v>
      </c>
      <c r="D1218" s="46" t="str">
        <f aca="false">IFERROR(VLOOKUP(Orders!C1218,Customers!$A$2:$F$301,5,FALSE()),"Not Found")</f>
        <v>SMB</v>
      </c>
      <c r="E1218" s="46" t="n">
        <f aca="false">IFERROR(VLOOKUP(Orders!C1218,Customers!$A$2:$F$301,3,FALSE()),"Not Found")</f>
        <v>27</v>
      </c>
      <c r="F1218" s="46" t="str">
        <f aca="false">IFERROR(VLOOKUP(Orders!E1218,Sales_Reps!$A$2:$E$31,3,FALSE()),"Not Found")</f>
        <v>West</v>
      </c>
      <c r="G1218" s="46" t="n">
        <f aca="false">IFERROR(VLOOKUP(Orders!D1218,Products!$A$2:$F$61,4,FALSE()),"")</f>
        <v>2420</v>
      </c>
      <c r="H1218" s="47" t="n">
        <f aca="false">IF(G1218="","",(Orders!G1218-G1218)/Orders!G1218)</f>
        <v>0.298550724637681</v>
      </c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</row>
    <row r="1219" customFormat="false" ht="15" hidden="false" customHeight="false" outlineLevel="0" collapsed="false">
      <c r="A1219" s="46" t="str">
        <f aca="false">Orders!A1219</f>
        <v>ORD-01218</v>
      </c>
      <c r="B1219" s="46" t="str">
        <f aca="false">PROPER(TRIM(Orders!K1219))</f>
        <v>Bengaluru</v>
      </c>
      <c r="C1219" s="46" t="str">
        <f aca="false">IFERROR(VLOOKUP(Orders!D1219,Products!$A$2:$F$61,3,FALSE()),"Not Found")</f>
        <v>Electronics</v>
      </c>
      <c r="D1219" s="46" t="str">
        <f aca="false">IFERROR(VLOOKUP(Orders!C1219,Customers!$A$2:$F$301,5,FALSE()),"Not Found")</f>
        <v>Corporate</v>
      </c>
      <c r="E1219" s="46" t="n">
        <f aca="false">IFERROR(VLOOKUP(Orders!C1219,Customers!$A$2:$F$301,3,FALSE()),"Not Found")</f>
        <v>59</v>
      </c>
      <c r="F1219" s="46" t="str">
        <f aca="false">IFERROR(VLOOKUP(Orders!E1219,Sales_Reps!$A$2:$E$31,3,FALSE()),"Not Found")</f>
        <v>West</v>
      </c>
      <c r="G1219" s="46" t="n">
        <f aca="false">IFERROR(VLOOKUP(Orders!D1219,Products!$A$2:$F$61,4,FALSE()),"")</f>
        <v>1052</v>
      </c>
      <c r="H1219" s="47" t="n">
        <f aca="false">IF(G1219="","",(Orders!G1219-G1219)/Orders!G1219)</f>
        <v>0.595384615384615</v>
      </c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  <c r="AB1219" s="46"/>
      <c r="AC1219" s="46"/>
      <c r="AD1219" s="46"/>
      <c r="AE1219" s="46"/>
      <c r="AF1219" s="46"/>
      <c r="AG1219" s="46"/>
      <c r="AH1219" s="46"/>
      <c r="AI1219" s="46"/>
      <c r="AJ1219" s="46"/>
      <c r="AK1219" s="4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</row>
    <row r="1220" customFormat="false" ht="15" hidden="false" customHeight="false" outlineLevel="0" collapsed="false">
      <c r="A1220" s="46" t="str">
        <f aca="false">Orders!A1220</f>
        <v>ORD-01219</v>
      </c>
      <c r="B1220" s="46" t="str">
        <f aca="false">PROPER(TRIM(Orders!K1220))</f>
        <v>Bengaluru</v>
      </c>
      <c r="C1220" s="46" t="str">
        <f aca="false">IFERROR(VLOOKUP(Orders!D1220,Products!$A$2:$F$61,3,FALSE()),"Not Found")</f>
        <v>Grocery</v>
      </c>
      <c r="D1220" s="46" t="str">
        <f aca="false">IFERROR(VLOOKUP(Orders!C1220,Customers!$A$2:$F$301,5,FALSE()),"Not Found")</f>
        <v>SMB</v>
      </c>
      <c r="E1220" s="46" t="n">
        <f aca="false">IFERROR(VLOOKUP(Orders!C1220,Customers!$A$2:$F$301,3,FALSE()),"Not Found")</f>
        <v>49</v>
      </c>
      <c r="F1220" s="46" t="str">
        <f aca="false">IFERROR(VLOOKUP(Orders!E1220,Sales_Reps!$A$2:$E$31,3,FALSE()),"Not Found")</f>
        <v>West</v>
      </c>
      <c r="G1220" s="46" t="n">
        <f aca="false">IFERROR(VLOOKUP(Orders!D1220,Products!$A$2:$F$61,4,FALSE()),"")</f>
        <v>1435</v>
      </c>
      <c r="H1220" s="47" t="n">
        <f aca="false">IF(G1220="","",(Orders!G1220-G1220)/Orders!G1220)</f>
        <v>0.480072463768116</v>
      </c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</row>
    <row r="1221" customFormat="false" ht="15" hidden="false" customHeight="false" outlineLevel="0" collapsed="false">
      <c r="A1221" s="46" t="str">
        <f aca="false">Orders!A1221</f>
        <v>ORD-01220</v>
      </c>
      <c r="B1221" s="46" t="str">
        <f aca="false">PROPER(TRIM(Orders!K1221))</f>
        <v>Bengaluru</v>
      </c>
      <c r="C1221" s="46" t="str">
        <f aca="false">IFERROR(VLOOKUP(Orders!D1221,Products!$A$2:$F$61,3,FALSE()),"Not Found")</f>
        <v>Home</v>
      </c>
      <c r="D1221" s="46" t="str">
        <f aca="false">IFERROR(VLOOKUP(Orders!C1221,Customers!$A$2:$F$301,5,FALSE()),"Not Found")</f>
        <v>Corporate</v>
      </c>
      <c r="E1221" s="46" t="n">
        <f aca="false">IFERROR(VLOOKUP(Orders!C1221,Customers!$A$2:$F$301,3,FALSE()),"Not Found")</f>
        <v>26</v>
      </c>
      <c r="F1221" s="46" t="str">
        <f aca="false">IFERROR(VLOOKUP(Orders!E1221,Sales_Reps!$A$2:$E$31,3,FALSE()),"Not Found")</f>
        <v>North</v>
      </c>
      <c r="G1221" s="46" t="n">
        <f aca="false">IFERROR(VLOOKUP(Orders!D1221,Products!$A$2:$F$61,4,FALSE()),"")</f>
        <v>1850</v>
      </c>
      <c r="H1221" s="47" t="n">
        <f aca="false">IF(G1221="","",(Orders!G1221-G1221)/Orders!G1221)</f>
        <v>0.598698481561822</v>
      </c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</row>
    <row r="1222" customFormat="false" ht="15" hidden="false" customHeight="false" outlineLevel="0" collapsed="false">
      <c r="A1222" s="46" t="str">
        <f aca="false">Orders!A1222</f>
        <v>ORD-01221</v>
      </c>
      <c r="B1222" s="46" t="str">
        <f aca="false">PROPER(TRIM(Orders!K1222))</f>
        <v>Hyderabad</v>
      </c>
      <c r="C1222" s="46" t="str">
        <f aca="false">IFERROR(VLOOKUP(Orders!D1222,Products!$A$2:$F$61,3,FALSE()),"Not Found")</f>
        <v>Apparel</v>
      </c>
      <c r="D1222" s="46" t="str">
        <f aca="false">IFERROR(VLOOKUP(Orders!C1222,Customers!$A$2:$F$301,5,FALSE()),"Not Found")</f>
        <v>Retail</v>
      </c>
      <c r="E1222" s="46" t="n">
        <f aca="false">IFERROR(VLOOKUP(Orders!C1222,Customers!$A$2:$F$301,3,FALSE()),"Not Found")</f>
        <v>60</v>
      </c>
      <c r="F1222" s="46" t="str">
        <f aca="false">IFERROR(VLOOKUP(Orders!E1222,Sales_Reps!$A$2:$E$31,3,FALSE()),"Not Found")</f>
        <v>West</v>
      </c>
      <c r="G1222" s="46" t="n">
        <f aca="false">IFERROR(VLOOKUP(Orders!D1222,Products!$A$2:$F$61,4,FALSE()),"")</f>
        <v>1173</v>
      </c>
      <c r="H1222" s="47" t="n">
        <f aca="false">IF(G1222="","",(Orders!G1222-G1222)/Orders!G1222)</f>
        <v>0.527016129032258</v>
      </c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</row>
    <row r="1223" customFormat="false" ht="15" hidden="false" customHeight="false" outlineLevel="0" collapsed="false">
      <c r="A1223" s="46" t="str">
        <f aca="false">Orders!A1223</f>
        <v>ORD-01222</v>
      </c>
      <c r="B1223" s="46" t="str">
        <f aca="false">PROPER(TRIM(Orders!K1223))</f>
        <v>Hyderabad</v>
      </c>
      <c r="C1223" s="46" t="str">
        <f aca="false">IFERROR(VLOOKUP(Orders!D1223,Products!$A$2:$F$61,3,FALSE()),"Not Found")</f>
        <v>Sports</v>
      </c>
      <c r="D1223" s="46" t="str">
        <f aca="false">IFERROR(VLOOKUP(Orders!C1223,Customers!$A$2:$F$301,5,FALSE()),"Not Found")</f>
        <v>SMB</v>
      </c>
      <c r="E1223" s="46" t="n">
        <f aca="false">IFERROR(VLOOKUP(Orders!C1223,Customers!$A$2:$F$301,3,FALSE()),"Not Found")</f>
        <v>29</v>
      </c>
      <c r="F1223" s="46" t="str">
        <f aca="false">IFERROR(VLOOKUP(Orders!E1223,Sales_Reps!$A$2:$E$31,3,FALSE()),"Not Found")</f>
        <v>South</v>
      </c>
      <c r="G1223" s="46" t="n">
        <f aca="false">IFERROR(VLOOKUP(Orders!D1223,Products!$A$2:$F$61,4,FALSE()),"")</f>
        <v>2827</v>
      </c>
      <c r="H1223" s="47" t="n">
        <f aca="false">IF(G1223="","",(Orders!G1223-G1223)/Orders!G1223)</f>
        <v>0.592651296829971</v>
      </c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/>
      <c r="AD1223" s="46"/>
      <c r="AE1223" s="46"/>
      <c r="AF1223" s="46"/>
      <c r="AG1223" s="46"/>
      <c r="AH1223" s="46"/>
      <c r="AI1223" s="46"/>
      <c r="AJ1223" s="46"/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</row>
    <row r="1224" customFormat="false" ht="15" hidden="false" customHeight="false" outlineLevel="0" collapsed="false">
      <c r="A1224" s="46" t="str">
        <f aca="false">Orders!A1224</f>
        <v>ORD-01223</v>
      </c>
      <c r="B1224" s="46" t="str">
        <f aca="false">PROPER(TRIM(Orders!K1224))</f>
        <v>Delhi</v>
      </c>
      <c r="C1224" s="46" t="str">
        <f aca="false">IFERROR(VLOOKUP(Orders!D1224,Products!$A$2:$F$61,3,FALSE()),"Not Found")</f>
        <v>Grocery</v>
      </c>
      <c r="D1224" s="46" t="str">
        <f aca="false">IFERROR(VLOOKUP(Orders!C1224,Customers!$A$2:$F$301,5,FALSE()),"Not Found")</f>
        <v>SMB</v>
      </c>
      <c r="E1224" s="46" t="n">
        <f aca="false">IFERROR(VLOOKUP(Orders!C1224,Customers!$A$2:$F$301,3,FALSE()),"Not Found")</f>
        <v>48</v>
      </c>
      <c r="F1224" s="46" t="str">
        <f aca="false">IFERROR(VLOOKUP(Orders!E1224,Sales_Reps!$A$2:$E$31,3,FALSE()),"Not Found")</f>
        <v>East</v>
      </c>
      <c r="G1224" s="46" t="n">
        <f aca="false">IFERROR(VLOOKUP(Orders!D1224,Products!$A$2:$F$61,4,FALSE()),"")</f>
        <v>1412</v>
      </c>
      <c r="H1224" s="47" t="n">
        <f aca="false">IF(G1224="","",(Orders!G1224-G1224)/Orders!G1224)</f>
        <v>0.377973568281938</v>
      </c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</row>
    <row r="1225" customFormat="false" ht="15" hidden="false" customHeight="false" outlineLevel="0" collapsed="false">
      <c r="A1225" s="46" t="str">
        <f aca="false">Orders!A1225</f>
        <v>ORD-01224</v>
      </c>
      <c r="B1225" s="46" t="str">
        <f aca="false">PROPER(TRIM(Orders!K1225))</f>
        <v>Bengaluru</v>
      </c>
      <c r="C1225" s="46" t="str">
        <f aca="false">IFERROR(VLOOKUP(Orders!D1225,Products!$A$2:$F$61,3,FALSE()),"Not Found")</f>
        <v>Beauty</v>
      </c>
      <c r="D1225" s="46" t="str">
        <f aca="false">IFERROR(VLOOKUP(Orders!C1225,Customers!$A$2:$F$301,5,FALSE()),"Not Found")</f>
        <v>SMB</v>
      </c>
      <c r="E1225" s="46" t="n">
        <f aca="false">IFERROR(VLOOKUP(Orders!C1225,Customers!$A$2:$F$301,3,FALSE()),"Not Found")</f>
        <v>36</v>
      </c>
      <c r="F1225" s="46" t="str">
        <f aca="false">IFERROR(VLOOKUP(Orders!E1225,Sales_Reps!$A$2:$E$31,3,FALSE()),"Not Found")</f>
        <v>West</v>
      </c>
      <c r="G1225" s="46" t="n">
        <f aca="false">IFERROR(VLOOKUP(Orders!D1225,Products!$A$2:$F$61,4,FALSE()),"")</f>
        <v>2237</v>
      </c>
      <c r="H1225" s="47" t="n">
        <f aca="false">IF(G1225="","",(Orders!G1225-G1225)/Orders!G1225)</f>
        <v>0.561372549019608</v>
      </c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/>
      <c r="AE1225" s="46"/>
      <c r="AF1225" s="46"/>
      <c r="AG1225" s="46"/>
      <c r="AH1225" s="46"/>
      <c r="AI1225" s="46"/>
      <c r="AJ1225" s="46"/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</row>
    <row r="1226" customFormat="false" ht="15" hidden="false" customHeight="false" outlineLevel="0" collapsed="false">
      <c r="A1226" s="46" t="str">
        <f aca="false">Orders!A1226</f>
        <v>ORD-01225</v>
      </c>
      <c r="B1226" s="46" t="str">
        <f aca="false">PROPER(TRIM(Orders!K1226))</f>
        <v>Hyderabad</v>
      </c>
      <c r="C1226" s="46" t="str">
        <f aca="false">IFERROR(VLOOKUP(Orders!D1226,Products!$A$2:$F$61,3,FALSE()),"Not Found")</f>
        <v>Home</v>
      </c>
      <c r="D1226" s="46" t="str">
        <f aca="false">IFERROR(VLOOKUP(Orders!C1226,Customers!$A$2:$F$301,5,FALSE()),"Not Found")</f>
        <v>SMB</v>
      </c>
      <c r="E1226" s="46" t="n">
        <f aca="false">IFERROR(VLOOKUP(Orders!C1226,Customers!$A$2:$F$301,3,FALSE()),"Not Found")</f>
        <v>43</v>
      </c>
      <c r="F1226" s="46" t="str">
        <f aca="false">IFERROR(VLOOKUP(Orders!E1226,Sales_Reps!$A$2:$E$31,3,FALSE()),"Not Found")</f>
        <v>South</v>
      </c>
      <c r="G1226" s="46" t="n">
        <f aca="false">IFERROR(VLOOKUP(Orders!D1226,Products!$A$2:$F$61,4,FALSE()),"")</f>
        <v>1556</v>
      </c>
      <c r="H1226" s="47" t="n">
        <f aca="false">IF(G1226="","",(Orders!G1226-G1226)/Orders!G1226)</f>
        <v>0.521230769230769</v>
      </c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</row>
    <row r="1227" customFormat="false" ht="15" hidden="false" customHeight="false" outlineLevel="0" collapsed="false">
      <c r="A1227" s="46" t="str">
        <f aca="false">Orders!A1227</f>
        <v>ORD-01226</v>
      </c>
      <c r="B1227" s="46" t="str">
        <f aca="false">PROPER(TRIM(Orders!K1227))</f>
        <v>Bengaluru</v>
      </c>
      <c r="C1227" s="46" t="str">
        <f aca="false">IFERROR(VLOOKUP(Orders!D1227,Products!$A$2:$F$61,3,FALSE()),"Not Found")</f>
        <v>Electronics</v>
      </c>
      <c r="D1227" s="46" t="str">
        <f aca="false">IFERROR(VLOOKUP(Orders!C1227,Customers!$A$2:$F$301,5,FALSE()),"Not Found")</f>
        <v>Retail</v>
      </c>
      <c r="E1227" s="46" t="n">
        <f aca="false">IFERROR(VLOOKUP(Orders!C1227,Customers!$A$2:$F$301,3,FALSE()),"Not Found")</f>
        <v>59</v>
      </c>
      <c r="F1227" s="46" t="str">
        <f aca="false">IFERROR(VLOOKUP(Orders!E1227,Sales_Reps!$A$2:$E$31,3,FALSE()),"Not Found")</f>
        <v>North</v>
      </c>
      <c r="G1227" s="46" t="n">
        <f aca="false">IFERROR(VLOOKUP(Orders!D1227,Products!$A$2:$F$61,4,FALSE()),"")</f>
        <v>2865</v>
      </c>
      <c r="H1227" s="47" t="n">
        <f aca="false">IF(G1227="","",(Orders!G1227-G1227)/Orders!G1227)</f>
        <v>0.278337531486146</v>
      </c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/>
      <c r="AE1227" s="46"/>
      <c r="AF1227" s="46"/>
      <c r="AG1227" s="46"/>
      <c r="AH1227" s="46"/>
      <c r="AI1227" s="46"/>
      <c r="AJ1227" s="46"/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</row>
    <row r="1228" customFormat="false" ht="15" hidden="false" customHeight="false" outlineLevel="0" collapsed="false">
      <c r="A1228" s="46" t="str">
        <f aca="false">Orders!A1228</f>
        <v>ORD-01227</v>
      </c>
      <c r="B1228" s="46" t="str">
        <f aca="false">PROPER(TRIM(Orders!K1228))</f>
        <v>Hyderabad</v>
      </c>
      <c r="C1228" s="46" t="str">
        <f aca="false">IFERROR(VLOOKUP(Orders!D1228,Products!$A$2:$F$61,3,FALSE()),"Not Found")</f>
        <v>Electronics</v>
      </c>
      <c r="D1228" s="46" t="str">
        <f aca="false">IFERROR(VLOOKUP(Orders!C1228,Customers!$A$2:$F$301,5,FALSE()),"Not Found")</f>
        <v>Corporate</v>
      </c>
      <c r="E1228" s="46" t="n">
        <f aca="false">IFERROR(VLOOKUP(Orders!C1228,Customers!$A$2:$F$301,3,FALSE()),"Not Found")</f>
        <v>52</v>
      </c>
      <c r="F1228" s="46" t="str">
        <f aca="false">IFERROR(VLOOKUP(Orders!E1228,Sales_Reps!$A$2:$E$31,3,FALSE()),"Not Found")</f>
        <v>West</v>
      </c>
      <c r="G1228" s="46" t="n">
        <f aca="false">IFERROR(VLOOKUP(Orders!D1228,Products!$A$2:$F$61,4,FALSE()),"")</f>
        <v>2405</v>
      </c>
      <c r="H1228" s="47" t="n">
        <f aca="false">IF(G1228="","",(Orders!G1228-G1228)/Orders!G1228)</f>
        <v>0.548780487804878</v>
      </c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</row>
    <row r="1229" customFormat="false" ht="15" hidden="false" customHeight="false" outlineLevel="0" collapsed="false">
      <c r="A1229" s="46" t="str">
        <f aca="false">Orders!A1229</f>
        <v>ORD-01228</v>
      </c>
      <c r="B1229" s="46" t="str">
        <f aca="false">PROPER(TRIM(Orders!K1229))</f>
        <v>Bengaluru</v>
      </c>
      <c r="C1229" s="46" t="str">
        <f aca="false">IFERROR(VLOOKUP(Orders!D1229,Products!$A$2:$F$61,3,FALSE()),"Not Found")</f>
        <v>Electronics</v>
      </c>
      <c r="D1229" s="46" t="str">
        <f aca="false">IFERROR(VLOOKUP(Orders!C1229,Customers!$A$2:$F$301,5,FALSE()),"Not Found")</f>
        <v>Retail</v>
      </c>
      <c r="E1229" s="46" t="n">
        <f aca="false">IFERROR(VLOOKUP(Orders!C1229,Customers!$A$2:$F$301,3,FALSE()),"Not Found")</f>
        <v>42</v>
      </c>
      <c r="F1229" s="46" t="str">
        <f aca="false">IFERROR(VLOOKUP(Orders!E1229,Sales_Reps!$A$2:$E$31,3,FALSE()),"Not Found")</f>
        <v>North</v>
      </c>
      <c r="G1229" s="46" t="n">
        <f aca="false">IFERROR(VLOOKUP(Orders!D1229,Products!$A$2:$F$61,4,FALSE()),"")</f>
        <v>1259</v>
      </c>
      <c r="H1229" s="47" t="n">
        <f aca="false">IF(G1229="","",(Orders!G1229-G1229)/Orders!G1229)</f>
        <v>0.526691729323308</v>
      </c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/>
      <c r="AE1229" s="46"/>
      <c r="AF1229" s="46"/>
      <c r="AG1229" s="46"/>
      <c r="AH1229" s="46"/>
      <c r="AI1229" s="46"/>
      <c r="AJ1229" s="46"/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</row>
    <row r="1230" customFormat="false" ht="15" hidden="false" customHeight="false" outlineLevel="0" collapsed="false">
      <c r="A1230" s="46" t="str">
        <f aca="false">Orders!A1230</f>
        <v>ORD-01229</v>
      </c>
      <c r="B1230" s="46" t="str">
        <f aca="false">PROPER(TRIM(Orders!K1230))</f>
        <v>Chennai</v>
      </c>
      <c r="C1230" s="46" t="str">
        <f aca="false">IFERROR(VLOOKUP(Orders!D1230,Products!$A$2:$F$61,3,FALSE()),"Not Found")</f>
        <v>Apparel</v>
      </c>
      <c r="D1230" s="46" t="str">
        <f aca="false">IFERROR(VLOOKUP(Orders!C1230,Customers!$A$2:$F$301,5,FALSE()),"Not Found")</f>
        <v>Retail</v>
      </c>
      <c r="E1230" s="46" t="n">
        <f aca="false">IFERROR(VLOOKUP(Orders!C1230,Customers!$A$2:$F$301,3,FALSE()),"Not Found")</f>
        <v>39</v>
      </c>
      <c r="F1230" s="46" t="str">
        <f aca="false">IFERROR(VLOOKUP(Orders!E1230,Sales_Reps!$A$2:$E$31,3,FALSE()),"Not Found")</f>
        <v>West</v>
      </c>
      <c r="G1230" s="46" t="n">
        <f aca="false">IFERROR(VLOOKUP(Orders!D1230,Products!$A$2:$F$61,4,FALSE()),"")</f>
        <v>1886</v>
      </c>
      <c r="H1230" s="47" t="n">
        <f aca="false">IF(G1230="","",(Orders!G1230-G1230)/Orders!G1230)</f>
        <v>0.403164556962025</v>
      </c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</row>
    <row r="1231" customFormat="false" ht="15" hidden="false" customHeight="false" outlineLevel="0" collapsed="false">
      <c r="A1231" s="46" t="str">
        <f aca="false">Orders!A1231</f>
        <v>ORD-01230</v>
      </c>
      <c r="B1231" s="46" t="str">
        <f aca="false">PROPER(TRIM(Orders!K1231))</f>
        <v>Pune</v>
      </c>
      <c r="C1231" s="46" t="str">
        <f aca="false">IFERROR(VLOOKUP(Orders!D1231,Products!$A$2:$F$61,3,FALSE()),"Not Found")</f>
        <v>Sports</v>
      </c>
      <c r="D1231" s="46" t="str">
        <f aca="false">IFERROR(VLOOKUP(Orders!C1231,Customers!$A$2:$F$301,5,FALSE()),"Not Found")</f>
        <v>Corporate</v>
      </c>
      <c r="E1231" s="46" t="n">
        <f aca="false">IFERROR(VLOOKUP(Orders!C1231,Customers!$A$2:$F$301,3,FALSE()),"Not Found")</f>
        <v>33</v>
      </c>
      <c r="F1231" s="46" t="str">
        <f aca="false">IFERROR(VLOOKUP(Orders!E1231,Sales_Reps!$A$2:$E$31,3,FALSE()),"Not Found")</f>
        <v>East</v>
      </c>
      <c r="G1231" s="46" t="n">
        <f aca="false">IFERROR(VLOOKUP(Orders!D1231,Products!$A$2:$F$61,4,FALSE()),"")</f>
        <v>516</v>
      </c>
      <c r="H1231" s="47" t="n">
        <f aca="false">IF(G1231="","",(Orders!G1231-G1231)/Orders!G1231)</f>
        <v>0.489108910891089</v>
      </c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/>
      <c r="AE1231" s="46"/>
      <c r="AF1231" s="46"/>
      <c r="AG1231" s="46"/>
      <c r="AH1231" s="46"/>
      <c r="AI1231" s="46"/>
      <c r="AJ1231" s="46"/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</row>
    <row r="1232" customFormat="false" ht="15" hidden="false" customHeight="false" outlineLevel="0" collapsed="false">
      <c r="A1232" s="46" t="str">
        <f aca="false">Orders!A1232</f>
        <v>ORD-01231</v>
      </c>
      <c r="B1232" s="46" t="str">
        <f aca="false">PROPER(TRIM(Orders!K1232))</f>
        <v>Delhi</v>
      </c>
      <c r="C1232" s="46" t="str">
        <f aca="false">IFERROR(VLOOKUP(Orders!D1232,Products!$A$2:$F$61,3,FALSE()),"Not Found")</f>
        <v>Beauty</v>
      </c>
      <c r="D1232" s="46" t="str">
        <f aca="false">IFERROR(VLOOKUP(Orders!C1232,Customers!$A$2:$F$301,5,FALSE()),"Not Found")</f>
        <v>SMB</v>
      </c>
      <c r="E1232" s="46" t="n">
        <f aca="false">IFERROR(VLOOKUP(Orders!C1232,Customers!$A$2:$F$301,3,FALSE()),"Not Found")</f>
        <v>27</v>
      </c>
      <c r="F1232" s="46" t="str">
        <f aca="false">IFERROR(VLOOKUP(Orders!E1232,Sales_Reps!$A$2:$E$31,3,FALSE()),"Not Found")</f>
        <v>North</v>
      </c>
      <c r="G1232" s="46" t="n">
        <f aca="false">IFERROR(VLOOKUP(Orders!D1232,Products!$A$2:$F$61,4,FALSE()),"")</f>
        <v>647</v>
      </c>
      <c r="H1232" s="47" t="n">
        <f aca="false">IF(G1232="","",(Orders!G1232-G1232)/Orders!G1232)</f>
        <v>0.57987012987013</v>
      </c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</row>
    <row r="1233" customFormat="false" ht="15" hidden="false" customHeight="false" outlineLevel="0" collapsed="false">
      <c r="A1233" s="46" t="str">
        <f aca="false">Orders!A1233</f>
        <v>ORD-01232</v>
      </c>
      <c r="B1233" s="46" t="str">
        <f aca="false">PROPER(TRIM(Orders!K1233))</f>
        <v>Chennai</v>
      </c>
      <c r="C1233" s="46" t="str">
        <f aca="false">IFERROR(VLOOKUP(Orders!D1233,Products!$A$2:$F$61,3,FALSE()),"Not Found")</f>
        <v>Beauty</v>
      </c>
      <c r="D1233" s="46" t="str">
        <f aca="false">IFERROR(VLOOKUP(Orders!C1233,Customers!$A$2:$F$301,5,FALSE()),"Not Found")</f>
        <v>Retail</v>
      </c>
      <c r="E1233" s="46" t="n">
        <f aca="false">IFERROR(VLOOKUP(Orders!C1233,Customers!$A$2:$F$301,3,FALSE()),"Not Found")</f>
        <v>26</v>
      </c>
      <c r="F1233" s="46" t="str">
        <f aca="false">IFERROR(VLOOKUP(Orders!E1233,Sales_Reps!$A$2:$E$31,3,FALSE()),"Not Found")</f>
        <v>South</v>
      </c>
      <c r="G1233" s="46" t="n">
        <f aca="false">IFERROR(VLOOKUP(Orders!D1233,Products!$A$2:$F$61,4,FALSE()),"")</f>
        <v>2237</v>
      </c>
      <c r="H1233" s="47" t="n">
        <f aca="false">IF(G1233="","",(Orders!G1233-G1233)/Orders!G1233)</f>
        <v>0.561372549019608</v>
      </c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/>
      <c r="AE1233" s="46"/>
      <c r="AF1233" s="46"/>
      <c r="AG1233" s="46"/>
      <c r="AH1233" s="46"/>
      <c r="AI1233" s="46"/>
      <c r="AJ1233" s="46"/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</row>
    <row r="1234" customFormat="false" ht="15" hidden="false" customHeight="false" outlineLevel="0" collapsed="false">
      <c r="A1234" s="46" t="str">
        <f aca="false">Orders!A1234</f>
        <v>ORD-01233</v>
      </c>
      <c r="B1234" s="46" t="str">
        <f aca="false">PROPER(TRIM(Orders!K1234))</f>
        <v>Chennai</v>
      </c>
      <c r="C1234" s="46" t="str">
        <f aca="false">IFERROR(VLOOKUP(Orders!D1234,Products!$A$2:$F$61,3,FALSE()),"Not Found")</f>
        <v>Electronics</v>
      </c>
      <c r="D1234" s="46" t="str">
        <f aca="false">IFERROR(VLOOKUP(Orders!C1234,Customers!$A$2:$F$301,5,FALSE()),"Not Found")</f>
        <v>Retail</v>
      </c>
      <c r="E1234" s="46" t="n">
        <f aca="false">IFERROR(VLOOKUP(Orders!C1234,Customers!$A$2:$F$301,3,FALSE()),"Not Found")</f>
        <v>22</v>
      </c>
      <c r="F1234" s="46" t="str">
        <f aca="false">IFERROR(VLOOKUP(Orders!E1234,Sales_Reps!$A$2:$E$31,3,FALSE()),"Not Found")</f>
        <v>West</v>
      </c>
      <c r="G1234" s="46" t="n">
        <f aca="false">IFERROR(VLOOKUP(Orders!D1234,Products!$A$2:$F$61,4,FALSE()),"")</f>
        <v>861</v>
      </c>
      <c r="H1234" s="47" t="n">
        <f aca="false">IF(G1234="","",(Orders!G1234-G1234)/Orders!G1234)</f>
        <v>0.397902097902098</v>
      </c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  <c r="AE1234" s="46"/>
      <c r="AF1234" s="46"/>
      <c r="AG1234" s="46"/>
      <c r="AH1234" s="46"/>
      <c r="AI1234" s="46"/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</row>
    <row r="1235" customFormat="false" ht="15" hidden="false" customHeight="false" outlineLevel="0" collapsed="false">
      <c r="A1235" s="46" t="str">
        <f aca="false">Orders!A1235</f>
        <v>ORD-01234</v>
      </c>
      <c r="B1235" s="46" t="str">
        <f aca="false">PROPER(TRIM(Orders!K1235))</f>
        <v>Hyderabad</v>
      </c>
      <c r="C1235" s="46" t="str">
        <f aca="false">IFERROR(VLOOKUP(Orders!D1235,Products!$A$2:$F$61,3,FALSE()),"Not Found")</f>
        <v>Home</v>
      </c>
      <c r="D1235" s="46" t="str">
        <f aca="false">IFERROR(VLOOKUP(Orders!C1235,Customers!$A$2:$F$301,5,FALSE()),"Not Found")</f>
        <v>Retail</v>
      </c>
      <c r="E1235" s="46" t="n">
        <f aca="false">IFERROR(VLOOKUP(Orders!C1235,Customers!$A$2:$F$301,3,FALSE()),"Not Found")</f>
        <v>31</v>
      </c>
      <c r="F1235" s="46" t="str">
        <f aca="false">IFERROR(VLOOKUP(Orders!E1235,Sales_Reps!$A$2:$E$31,3,FALSE()),"Not Found")</f>
        <v>South</v>
      </c>
      <c r="G1235" s="46" t="n">
        <f aca="false">IFERROR(VLOOKUP(Orders!D1235,Products!$A$2:$F$61,4,FALSE()),"")</f>
        <v>2549</v>
      </c>
      <c r="H1235" s="47" t="n">
        <f aca="false">IF(G1235="","",(Orders!G1235-G1235)/Orders!G1235)</f>
        <v>0.535701275045537</v>
      </c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</row>
    <row r="1236" customFormat="false" ht="15" hidden="false" customHeight="false" outlineLevel="0" collapsed="false">
      <c r="A1236" s="46" t="str">
        <f aca="false">Orders!A1236</f>
        <v>ORD-01235</v>
      </c>
      <c r="B1236" s="46" t="str">
        <f aca="false">PROPER(TRIM(Orders!K1236))</f>
        <v>Hyderabad</v>
      </c>
      <c r="C1236" s="46" t="str">
        <f aca="false">IFERROR(VLOOKUP(Orders!D1236,Products!$A$2:$F$61,3,FALSE()),"Not Found")</f>
        <v>Beauty</v>
      </c>
      <c r="D1236" s="46" t="str">
        <f aca="false">IFERROR(VLOOKUP(Orders!C1236,Customers!$A$2:$F$301,5,FALSE()),"Not Found")</f>
        <v>Retail</v>
      </c>
      <c r="E1236" s="46" t="n">
        <f aca="false">IFERROR(VLOOKUP(Orders!C1236,Customers!$A$2:$F$301,3,FALSE()),"Not Found")</f>
        <v>22</v>
      </c>
      <c r="F1236" s="46" t="str">
        <f aca="false">IFERROR(VLOOKUP(Orders!E1236,Sales_Reps!$A$2:$E$31,3,FALSE()),"Not Found")</f>
        <v>North</v>
      </c>
      <c r="G1236" s="46" t="n">
        <f aca="false">IFERROR(VLOOKUP(Orders!D1236,Products!$A$2:$F$61,4,FALSE()),"")</f>
        <v>1222</v>
      </c>
      <c r="H1236" s="47" t="n">
        <f aca="false">IF(G1236="","",(Orders!G1236-G1236)/Orders!G1236)</f>
        <v>0.259393939393939</v>
      </c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</row>
    <row r="1237" customFormat="false" ht="15" hidden="false" customHeight="false" outlineLevel="0" collapsed="false">
      <c r="A1237" s="46" t="str">
        <f aca="false">Orders!A1237</f>
        <v>ORD-01236</v>
      </c>
      <c r="B1237" s="46" t="str">
        <f aca="false">PROPER(TRIM(Orders!K1237))</f>
        <v>Hyderabad</v>
      </c>
      <c r="C1237" s="46" t="str">
        <f aca="false">IFERROR(VLOOKUP(Orders!D1237,Products!$A$2:$F$61,3,FALSE()),"Not Found")</f>
        <v>Beauty</v>
      </c>
      <c r="D1237" s="46" t="str">
        <f aca="false">IFERROR(VLOOKUP(Orders!C1237,Customers!$A$2:$F$301,5,FALSE()),"Not Found")</f>
        <v>SMB</v>
      </c>
      <c r="E1237" s="46" t="n">
        <f aca="false">IFERROR(VLOOKUP(Orders!C1237,Customers!$A$2:$F$301,3,FALSE()),"Not Found")</f>
        <v>31</v>
      </c>
      <c r="F1237" s="46" t="str">
        <f aca="false">IFERROR(VLOOKUP(Orders!E1237,Sales_Reps!$A$2:$E$31,3,FALSE()),"Not Found")</f>
        <v>East</v>
      </c>
      <c r="G1237" s="46" t="n">
        <f aca="false">IFERROR(VLOOKUP(Orders!D1237,Products!$A$2:$F$61,4,FALSE()),"")</f>
        <v>1626</v>
      </c>
      <c r="H1237" s="47" t="n">
        <f aca="false">IF(G1237="","",(Orders!G1237-G1237)/Orders!G1237)</f>
        <v>0.46158940397351</v>
      </c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</row>
    <row r="1238" customFormat="false" ht="15" hidden="false" customHeight="false" outlineLevel="0" collapsed="false">
      <c r="A1238" s="46" t="str">
        <f aca="false">Orders!A1238</f>
        <v>ORD-01237</v>
      </c>
      <c r="B1238" s="46" t="str">
        <f aca="false">PROPER(TRIM(Orders!K1238))</f>
        <v>Bengaluru</v>
      </c>
      <c r="C1238" s="46" t="str">
        <f aca="false">IFERROR(VLOOKUP(Orders!D1238,Products!$A$2:$F$61,3,FALSE()),"Not Found")</f>
        <v>Beauty</v>
      </c>
      <c r="D1238" s="46" t="str">
        <f aca="false">IFERROR(VLOOKUP(Orders!C1238,Customers!$A$2:$F$301,5,FALSE()),"Not Found")</f>
        <v>SMB</v>
      </c>
      <c r="E1238" s="46" t="n">
        <f aca="false">IFERROR(VLOOKUP(Orders!C1238,Customers!$A$2:$F$301,3,FALSE()),"Not Found")</f>
        <v>54</v>
      </c>
      <c r="F1238" s="46" t="str">
        <f aca="false">IFERROR(VLOOKUP(Orders!E1238,Sales_Reps!$A$2:$E$31,3,FALSE()),"Not Found")</f>
        <v>North</v>
      </c>
      <c r="G1238" s="46" t="n">
        <f aca="false">IFERROR(VLOOKUP(Orders!D1238,Products!$A$2:$F$61,4,FALSE()),"")</f>
        <v>647</v>
      </c>
      <c r="H1238" s="47" t="n">
        <f aca="false">IF(G1238="","",(Orders!G1238-G1238)/Orders!G1238)</f>
        <v>0.57987012987013</v>
      </c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</row>
    <row r="1239" customFormat="false" ht="15" hidden="false" customHeight="false" outlineLevel="0" collapsed="false">
      <c r="A1239" s="46" t="str">
        <f aca="false">Orders!A1239</f>
        <v>ORD-00372</v>
      </c>
      <c r="B1239" s="46" t="str">
        <f aca="false">PROPER(TRIM(Orders!K1239))</f>
        <v>Pune</v>
      </c>
      <c r="C1239" s="46" t="str">
        <f aca="false">IFERROR(VLOOKUP(Orders!D1239,Products!$A$2:$F$61,3,FALSE()),"Not Found")</f>
        <v>Sports</v>
      </c>
      <c r="D1239" s="46" t="str">
        <f aca="false">IFERROR(VLOOKUP(Orders!C1239,Customers!$A$2:$F$301,5,FALSE()),"Not Found")</f>
        <v>SMB</v>
      </c>
      <c r="E1239" s="46" t="n">
        <f aca="false">IFERROR(VLOOKUP(Orders!C1239,Customers!$A$2:$F$301,3,FALSE()),"Not Found")</f>
        <v>60</v>
      </c>
      <c r="F1239" s="46" t="str">
        <f aca="false">IFERROR(VLOOKUP(Orders!E1239,Sales_Reps!$A$2:$E$31,3,FALSE()),"Not Found")</f>
        <v>East</v>
      </c>
      <c r="G1239" s="46" t="n">
        <f aca="false">IFERROR(VLOOKUP(Orders!D1239,Products!$A$2:$F$61,4,FALSE()),"")</f>
        <v>2827</v>
      </c>
      <c r="H1239" s="47" t="n">
        <f aca="false">IF(G1239="","",(Orders!G1239-G1239)/Orders!G1239)</f>
        <v>0.592651296829971</v>
      </c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/>
      <c r="AE1239" s="46"/>
      <c r="AF1239" s="46"/>
      <c r="AG1239" s="46"/>
      <c r="AH1239" s="46"/>
      <c r="AI1239" s="46"/>
      <c r="AJ1239" s="46"/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</row>
    <row r="1240" customFormat="false" ht="15" hidden="false" customHeight="false" outlineLevel="0" collapsed="false">
      <c r="A1240" s="46" t="str">
        <f aca="false">Orders!A1240</f>
        <v>ORD-01239</v>
      </c>
      <c r="B1240" s="46" t="str">
        <f aca="false">PROPER(TRIM(Orders!K1240))</f>
        <v>Mumbai</v>
      </c>
      <c r="C1240" s="46" t="str">
        <f aca="false">IFERROR(VLOOKUP(Orders!D1240,Products!$A$2:$F$61,3,FALSE()),"Not Found")</f>
        <v>Beauty</v>
      </c>
      <c r="D1240" s="46" t="str">
        <f aca="false">IFERROR(VLOOKUP(Orders!C1240,Customers!$A$2:$F$301,5,FALSE()),"Not Found")</f>
        <v>Retail</v>
      </c>
      <c r="E1240" s="46" t="n">
        <f aca="false">IFERROR(VLOOKUP(Orders!C1240,Customers!$A$2:$F$301,3,FALSE()),"Not Found")</f>
        <v>36</v>
      </c>
      <c r="F1240" s="46" t="str">
        <f aca="false">IFERROR(VLOOKUP(Orders!E1240,Sales_Reps!$A$2:$E$31,3,FALSE()),"Not Found")</f>
        <v>East</v>
      </c>
      <c r="G1240" s="46" t="n">
        <f aca="false">IFERROR(VLOOKUP(Orders!D1240,Products!$A$2:$F$61,4,FALSE()),"")</f>
        <v>2237</v>
      </c>
      <c r="H1240" s="47" t="n">
        <f aca="false">IF(G1240="","",(Orders!G1240-G1240)/Orders!G1240)</f>
        <v>0.561372549019608</v>
      </c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/>
      <c r="AE1240" s="46"/>
      <c r="AF1240" s="46"/>
      <c r="AG1240" s="46"/>
      <c r="AH1240" s="46"/>
      <c r="AI1240" s="46"/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</row>
    <row r="1241" customFormat="false" ht="15" hidden="false" customHeight="false" outlineLevel="0" collapsed="false">
      <c r="A1241" s="46" t="str">
        <f aca="false">Orders!A1241</f>
        <v>ORD-01240</v>
      </c>
      <c r="B1241" s="46" t="str">
        <f aca="false">PROPER(TRIM(Orders!K1241))</f>
        <v>Pune</v>
      </c>
      <c r="C1241" s="46" t="str">
        <f aca="false">IFERROR(VLOOKUP(Orders!D1241,Products!$A$2:$F$61,3,FALSE()),"Not Found")</f>
        <v>Electronics</v>
      </c>
      <c r="D1241" s="46" t="str">
        <f aca="false">IFERROR(VLOOKUP(Orders!C1241,Customers!$A$2:$F$301,5,FALSE()),"Not Found")</f>
        <v>Corporate</v>
      </c>
      <c r="E1241" s="46" t="n">
        <f aca="false">IFERROR(VLOOKUP(Orders!C1241,Customers!$A$2:$F$301,3,FALSE()),"Not Found")</f>
        <v>33</v>
      </c>
      <c r="F1241" s="46" t="str">
        <f aca="false">IFERROR(VLOOKUP(Orders!E1241,Sales_Reps!$A$2:$E$31,3,FALSE()),"Not Found")</f>
        <v>South</v>
      </c>
      <c r="G1241" s="46" t="n">
        <f aca="false">IFERROR(VLOOKUP(Orders!D1241,Products!$A$2:$F$61,4,FALSE()),"")</f>
        <v>2405</v>
      </c>
      <c r="H1241" s="47" t="n">
        <f aca="false">IF(G1241="","",(Orders!G1241-G1241)/Orders!G1241)</f>
        <v>0.548780487804878</v>
      </c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/>
      <c r="AE1241" s="46"/>
      <c r="AF1241" s="46"/>
      <c r="AG1241" s="46"/>
      <c r="AH1241" s="46"/>
      <c r="AI1241" s="46"/>
      <c r="AJ1241" s="46"/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</row>
    <row r="1242" customFormat="false" ht="15" hidden="false" customHeight="false" outlineLevel="0" collapsed="false">
      <c r="A1242" s="46" t="str">
        <f aca="false">Orders!A1242</f>
        <v>ORD-01241</v>
      </c>
      <c r="B1242" s="46" t="str">
        <f aca="false">PROPER(TRIM(Orders!K1242))</f>
        <v>Bengaluru</v>
      </c>
      <c r="C1242" s="46" t="str">
        <f aca="false">IFERROR(VLOOKUP(Orders!D1242,Products!$A$2:$F$61,3,FALSE()),"Not Found")</f>
        <v>Sports</v>
      </c>
      <c r="D1242" s="46" t="str">
        <f aca="false">IFERROR(VLOOKUP(Orders!C1242,Customers!$A$2:$F$301,5,FALSE()),"Not Found")</f>
        <v>SMB</v>
      </c>
      <c r="E1242" s="46" t="n">
        <f aca="false">IFERROR(VLOOKUP(Orders!C1242,Customers!$A$2:$F$301,3,FALSE()),"Not Found")</f>
        <v>44</v>
      </c>
      <c r="F1242" s="46" t="str">
        <f aca="false">IFERROR(VLOOKUP(Orders!E1242,Sales_Reps!$A$2:$E$31,3,FALSE()),"Not Found")</f>
        <v>West</v>
      </c>
      <c r="G1242" s="46" t="n">
        <f aca="false">IFERROR(VLOOKUP(Orders!D1242,Products!$A$2:$F$61,4,FALSE()),"")</f>
        <v>705</v>
      </c>
      <c r="H1242" s="47" t="n">
        <f aca="false">IF(G1242="","",(Orders!G1242-G1242)/Orders!G1242)</f>
        <v>0.265625</v>
      </c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</row>
    <row r="1243" customFormat="false" ht="15" hidden="false" customHeight="false" outlineLevel="0" collapsed="false">
      <c r="A1243" s="46" t="str">
        <f aca="false">Orders!A1243</f>
        <v>ORD-01365</v>
      </c>
      <c r="B1243" s="46" t="str">
        <f aca="false">PROPER(TRIM(Orders!K1243))</f>
        <v>Hyderabad</v>
      </c>
      <c r="C1243" s="46" t="str">
        <f aca="false">IFERROR(VLOOKUP(Orders!D1243,Products!$A$2:$F$61,3,FALSE()),"Not Found")</f>
        <v>Apparel</v>
      </c>
      <c r="D1243" s="46" t="str">
        <f aca="false">IFERROR(VLOOKUP(Orders!C1243,Customers!$A$2:$F$301,5,FALSE()),"Not Found")</f>
        <v>Corporate</v>
      </c>
      <c r="E1243" s="46" t="n">
        <f aca="false">IFERROR(VLOOKUP(Orders!C1243,Customers!$A$2:$F$301,3,FALSE()),"Not Found")</f>
        <v>46</v>
      </c>
      <c r="F1243" s="46" t="str">
        <f aca="false">IFERROR(VLOOKUP(Orders!E1243,Sales_Reps!$A$2:$E$31,3,FALSE()),"Not Found")</f>
        <v>East</v>
      </c>
      <c r="G1243" s="46" t="n">
        <f aca="false">IFERROR(VLOOKUP(Orders!D1243,Products!$A$2:$F$61,4,FALSE()),"")</f>
        <v>2509</v>
      </c>
      <c r="H1243" s="47" t="n">
        <f aca="false">IF(G1243="","",(Orders!G1243-G1243)/Orders!G1243)</f>
        <v>0.306906077348066</v>
      </c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</row>
    <row r="1244" customFormat="false" ht="15" hidden="false" customHeight="false" outlineLevel="0" collapsed="false">
      <c r="A1244" s="46" t="str">
        <f aca="false">Orders!A1244</f>
        <v>ORD-01243</v>
      </c>
      <c r="B1244" s="46" t="str">
        <f aca="false">PROPER(TRIM(Orders!K1244))</f>
        <v>Chennai</v>
      </c>
      <c r="C1244" s="46" t="str">
        <f aca="false">IFERROR(VLOOKUP(Orders!D1244,Products!$A$2:$F$61,3,FALSE()),"Not Found")</f>
        <v>Electronics</v>
      </c>
      <c r="D1244" s="46" t="str">
        <f aca="false">IFERROR(VLOOKUP(Orders!C1244,Customers!$A$2:$F$301,5,FALSE()),"Not Found")</f>
        <v>Retail</v>
      </c>
      <c r="E1244" s="46" t="n">
        <f aca="false">IFERROR(VLOOKUP(Orders!C1244,Customers!$A$2:$F$301,3,FALSE()),"Not Found")</f>
        <v>35</v>
      </c>
      <c r="F1244" s="46" t="str">
        <f aca="false">IFERROR(VLOOKUP(Orders!E1244,Sales_Reps!$A$2:$E$31,3,FALSE()),"Not Found")</f>
        <v>North</v>
      </c>
      <c r="G1244" s="46" t="n">
        <f aca="false">IFERROR(VLOOKUP(Orders!D1244,Products!$A$2:$F$61,4,FALSE()),"")</f>
        <v>1052</v>
      </c>
      <c r="H1244" s="47" t="n">
        <f aca="false">IF(G1244="","",(Orders!G1244-G1244)/Orders!G1244)</f>
        <v>0.595384615384615</v>
      </c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</row>
    <row r="1245" customFormat="false" ht="15" hidden="false" customHeight="false" outlineLevel="0" collapsed="false">
      <c r="A1245" s="46" t="str">
        <f aca="false">Orders!A1245</f>
        <v>ORD-01244</v>
      </c>
      <c r="B1245" s="46" t="str">
        <f aca="false">PROPER(TRIM(Orders!K1245))</f>
        <v>Pune</v>
      </c>
      <c r="C1245" s="46" t="str">
        <f aca="false">IFERROR(VLOOKUP(Orders!D1245,Products!$A$2:$F$61,3,FALSE()),"Not Found")</f>
        <v>Electronics</v>
      </c>
      <c r="D1245" s="46" t="str">
        <f aca="false">IFERROR(VLOOKUP(Orders!C1245,Customers!$A$2:$F$301,5,FALSE()),"Not Found")</f>
        <v>Retail</v>
      </c>
      <c r="E1245" s="46" t="n">
        <f aca="false">IFERROR(VLOOKUP(Orders!C1245,Customers!$A$2:$F$301,3,FALSE()),"Not Found")</f>
        <v>49</v>
      </c>
      <c r="F1245" s="46" t="str">
        <f aca="false">IFERROR(VLOOKUP(Orders!E1245,Sales_Reps!$A$2:$E$31,3,FALSE()),"Not Found")</f>
        <v>South</v>
      </c>
      <c r="G1245" s="46" t="n">
        <f aca="false">IFERROR(VLOOKUP(Orders!D1245,Products!$A$2:$F$61,4,FALSE()),"")</f>
        <v>1259</v>
      </c>
      <c r="H1245" s="47" t="n">
        <f aca="false">IF(G1245="","",(Orders!G1245-G1245)/Orders!G1245)</f>
        <v>0.526691729323308</v>
      </c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</row>
    <row r="1246" customFormat="false" ht="15" hidden="false" customHeight="false" outlineLevel="0" collapsed="false">
      <c r="A1246" s="46" t="str">
        <f aca="false">Orders!A1246</f>
        <v>ORD-01245</v>
      </c>
      <c r="B1246" s="46" t="str">
        <f aca="false">PROPER(TRIM(Orders!K1246))</f>
        <v>Mumbai</v>
      </c>
      <c r="C1246" s="46" t="str">
        <f aca="false">IFERROR(VLOOKUP(Orders!D1246,Products!$A$2:$F$61,3,FALSE()),"Not Found")</f>
        <v>Apparel</v>
      </c>
      <c r="D1246" s="46" t="str">
        <f aca="false">IFERROR(VLOOKUP(Orders!C1246,Customers!$A$2:$F$301,5,FALSE()),"Not Found")</f>
        <v>SMB</v>
      </c>
      <c r="E1246" s="46" t="n">
        <f aca="false">IFERROR(VLOOKUP(Orders!C1246,Customers!$A$2:$F$301,3,FALSE()),"Not Found")</f>
        <v>65</v>
      </c>
      <c r="F1246" s="46" t="str">
        <f aca="false">IFERROR(VLOOKUP(Orders!E1246,Sales_Reps!$A$2:$E$31,3,FALSE()),"Not Found")</f>
        <v>East</v>
      </c>
      <c r="G1246" s="46" t="n">
        <f aca="false">IFERROR(VLOOKUP(Orders!D1246,Products!$A$2:$F$61,4,FALSE()),"")</f>
        <v>1173</v>
      </c>
      <c r="H1246" s="47" t="n">
        <f aca="false">IF(G1246="","",(Orders!G1246-G1246)/Orders!G1246)</f>
        <v>0.527016129032258</v>
      </c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  <c r="AE1246" s="46"/>
      <c r="AF1246" s="46"/>
      <c r="AG1246" s="46"/>
      <c r="AH1246" s="46"/>
      <c r="AI1246" s="46"/>
      <c r="AJ1246" s="46"/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</row>
    <row r="1247" customFormat="false" ht="15" hidden="false" customHeight="false" outlineLevel="0" collapsed="false">
      <c r="A1247" s="46" t="str">
        <f aca="false">Orders!A1247</f>
        <v>ORD-01246</v>
      </c>
      <c r="B1247" s="46" t="str">
        <f aca="false">PROPER(TRIM(Orders!K1247))</f>
        <v>Delhi</v>
      </c>
      <c r="C1247" s="46" t="str">
        <f aca="false">IFERROR(VLOOKUP(Orders!D1247,Products!$A$2:$F$61,3,FALSE()),"Not Found")</f>
        <v>Electronics</v>
      </c>
      <c r="D1247" s="46" t="str">
        <f aca="false">IFERROR(VLOOKUP(Orders!C1247,Customers!$A$2:$F$301,5,FALSE()),"Not Found")</f>
        <v>SMB</v>
      </c>
      <c r="E1247" s="46" t="n">
        <f aca="false">IFERROR(VLOOKUP(Orders!C1247,Customers!$A$2:$F$301,3,FALSE()),"Not Found")</f>
        <v>38</v>
      </c>
      <c r="F1247" s="46" t="str">
        <f aca="false">IFERROR(VLOOKUP(Orders!E1247,Sales_Reps!$A$2:$E$31,3,FALSE()),"Not Found")</f>
        <v>South</v>
      </c>
      <c r="G1247" s="46" t="n">
        <f aca="false">IFERROR(VLOOKUP(Orders!D1247,Products!$A$2:$F$61,4,FALSE()),"")</f>
        <v>1259</v>
      </c>
      <c r="H1247" s="47" t="n">
        <f aca="false">IF(G1247="","",(Orders!G1247-G1247)/Orders!G1247)</f>
        <v>0.526691729323308</v>
      </c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/>
      <c r="AE1247" s="46"/>
      <c r="AF1247" s="46"/>
      <c r="AG1247" s="46"/>
      <c r="AH1247" s="46"/>
      <c r="AI1247" s="46"/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</row>
    <row r="1248" customFormat="false" ht="15" hidden="false" customHeight="false" outlineLevel="0" collapsed="false">
      <c r="A1248" s="46" t="str">
        <f aca="false">Orders!A1248</f>
        <v>ORD-01247</v>
      </c>
      <c r="B1248" s="46" t="str">
        <f aca="false">PROPER(TRIM(Orders!K1248))</f>
        <v>Bengaluru</v>
      </c>
      <c r="C1248" s="46" t="str">
        <f aca="false">IFERROR(VLOOKUP(Orders!D1248,Products!$A$2:$F$61,3,FALSE()),"Not Found")</f>
        <v>Electronics</v>
      </c>
      <c r="D1248" s="46" t="str">
        <f aca="false">IFERROR(VLOOKUP(Orders!C1248,Customers!$A$2:$F$301,5,FALSE()),"Not Found")</f>
        <v>Retail</v>
      </c>
      <c r="E1248" s="46" t="n">
        <f aca="false">IFERROR(VLOOKUP(Orders!C1248,Customers!$A$2:$F$301,3,FALSE()),"Not Found")</f>
        <v>35</v>
      </c>
      <c r="F1248" s="46" t="str">
        <f aca="false">IFERROR(VLOOKUP(Orders!E1248,Sales_Reps!$A$2:$E$31,3,FALSE()),"Not Found")</f>
        <v>South</v>
      </c>
      <c r="G1248" s="46" t="n">
        <f aca="false">IFERROR(VLOOKUP(Orders!D1248,Products!$A$2:$F$61,4,FALSE()),"")</f>
        <v>2405</v>
      </c>
      <c r="H1248" s="47" t="n">
        <f aca="false">IF(G1248="","",(Orders!G1248-G1248)/Orders!G1248)</f>
        <v>0.548780487804878</v>
      </c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  <c r="AE1248" s="46"/>
      <c r="AF1248" s="46"/>
      <c r="AG1248" s="46"/>
      <c r="AH1248" s="46"/>
      <c r="AI1248" s="46"/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</row>
    <row r="1249" customFormat="false" ht="15" hidden="false" customHeight="false" outlineLevel="0" collapsed="false">
      <c r="A1249" s="46" t="str">
        <f aca="false">Orders!A1249</f>
        <v>ORD-01248</v>
      </c>
      <c r="B1249" s="46" t="str">
        <f aca="false">PROPER(TRIM(Orders!K1249))</f>
        <v>Bengaluru</v>
      </c>
      <c r="C1249" s="46" t="str">
        <f aca="false">IFERROR(VLOOKUP(Orders!D1249,Products!$A$2:$F$61,3,FALSE()),"Not Found")</f>
        <v>Sports</v>
      </c>
      <c r="D1249" s="46" t="str">
        <f aca="false">IFERROR(VLOOKUP(Orders!C1249,Customers!$A$2:$F$301,5,FALSE()),"Not Found")</f>
        <v>Retail</v>
      </c>
      <c r="E1249" s="46" t="n">
        <f aca="false">IFERROR(VLOOKUP(Orders!C1249,Customers!$A$2:$F$301,3,FALSE()),"Not Found")</f>
        <v>53</v>
      </c>
      <c r="F1249" s="46" t="str">
        <f aca="false">IFERROR(VLOOKUP(Orders!E1249,Sales_Reps!$A$2:$E$31,3,FALSE()),"Not Found")</f>
        <v>West</v>
      </c>
      <c r="G1249" s="46" t="n">
        <f aca="false">IFERROR(VLOOKUP(Orders!D1249,Products!$A$2:$F$61,4,FALSE()),"")</f>
        <v>2467</v>
      </c>
      <c r="H1249" s="47" t="n">
        <f aca="false">IF(G1249="","",(Orders!G1249-G1249)/Orders!G1249)</f>
        <v>0.284927536231884</v>
      </c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</row>
    <row r="1250" customFormat="false" ht="15" hidden="false" customHeight="false" outlineLevel="0" collapsed="false">
      <c r="A1250" s="46" t="str">
        <f aca="false">Orders!A1250</f>
        <v>ORD-01249</v>
      </c>
      <c r="B1250" s="46" t="str">
        <f aca="false">PROPER(TRIM(Orders!K1250))</f>
        <v>Mumbai</v>
      </c>
      <c r="C1250" s="46" t="str">
        <f aca="false">IFERROR(VLOOKUP(Orders!D1250,Products!$A$2:$F$61,3,FALSE()),"Not Found")</f>
        <v>Sports</v>
      </c>
      <c r="D1250" s="46" t="str">
        <f aca="false">IFERROR(VLOOKUP(Orders!C1250,Customers!$A$2:$F$301,5,FALSE()),"Not Found")</f>
        <v>Retail</v>
      </c>
      <c r="E1250" s="46" t="n">
        <f aca="false">IFERROR(VLOOKUP(Orders!C1250,Customers!$A$2:$F$301,3,FALSE()),"Not Found")</f>
        <v>34</v>
      </c>
      <c r="F1250" s="46" t="str">
        <f aca="false">IFERROR(VLOOKUP(Orders!E1250,Sales_Reps!$A$2:$E$31,3,FALSE()),"Not Found")</f>
        <v>West</v>
      </c>
      <c r="G1250" s="46" t="n">
        <f aca="false">IFERROR(VLOOKUP(Orders!D1250,Products!$A$2:$F$61,4,FALSE()),"")</f>
        <v>147</v>
      </c>
      <c r="H1250" s="47" t="n">
        <f aca="false">IF(G1250="","",(Orders!G1250-G1250)/Orders!G1250)</f>
        <v>0.226315789473684</v>
      </c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</row>
    <row r="1251" customFormat="false" ht="15" hidden="false" customHeight="false" outlineLevel="0" collapsed="false">
      <c r="A1251" s="46" t="str">
        <f aca="false">Orders!A1251</f>
        <v>ORD-01250</v>
      </c>
      <c r="B1251" s="46" t="str">
        <f aca="false">PROPER(TRIM(Orders!K1251))</f>
        <v>Chennai</v>
      </c>
      <c r="C1251" s="46" t="str">
        <f aca="false">IFERROR(VLOOKUP(Orders!D1251,Products!$A$2:$F$61,3,FALSE()),"Not Found")</f>
        <v>Electronics</v>
      </c>
      <c r="D1251" s="46" t="str">
        <f aca="false">IFERROR(VLOOKUP(Orders!C1251,Customers!$A$2:$F$301,5,FALSE()),"Not Found")</f>
        <v>Corporate</v>
      </c>
      <c r="E1251" s="46" t="n">
        <f aca="false">IFERROR(VLOOKUP(Orders!C1251,Customers!$A$2:$F$301,3,FALSE()),"Not Found")</f>
        <v>22</v>
      </c>
      <c r="F1251" s="46" t="str">
        <f aca="false">IFERROR(VLOOKUP(Orders!E1251,Sales_Reps!$A$2:$E$31,3,FALSE()),"Not Found")</f>
        <v>South</v>
      </c>
      <c r="G1251" s="46" t="n">
        <f aca="false">IFERROR(VLOOKUP(Orders!D1251,Products!$A$2:$F$61,4,FALSE()),"")</f>
        <v>2865</v>
      </c>
      <c r="H1251" s="47" t="n">
        <f aca="false">IF(G1251="","",(Orders!G1251-G1251)/Orders!G1251)</f>
        <v>0.278337531486146</v>
      </c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</row>
    <row r="1252" customFormat="false" ht="15" hidden="false" customHeight="false" outlineLevel="0" collapsed="false">
      <c r="A1252" s="46" t="str">
        <f aca="false">Orders!A1252</f>
        <v>ORD-01251</v>
      </c>
      <c r="B1252" s="46" t="str">
        <f aca="false">PROPER(TRIM(Orders!K1252))</f>
        <v>Hyderabad</v>
      </c>
      <c r="C1252" s="46" t="str">
        <f aca="false">IFERROR(VLOOKUP(Orders!D1252,Products!$A$2:$F$61,3,FALSE()),"Not Found")</f>
        <v>Home</v>
      </c>
      <c r="D1252" s="46" t="str">
        <f aca="false">IFERROR(VLOOKUP(Orders!C1252,Customers!$A$2:$F$301,5,FALSE()),"Not Found")</f>
        <v>Retail</v>
      </c>
      <c r="E1252" s="46" t="n">
        <f aca="false">IFERROR(VLOOKUP(Orders!C1252,Customers!$A$2:$F$301,3,FALSE()),"Not Found")</f>
        <v>60</v>
      </c>
      <c r="F1252" s="46" t="str">
        <f aca="false">IFERROR(VLOOKUP(Orders!E1252,Sales_Reps!$A$2:$E$31,3,FALSE()),"Not Found")</f>
        <v>North</v>
      </c>
      <c r="G1252" s="46" t="n">
        <f aca="false">IFERROR(VLOOKUP(Orders!D1252,Products!$A$2:$F$61,4,FALSE()),"")</f>
        <v>1850</v>
      </c>
      <c r="H1252" s="47" t="n">
        <f aca="false">IF(G1252="","",(Orders!G1252-G1252)/Orders!G1252)</f>
        <v>0.598698481561822</v>
      </c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</row>
    <row r="1253" customFormat="false" ht="15" hidden="false" customHeight="false" outlineLevel="0" collapsed="false">
      <c r="A1253" s="46" t="str">
        <f aca="false">Orders!A1253</f>
        <v>ORD-01252</v>
      </c>
      <c r="B1253" s="46" t="str">
        <f aca="false">PROPER(TRIM(Orders!K1253))</f>
        <v>Mumbai</v>
      </c>
      <c r="C1253" s="46" t="str">
        <f aca="false">IFERROR(VLOOKUP(Orders!D1253,Products!$A$2:$F$61,3,FALSE()),"Not Found")</f>
        <v>Apparel</v>
      </c>
      <c r="D1253" s="46" t="str">
        <f aca="false">IFERROR(VLOOKUP(Orders!C1253,Customers!$A$2:$F$301,5,FALSE()),"Not Found")</f>
        <v>Retail</v>
      </c>
      <c r="E1253" s="46" t="n">
        <f aca="false">IFERROR(VLOOKUP(Orders!C1253,Customers!$A$2:$F$301,3,FALSE()),"Not Found")</f>
        <v>50</v>
      </c>
      <c r="F1253" s="46" t="str">
        <f aca="false">IFERROR(VLOOKUP(Orders!E1253,Sales_Reps!$A$2:$E$31,3,FALSE()),"Not Found")</f>
        <v>West</v>
      </c>
      <c r="G1253" s="46" t="n">
        <f aca="false">IFERROR(VLOOKUP(Orders!D1253,Products!$A$2:$F$61,4,FALSE()),"")</f>
        <v>396</v>
      </c>
      <c r="H1253" s="47" t="n">
        <f aca="false">IF(G1253="","",(Orders!G1253-G1253)/Orders!G1253)</f>
        <v>0.361290322580645</v>
      </c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/>
      <c r="AE1253" s="46"/>
      <c r="AF1253" s="46"/>
      <c r="AG1253" s="46"/>
      <c r="AH1253" s="46"/>
      <c r="AI1253" s="46"/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</row>
    <row r="1254" customFormat="false" ht="15" hidden="false" customHeight="false" outlineLevel="0" collapsed="false">
      <c r="A1254" s="46" t="str">
        <f aca="false">Orders!A1254</f>
        <v>ORD-01253</v>
      </c>
      <c r="B1254" s="46" t="str">
        <f aca="false">PROPER(TRIM(Orders!K1254))</f>
        <v>Bengaluru</v>
      </c>
      <c r="C1254" s="46" t="str">
        <f aca="false">IFERROR(VLOOKUP(Orders!D1254,Products!$A$2:$F$61,3,FALSE()),"Not Found")</f>
        <v>Beauty</v>
      </c>
      <c r="D1254" s="46" t="str">
        <f aca="false">IFERROR(VLOOKUP(Orders!C1254,Customers!$A$2:$F$301,5,FALSE()),"Not Found")</f>
        <v>Corporate</v>
      </c>
      <c r="E1254" s="46" t="n">
        <f aca="false">IFERROR(VLOOKUP(Orders!C1254,Customers!$A$2:$F$301,3,FALSE()),"Not Found")</f>
        <v>43</v>
      </c>
      <c r="F1254" s="46" t="str">
        <f aca="false">IFERROR(VLOOKUP(Orders!E1254,Sales_Reps!$A$2:$E$31,3,FALSE()),"Not Found")</f>
        <v>West</v>
      </c>
      <c r="G1254" s="46" t="n">
        <f aca="false">IFERROR(VLOOKUP(Orders!D1254,Products!$A$2:$F$61,4,FALSE()),"")</f>
        <v>647</v>
      </c>
      <c r="H1254" s="47" t="n">
        <f aca="false">IF(G1254="","",(Orders!G1254-G1254)/Orders!G1254)</f>
        <v>0.57987012987013</v>
      </c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  <c r="AE1254" s="46"/>
      <c r="AF1254" s="46"/>
      <c r="AG1254" s="46"/>
      <c r="AH1254" s="46"/>
      <c r="AI1254" s="46"/>
      <c r="AJ1254" s="46"/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</row>
    <row r="1255" customFormat="false" ht="15" hidden="false" customHeight="false" outlineLevel="0" collapsed="false">
      <c r="A1255" s="46" t="str">
        <f aca="false">Orders!A1255</f>
        <v>ORD-01254</v>
      </c>
      <c r="B1255" s="46" t="str">
        <f aca="false">PROPER(TRIM(Orders!K1255))</f>
        <v>Chennai</v>
      </c>
      <c r="C1255" s="46" t="str">
        <f aca="false">IFERROR(VLOOKUP(Orders!D1255,Products!$A$2:$F$61,3,FALSE()),"Not Found")</f>
        <v>Sports</v>
      </c>
      <c r="D1255" s="46" t="str">
        <f aca="false">IFERROR(VLOOKUP(Orders!C1255,Customers!$A$2:$F$301,5,FALSE()),"Not Found")</f>
        <v>Retail</v>
      </c>
      <c r="E1255" s="46" t="n">
        <f aca="false">IFERROR(VLOOKUP(Orders!C1255,Customers!$A$2:$F$301,3,FALSE()),"Not Found")</f>
        <v>22</v>
      </c>
      <c r="F1255" s="46" t="str">
        <f aca="false">IFERROR(VLOOKUP(Orders!E1255,Sales_Reps!$A$2:$E$31,3,FALSE()),"Not Found")</f>
        <v>East</v>
      </c>
      <c r="G1255" s="46" t="n">
        <f aca="false">IFERROR(VLOOKUP(Orders!D1255,Products!$A$2:$F$61,4,FALSE()),"")</f>
        <v>302</v>
      </c>
      <c r="H1255" s="47" t="n">
        <f aca="false">IF(G1255="","",(Orders!G1255-G1255)/Orders!G1255)</f>
        <v>0.357446808510638</v>
      </c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</row>
    <row r="1256" customFormat="false" ht="15" hidden="false" customHeight="false" outlineLevel="0" collapsed="false">
      <c r="A1256" s="46" t="str">
        <f aca="false">Orders!A1256</f>
        <v>ORD-01255</v>
      </c>
      <c r="B1256" s="46" t="str">
        <f aca="false">PROPER(TRIM(Orders!K1256))</f>
        <v>Delhi</v>
      </c>
      <c r="C1256" s="46" t="str">
        <f aca="false">IFERROR(VLOOKUP(Orders!D1256,Products!$A$2:$F$61,3,FALSE()),"Not Found")</f>
        <v>Beauty</v>
      </c>
      <c r="D1256" s="46" t="str">
        <f aca="false">IFERROR(VLOOKUP(Orders!C1256,Customers!$A$2:$F$301,5,FALSE()),"Not Found")</f>
        <v>Retail</v>
      </c>
      <c r="E1256" s="46" t="n">
        <f aca="false">IFERROR(VLOOKUP(Orders!C1256,Customers!$A$2:$F$301,3,FALSE()),"Not Found")</f>
        <v>47</v>
      </c>
      <c r="F1256" s="46" t="str">
        <f aca="false">IFERROR(VLOOKUP(Orders!E1256,Sales_Reps!$A$2:$E$31,3,FALSE()),"Not Found")</f>
        <v>North</v>
      </c>
      <c r="G1256" s="46" t="n">
        <f aca="false">IFERROR(VLOOKUP(Orders!D1256,Products!$A$2:$F$61,4,FALSE()),"")</f>
        <v>2768</v>
      </c>
      <c r="H1256" s="47" t="n">
        <f aca="false">IF(G1256="","",(Orders!G1256-G1256)/Orders!G1256)</f>
        <v>0.432786885245902</v>
      </c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</row>
    <row r="1257" customFormat="false" ht="15" hidden="false" customHeight="false" outlineLevel="0" collapsed="false">
      <c r="A1257" s="46" t="str">
        <f aca="false">Orders!A1257</f>
        <v>ORD-01256</v>
      </c>
      <c r="B1257" s="46" t="str">
        <f aca="false">PROPER(TRIM(Orders!K1257))</f>
        <v>Mumbai</v>
      </c>
      <c r="C1257" s="46" t="str">
        <f aca="false">IFERROR(VLOOKUP(Orders!D1257,Products!$A$2:$F$61,3,FALSE()),"Not Found")</f>
        <v>Sports</v>
      </c>
      <c r="D1257" s="46" t="str">
        <f aca="false">IFERROR(VLOOKUP(Orders!C1257,Customers!$A$2:$F$301,5,FALSE()),"Not Found")</f>
        <v>SMB</v>
      </c>
      <c r="E1257" s="46" t="n">
        <f aca="false">IFERROR(VLOOKUP(Orders!C1257,Customers!$A$2:$F$301,3,FALSE()),"Not Found")</f>
        <v>53</v>
      </c>
      <c r="F1257" s="46" t="str">
        <f aca="false">IFERROR(VLOOKUP(Orders!E1257,Sales_Reps!$A$2:$E$31,3,FALSE()),"Not Found")</f>
        <v>West</v>
      </c>
      <c r="G1257" s="46" t="n">
        <f aca="false">IFERROR(VLOOKUP(Orders!D1257,Products!$A$2:$F$61,4,FALSE()),"")</f>
        <v>2265</v>
      </c>
      <c r="H1257" s="47" t="n">
        <f aca="false">IF(G1257="","",(Orders!G1257-G1257)/Orders!G1257)</f>
        <v>0.581330868761553</v>
      </c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</row>
    <row r="1258" customFormat="false" ht="15" hidden="false" customHeight="false" outlineLevel="0" collapsed="false">
      <c r="A1258" s="46" t="str">
        <f aca="false">Orders!A1258</f>
        <v>ORD-01257</v>
      </c>
      <c r="B1258" s="46" t="str">
        <f aca="false">PROPER(TRIM(Orders!K1258))</f>
        <v>Chennai</v>
      </c>
      <c r="C1258" s="46" t="str">
        <f aca="false">IFERROR(VLOOKUP(Orders!D1258,Products!$A$2:$F$61,3,FALSE()),"Not Found")</f>
        <v>Electronics</v>
      </c>
      <c r="D1258" s="46" t="str">
        <f aca="false">IFERROR(VLOOKUP(Orders!C1258,Customers!$A$2:$F$301,5,FALSE()),"Not Found")</f>
        <v>SMB</v>
      </c>
      <c r="E1258" s="46" t="n">
        <f aca="false">IFERROR(VLOOKUP(Orders!C1258,Customers!$A$2:$F$301,3,FALSE()),"Not Found")</f>
        <v>55</v>
      </c>
      <c r="F1258" s="46" t="str">
        <f aca="false">IFERROR(VLOOKUP(Orders!E1258,Sales_Reps!$A$2:$E$31,3,FALSE()),"Not Found")</f>
        <v>East</v>
      </c>
      <c r="G1258" s="46" t="n">
        <f aca="false">IFERROR(VLOOKUP(Orders!D1258,Products!$A$2:$F$61,4,FALSE()),"")</f>
        <v>1559</v>
      </c>
      <c r="H1258" s="47" t="n">
        <f aca="false">IF(G1258="","",(Orders!G1258-G1258)/Orders!G1258)</f>
        <v>0.597157622739018</v>
      </c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</row>
    <row r="1259" customFormat="false" ht="15" hidden="false" customHeight="false" outlineLevel="0" collapsed="false">
      <c r="A1259" s="46" t="str">
        <f aca="false">Orders!A1259</f>
        <v>ORD-01258</v>
      </c>
      <c r="B1259" s="46" t="str">
        <f aca="false">PROPER(TRIM(Orders!K1259))</f>
        <v>Delhi</v>
      </c>
      <c r="C1259" s="46" t="str">
        <f aca="false">IFERROR(VLOOKUP(Orders!D1259,Products!$A$2:$F$61,3,FALSE()),"Not Found")</f>
        <v>Electronics</v>
      </c>
      <c r="D1259" s="46" t="str">
        <f aca="false">IFERROR(VLOOKUP(Orders!C1259,Customers!$A$2:$F$301,5,FALSE()),"Not Found")</f>
        <v>SMB</v>
      </c>
      <c r="E1259" s="46" t="n">
        <f aca="false">IFERROR(VLOOKUP(Orders!C1259,Customers!$A$2:$F$301,3,FALSE()),"Not Found")</f>
        <v>26</v>
      </c>
      <c r="F1259" s="46" t="str">
        <f aca="false">IFERROR(VLOOKUP(Orders!E1259,Sales_Reps!$A$2:$E$31,3,FALSE()),"Not Found")</f>
        <v>East</v>
      </c>
      <c r="G1259" s="46" t="n">
        <f aca="false">IFERROR(VLOOKUP(Orders!D1259,Products!$A$2:$F$61,4,FALSE()),"")</f>
        <v>1149</v>
      </c>
      <c r="H1259" s="47" t="n">
        <f aca="false">IF(G1259="","",(Orders!G1259-G1259)/Orders!G1259)</f>
        <v>0.564772727272727</v>
      </c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/>
      <c r="AE1259" s="46"/>
      <c r="AF1259" s="46"/>
      <c r="AG1259" s="46"/>
      <c r="AH1259" s="46"/>
      <c r="AI1259" s="46"/>
      <c r="AJ1259" s="46"/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</row>
    <row r="1260" customFormat="false" ht="15" hidden="false" customHeight="false" outlineLevel="0" collapsed="false">
      <c r="A1260" s="46" t="str">
        <f aca="false">Orders!A1260</f>
        <v>ORD-01259</v>
      </c>
      <c r="B1260" s="46" t="str">
        <f aca="false">PROPER(TRIM(Orders!K1260))</f>
        <v>Chennai</v>
      </c>
      <c r="C1260" s="46" t="str">
        <f aca="false">IFERROR(VLOOKUP(Orders!D1260,Products!$A$2:$F$61,3,FALSE()),"Not Found")</f>
        <v>Home</v>
      </c>
      <c r="D1260" s="46" t="str">
        <f aca="false">IFERROR(VLOOKUP(Orders!C1260,Customers!$A$2:$F$301,5,FALSE()),"Not Found")</f>
        <v>Corporate</v>
      </c>
      <c r="E1260" s="46" t="n">
        <f aca="false">IFERROR(VLOOKUP(Orders!C1260,Customers!$A$2:$F$301,3,FALSE()),"Not Found")</f>
        <v>22</v>
      </c>
      <c r="F1260" s="46" t="str">
        <f aca="false">IFERROR(VLOOKUP(Orders!E1260,Sales_Reps!$A$2:$E$31,3,FALSE()),"Not Found")</f>
        <v>North</v>
      </c>
      <c r="G1260" s="46" t="n">
        <f aca="false">IFERROR(VLOOKUP(Orders!D1260,Products!$A$2:$F$61,4,FALSE()),"")</f>
        <v>2459</v>
      </c>
      <c r="H1260" s="47" t="n">
        <f aca="false">IF(G1260="","",(Orders!G1260-G1260)/Orders!G1260)</f>
        <v>0.515944881889764</v>
      </c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46"/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</row>
    <row r="1261" customFormat="false" ht="15" hidden="false" customHeight="false" outlineLevel="0" collapsed="false">
      <c r="A1261" s="46" t="str">
        <f aca="false">Orders!A1261</f>
        <v>ORD-01260</v>
      </c>
      <c r="B1261" s="46" t="str">
        <f aca="false">PROPER(TRIM(Orders!K1261))</f>
        <v>Chennai</v>
      </c>
      <c r="C1261" s="46" t="str">
        <f aca="false">IFERROR(VLOOKUP(Orders!D1261,Products!$A$2:$F$61,3,FALSE()),"Not Found")</f>
        <v>Home</v>
      </c>
      <c r="D1261" s="46" t="str">
        <f aca="false">IFERROR(VLOOKUP(Orders!C1261,Customers!$A$2:$F$301,5,FALSE()),"Not Found")</f>
        <v>SMB</v>
      </c>
      <c r="E1261" s="46" t="n">
        <f aca="false">IFERROR(VLOOKUP(Orders!C1261,Customers!$A$2:$F$301,3,FALSE()),"Not Found")</f>
        <v>46</v>
      </c>
      <c r="F1261" s="46" t="str">
        <f aca="false">IFERROR(VLOOKUP(Orders!E1261,Sales_Reps!$A$2:$E$31,3,FALSE()),"Not Found")</f>
        <v>East</v>
      </c>
      <c r="G1261" s="46" t="n">
        <f aca="false">IFERROR(VLOOKUP(Orders!D1261,Products!$A$2:$F$61,4,FALSE()),"")</f>
        <v>1556</v>
      </c>
      <c r="H1261" s="47" t="n">
        <f aca="false">IF(G1261="","",(Orders!G1261-G1261)/Orders!G1261)</f>
        <v>0.521230769230769</v>
      </c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/>
      <c r="AE1261" s="46"/>
      <c r="AF1261" s="46"/>
      <c r="AG1261" s="46"/>
      <c r="AH1261" s="46"/>
      <c r="AI1261" s="46"/>
      <c r="AJ1261" s="46"/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</row>
    <row r="1262" customFormat="false" ht="15" hidden="false" customHeight="false" outlineLevel="0" collapsed="false">
      <c r="A1262" s="46" t="str">
        <f aca="false">Orders!A1262</f>
        <v>ORD-01261</v>
      </c>
      <c r="B1262" s="46" t="str">
        <f aca="false">PROPER(TRIM(Orders!K1262))</f>
        <v>Chennai</v>
      </c>
      <c r="C1262" s="46" t="str">
        <f aca="false">IFERROR(VLOOKUP(Orders!D1262,Products!$A$2:$F$61,3,FALSE()),"Not Found")</f>
        <v>Electronics</v>
      </c>
      <c r="D1262" s="46" t="str">
        <f aca="false">IFERROR(VLOOKUP(Orders!C1262,Customers!$A$2:$F$301,5,FALSE()),"Not Found")</f>
        <v>Retail</v>
      </c>
      <c r="E1262" s="46" t="n">
        <f aca="false">IFERROR(VLOOKUP(Orders!C1262,Customers!$A$2:$F$301,3,FALSE()),"Not Found")</f>
        <v>49</v>
      </c>
      <c r="F1262" s="46" t="str">
        <f aca="false">IFERROR(VLOOKUP(Orders!E1262,Sales_Reps!$A$2:$E$31,3,FALSE()),"Not Found")</f>
        <v>North</v>
      </c>
      <c r="G1262" s="46" t="n">
        <f aca="false">IFERROR(VLOOKUP(Orders!D1262,Products!$A$2:$F$61,4,FALSE()),"")</f>
        <v>2865</v>
      </c>
      <c r="H1262" s="47" t="n">
        <f aca="false">IF(G1262="","",(Orders!G1262-G1262)/Orders!G1262)</f>
        <v>0.278337531486146</v>
      </c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</row>
    <row r="1263" customFormat="false" ht="15" hidden="false" customHeight="false" outlineLevel="0" collapsed="false">
      <c r="A1263" s="46" t="str">
        <f aca="false">Orders!A1263</f>
        <v>ORD-01262</v>
      </c>
      <c r="B1263" s="46" t="str">
        <f aca="false">PROPER(TRIM(Orders!K1263))</f>
        <v>Pune</v>
      </c>
      <c r="C1263" s="46" t="str">
        <f aca="false">IFERROR(VLOOKUP(Orders!D1263,Products!$A$2:$F$61,3,FALSE()),"Not Found")</f>
        <v>Home</v>
      </c>
      <c r="D1263" s="46" t="str">
        <f aca="false">IFERROR(VLOOKUP(Orders!C1263,Customers!$A$2:$F$301,5,FALSE()),"Not Found")</f>
        <v>Retail</v>
      </c>
      <c r="E1263" s="46" t="n">
        <f aca="false">IFERROR(VLOOKUP(Orders!C1263,Customers!$A$2:$F$301,3,FALSE()),"Not Found")</f>
        <v>29</v>
      </c>
      <c r="F1263" s="46" t="str">
        <f aca="false">IFERROR(VLOOKUP(Orders!E1263,Sales_Reps!$A$2:$E$31,3,FALSE()),"Not Found")</f>
        <v>East</v>
      </c>
      <c r="G1263" s="46" t="n">
        <f aca="false">IFERROR(VLOOKUP(Orders!D1263,Products!$A$2:$F$61,4,FALSE()),"")</f>
        <v>329</v>
      </c>
      <c r="H1263" s="47" t="n">
        <f aca="false">IF(G1263="","",(Orders!G1263-G1263)/Orders!G1263)</f>
        <v>0.501515151515152</v>
      </c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</row>
    <row r="1264" customFormat="false" ht="15" hidden="false" customHeight="false" outlineLevel="0" collapsed="false">
      <c r="A1264" s="46" t="str">
        <f aca="false">Orders!A1264</f>
        <v>ORD-01263</v>
      </c>
      <c r="B1264" s="46" t="str">
        <f aca="false">PROPER(TRIM(Orders!K1264))</f>
        <v>Pune</v>
      </c>
      <c r="C1264" s="46" t="str">
        <f aca="false">IFERROR(VLOOKUP(Orders!D1264,Products!$A$2:$F$61,3,FALSE()),"Not Found")</f>
        <v>Electronics</v>
      </c>
      <c r="D1264" s="46" t="str">
        <f aca="false">IFERROR(VLOOKUP(Orders!C1264,Customers!$A$2:$F$301,5,FALSE()),"Not Found")</f>
        <v>Retail</v>
      </c>
      <c r="E1264" s="46" t="n">
        <f aca="false">IFERROR(VLOOKUP(Orders!C1264,Customers!$A$2:$F$301,3,FALSE()),"Not Found")</f>
        <v>42</v>
      </c>
      <c r="F1264" s="46" t="str">
        <f aca="false">IFERROR(VLOOKUP(Orders!E1264,Sales_Reps!$A$2:$E$31,3,FALSE()),"Not Found")</f>
        <v>East</v>
      </c>
      <c r="G1264" s="46" t="n">
        <f aca="false">IFERROR(VLOOKUP(Orders!D1264,Products!$A$2:$F$61,4,FALSE()),"")</f>
        <v>1052</v>
      </c>
      <c r="H1264" s="47" t="n">
        <f aca="false">IF(G1264="","",(Orders!G1264-G1264)/Orders!G1264)</f>
        <v>0.595384615384615</v>
      </c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</row>
    <row r="1265" customFormat="false" ht="15" hidden="false" customHeight="false" outlineLevel="0" collapsed="false">
      <c r="A1265" s="46" t="str">
        <f aca="false">Orders!A1265</f>
        <v>ORD-01264</v>
      </c>
      <c r="B1265" s="46" t="str">
        <f aca="false">PROPER(TRIM(Orders!K1265))</f>
        <v>Pune</v>
      </c>
      <c r="C1265" s="46" t="str">
        <f aca="false">IFERROR(VLOOKUP(Orders!D1265,Products!$A$2:$F$61,3,FALSE()),"Not Found")</f>
        <v>Home</v>
      </c>
      <c r="D1265" s="46" t="str">
        <f aca="false">IFERROR(VLOOKUP(Orders!C1265,Customers!$A$2:$F$301,5,FALSE()),"Not Found")</f>
        <v>Corporate</v>
      </c>
      <c r="E1265" s="46" t="n">
        <f aca="false">IFERROR(VLOOKUP(Orders!C1265,Customers!$A$2:$F$301,3,FALSE()),"Not Found")</f>
        <v>40</v>
      </c>
      <c r="F1265" s="46" t="str">
        <f aca="false">IFERROR(VLOOKUP(Orders!E1265,Sales_Reps!$A$2:$E$31,3,FALSE()),"Not Found")</f>
        <v>South</v>
      </c>
      <c r="G1265" s="46" t="n">
        <f aca="false">IFERROR(VLOOKUP(Orders!D1265,Products!$A$2:$F$61,4,FALSE()),"")</f>
        <v>329</v>
      </c>
      <c r="H1265" s="47" t="n">
        <f aca="false">IF(G1265="","",(Orders!G1265-G1265)/Orders!G1265)</f>
        <v>0.501515151515152</v>
      </c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</row>
    <row r="1266" customFormat="false" ht="15" hidden="false" customHeight="false" outlineLevel="0" collapsed="false">
      <c r="A1266" s="46" t="str">
        <f aca="false">Orders!A1266</f>
        <v>ORD-01265</v>
      </c>
      <c r="B1266" s="46" t="str">
        <f aca="false">PROPER(TRIM(Orders!K1266))</f>
        <v>Delhi</v>
      </c>
      <c r="C1266" s="46" t="str">
        <f aca="false">IFERROR(VLOOKUP(Orders!D1266,Products!$A$2:$F$61,3,FALSE()),"Not Found")</f>
        <v>Grocery</v>
      </c>
      <c r="D1266" s="46" t="str">
        <f aca="false">IFERROR(VLOOKUP(Orders!C1266,Customers!$A$2:$F$301,5,FALSE()),"Not Found")</f>
        <v>SMB</v>
      </c>
      <c r="E1266" s="46" t="n">
        <f aca="false">IFERROR(VLOOKUP(Orders!C1266,Customers!$A$2:$F$301,3,FALSE()),"Not Found")</f>
        <v>55</v>
      </c>
      <c r="F1266" s="46" t="str">
        <f aca="false">IFERROR(VLOOKUP(Orders!E1266,Sales_Reps!$A$2:$E$31,3,FALSE()),"Not Found")</f>
        <v>East</v>
      </c>
      <c r="G1266" s="46" t="n">
        <f aca="false">IFERROR(VLOOKUP(Orders!D1266,Products!$A$2:$F$61,4,FALSE()),"")</f>
        <v>1182</v>
      </c>
      <c r="H1266" s="47" t="n">
        <f aca="false">IF(G1266="","",(Orders!G1266-G1266)/Orders!G1266)</f>
        <v>0.503361344537815</v>
      </c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  <c r="AE1266" s="46"/>
      <c r="AF1266" s="46"/>
      <c r="AG1266" s="46"/>
      <c r="AH1266" s="46"/>
      <c r="AI1266" s="46"/>
      <c r="AJ1266" s="46"/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</row>
    <row r="1267" customFormat="false" ht="15" hidden="false" customHeight="false" outlineLevel="0" collapsed="false">
      <c r="A1267" s="46" t="str">
        <f aca="false">Orders!A1267</f>
        <v>ORD-01266</v>
      </c>
      <c r="B1267" s="46" t="str">
        <f aca="false">PROPER(TRIM(Orders!K1267))</f>
        <v>Chennai</v>
      </c>
      <c r="C1267" s="46" t="str">
        <f aca="false">IFERROR(VLOOKUP(Orders!D1267,Products!$A$2:$F$61,3,FALSE()),"Not Found")</f>
        <v>Beauty</v>
      </c>
      <c r="D1267" s="46" t="str">
        <f aca="false">IFERROR(VLOOKUP(Orders!C1267,Customers!$A$2:$F$301,5,FALSE()),"Not Found")</f>
        <v>Retail</v>
      </c>
      <c r="E1267" s="46" t="n">
        <f aca="false">IFERROR(VLOOKUP(Orders!C1267,Customers!$A$2:$F$301,3,FALSE()),"Not Found")</f>
        <v>28</v>
      </c>
      <c r="F1267" s="46" t="str">
        <f aca="false">IFERROR(VLOOKUP(Orders!E1267,Sales_Reps!$A$2:$E$31,3,FALSE()),"Not Found")</f>
        <v>South</v>
      </c>
      <c r="G1267" s="46" t="n">
        <f aca="false">IFERROR(VLOOKUP(Orders!D1267,Products!$A$2:$F$61,4,FALSE()),"")</f>
        <v>1222</v>
      </c>
      <c r="H1267" s="47" t="n">
        <f aca="false">IF(G1267="","",(Orders!G1267-G1267)/Orders!G1267)</f>
        <v>0.259393939393939</v>
      </c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/>
      <c r="AE1267" s="46"/>
      <c r="AF1267" s="46"/>
      <c r="AG1267" s="46"/>
      <c r="AH1267" s="46"/>
      <c r="AI1267" s="46"/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</row>
    <row r="1268" customFormat="false" ht="15" hidden="false" customHeight="false" outlineLevel="0" collapsed="false">
      <c r="A1268" s="46" t="str">
        <f aca="false">Orders!A1268</f>
        <v>ORD-01267</v>
      </c>
      <c r="B1268" s="46" t="str">
        <f aca="false">PROPER(TRIM(Orders!K1268))</f>
        <v>Mumbai</v>
      </c>
      <c r="C1268" s="46" t="str">
        <f aca="false">IFERROR(VLOOKUP(Orders!D1268,Products!$A$2:$F$61,3,FALSE()),"Not Found")</f>
        <v>Electronics</v>
      </c>
      <c r="D1268" s="46" t="str">
        <f aca="false">IFERROR(VLOOKUP(Orders!C1268,Customers!$A$2:$F$301,5,FALSE()),"Not Found")</f>
        <v>Not Found</v>
      </c>
      <c r="E1268" s="46" t="str">
        <f aca="false">IFERROR(VLOOKUP(Orders!C1268,Customers!$A$2:$F$301,3,FALSE()),"Not Found")</f>
        <v>Not Found</v>
      </c>
      <c r="F1268" s="46" t="str">
        <f aca="false">IFERROR(VLOOKUP(Orders!E1268,Sales_Reps!$A$2:$E$31,3,FALSE()),"Not Found")</f>
        <v>North</v>
      </c>
      <c r="G1268" s="46" t="n">
        <f aca="false">IFERROR(VLOOKUP(Orders!D1268,Products!$A$2:$F$61,4,FALSE()),"")</f>
        <v>1149</v>
      </c>
      <c r="H1268" s="47" t="n">
        <f aca="false">IF(G1268="","",(Orders!G1268-G1268)/Orders!G1268)</f>
        <v>0.564772727272727</v>
      </c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  <c r="AE1268" s="46"/>
      <c r="AF1268" s="46"/>
      <c r="AG1268" s="46"/>
      <c r="AH1268" s="46"/>
      <c r="AI1268" s="46"/>
      <c r="AJ1268" s="46"/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</row>
    <row r="1269" customFormat="false" ht="15" hidden="false" customHeight="false" outlineLevel="0" collapsed="false">
      <c r="A1269" s="46" t="str">
        <f aca="false">Orders!A1269</f>
        <v>ORD-01268</v>
      </c>
      <c r="B1269" s="46" t="str">
        <f aca="false">PROPER(TRIM(Orders!K1269))</f>
        <v>Mumbai</v>
      </c>
      <c r="C1269" s="46" t="str">
        <f aca="false">IFERROR(VLOOKUP(Orders!D1269,Products!$A$2:$F$61,3,FALSE()),"Not Found")</f>
        <v>Grocery</v>
      </c>
      <c r="D1269" s="46" t="str">
        <f aca="false">IFERROR(VLOOKUP(Orders!C1269,Customers!$A$2:$F$301,5,FALSE()),"Not Found")</f>
        <v>Retail</v>
      </c>
      <c r="E1269" s="46" t="n">
        <f aca="false">IFERROR(VLOOKUP(Orders!C1269,Customers!$A$2:$F$301,3,FALSE()),"Not Found")</f>
        <v>39</v>
      </c>
      <c r="F1269" s="46" t="str">
        <f aca="false">IFERROR(VLOOKUP(Orders!E1269,Sales_Reps!$A$2:$E$31,3,FALSE()),"Not Found")</f>
        <v>South</v>
      </c>
      <c r="G1269" s="46" t="n">
        <f aca="false">IFERROR(VLOOKUP(Orders!D1269,Products!$A$2:$F$61,4,FALSE()),"")</f>
        <v>1182</v>
      </c>
      <c r="H1269" s="47" t="n">
        <f aca="false">IF(G1269="","",(Orders!G1269-G1269)/Orders!G1269)</f>
        <v>0.503361344537815</v>
      </c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</row>
    <row r="1270" customFormat="false" ht="15" hidden="false" customHeight="false" outlineLevel="0" collapsed="false">
      <c r="A1270" s="46" t="str">
        <f aca="false">Orders!A1270</f>
        <v>ORD-01269</v>
      </c>
      <c r="B1270" s="46" t="str">
        <f aca="false">PROPER(TRIM(Orders!K1270))</f>
        <v>Delhi</v>
      </c>
      <c r="C1270" s="46" t="str">
        <f aca="false">IFERROR(VLOOKUP(Orders!D1270,Products!$A$2:$F$61,3,FALSE()),"Not Found")</f>
        <v>Grocery</v>
      </c>
      <c r="D1270" s="46" t="str">
        <f aca="false">IFERROR(VLOOKUP(Orders!C1270,Customers!$A$2:$F$301,5,FALSE()),"Not Found")</f>
        <v>SMB</v>
      </c>
      <c r="E1270" s="46" t="n">
        <f aca="false">IFERROR(VLOOKUP(Orders!C1270,Customers!$A$2:$F$301,3,FALSE()),"Not Found")</f>
        <v>55</v>
      </c>
      <c r="F1270" s="46" t="str">
        <f aca="false">IFERROR(VLOOKUP(Orders!E1270,Sales_Reps!$A$2:$E$31,3,FALSE()),"Not Found")</f>
        <v>North</v>
      </c>
      <c r="G1270" s="46" t="n">
        <f aca="false">IFERROR(VLOOKUP(Orders!D1270,Products!$A$2:$F$61,4,FALSE()),"")</f>
        <v>1010</v>
      </c>
      <c r="H1270" s="47" t="n">
        <f aca="false">IF(G1270="","",(Orders!G1270-G1270)/Orders!G1270)</f>
        <v>0.542986425339367</v>
      </c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</row>
    <row r="1271" customFormat="false" ht="15" hidden="false" customHeight="false" outlineLevel="0" collapsed="false">
      <c r="A1271" s="46" t="str">
        <f aca="false">Orders!A1271</f>
        <v>ORD-01270</v>
      </c>
      <c r="B1271" s="46" t="str">
        <f aca="false">PROPER(TRIM(Orders!K1271))</f>
        <v>Bengaluru</v>
      </c>
      <c r="C1271" s="46" t="str">
        <f aca="false">IFERROR(VLOOKUP(Orders!D1271,Products!$A$2:$F$61,3,FALSE()),"Not Found")</f>
        <v>Beauty</v>
      </c>
      <c r="D1271" s="46" t="str">
        <f aca="false">IFERROR(VLOOKUP(Orders!C1271,Customers!$A$2:$F$301,5,FALSE()),"Not Found")</f>
        <v>Retail</v>
      </c>
      <c r="E1271" s="46" t="n">
        <f aca="false">IFERROR(VLOOKUP(Orders!C1271,Customers!$A$2:$F$301,3,FALSE()),"Not Found")</f>
        <v>52</v>
      </c>
      <c r="F1271" s="46" t="str">
        <f aca="false">IFERROR(VLOOKUP(Orders!E1271,Sales_Reps!$A$2:$E$31,3,FALSE()),"Not Found")</f>
        <v>East</v>
      </c>
      <c r="G1271" s="46" t="n">
        <f aca="false">IFERROR(VLOOKUP(Orders!D1271,Products!$A$2:$F$61,4,FALSE()),"")</f>
        <v>2617</v>
      </c>
      <c r="H1271" s="47" t="n">
        <f aca="false">IF(G1271="","",(Orders!G1271-G1271)/Orders!G1271)</f>
        <v>0.569572368421053</v>
      </c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</row>
    <row r="1272" customFormat="false" ht="15" hidden="false" customHeight="false" outlineLevel="0" collapsed="false">
      <c r="A1272" s="46" t="str">
        <f aca="false">Orders!A1272</f>
        <v>ORD-01271</v>
      </c>
      <c r="B1272" s="46" t="str">
        <f aca="false">PROPER(TRIM(Orders!K1272))</f>
        <v>Hyderabad</v>
      </c>
      <c r="C1272" s="46" t="str">
        <f aca="false">IFERROR(VLOOKUP(Orders!D1272,Products!$A$2:$F$61,3,FALSE()),"Not Found")</f>
        <v>Sports</v>
      </c>
      <c r="D1272" s="46" t="str">
        <f aca="false">IFERROR(VLOOKUP(Orders!C1272,Customers!$A$2:$F$301,5,FALSE()),"Not Found")</f>
        <v>Retail</v>
      </c>
      <c r="E1272" s="46" t="n">
        <f aca="false">IFERROR(VLOOKUP(Orders!C1272,Customers!$A$2:$F$301,3,FALSE()),"Not Found")</f>
        <v>65</v>
      </c>
      <c r="F1272" s="46" t="str">
        <f aca="false">IFERROR(VLOOKUP(Orders!E1272,Sales_Reps!$A$2:$E$31,3,FALSE()),"Not Found")</f>
        <v>East</v>
      </c>
      <c r="G1272" s="46" t="n">
        <f aca="false">IFERROR(VLOOKUP(Orders!D1272,Products!$A$2:$F$61,4,FALSE()),"")</f>
        <v>516</v>
      </c>
      <c r="H1272" s="47" t="n">
        <f aca="false">IF(G1272="","",(Orders!G1272-G1272)/Orders!G1272)</f>
        <v>0.489108910891089</v>
      </c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</row>
    <row r="1273" customFormat="false" ht="15" hidden="false" customHeight="false" outlineLevel="0" collapsed="false">
      <c r="A1273" s="46" t="str">
        <f aca="false">Orders!A1273</f>
        <v>ORD-01272</v>
      </c>
      <c r="B1273" s="46" t="str">
        <f aca="false">PROPER(TRIM(Orders!K1273))</f>
        <v>Pune</v>
      </c>
      <c r="C1273" s="46" t="str">
        <f aca="false">IFERROR(VLOOKUP(Orders!D1273,Products!$A$2:$F$61,3,FALSE()),"Not Found")</f>
        <v>Grocery</v>
      </c>
      <c r="D1273" s="46" t="str">
        <f aca="false">IFERROR(VLOOKUP(Orders!C1273,Customers!$A$2:$F$301,5,FALSE()),"Not Found")</f>
        <v>Retail</v>
      </c>
      <c r="E1273" s="46" t="n">
        <f aca="false">IFERROR(VLOOKUP(Orders!C1273,Customers!$A$2:$F$301,3,FALSE()),"Not Found")</f>
        <v>65</v>
      </c>
      <c r="F1273" s="46" t="str">
        <f aca="false">IFERROR(VLOOKUP(Orders!E1273,Sales_Reps!$A$2:$E$31,3,FALSE()),"Not Found")</f>
        <v>South</v>
      </c>
      <c r="G1273" s="46" t="n">
        <f aca="false">IFERROR(VLOOKUP(Orders!D1273,Products!$A$2:$F$61,4,FALSE()),"")</f>
        <v>2214</v>
      </c>
      <c r="H1273" s="47" t="n">
        <f aca="false">IF(G1273="","",(Orders!G1273-G1273)/Orders!G1273)</f>
        <v>0.395081967213115</v>
      </c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</row>
    <row r="1274" customFormat="false" ht="15" hidden="false" customHeight="false" outlineLevel="0" collapsed="false">
      <c r="A1274" s="46" t="str">
        <f aca="false">Orders!A1274</f>
        <v>ORD-01273</v>
      </c>
      <c r="B1274" s="46" t="str">
        <f aca="false">PROPER(TRIM(Orders!K1274))</f>
        <v>Bengaluru</v>
      </c>
      <c r="C1274" s="46" t="str">
        <f aca="false">IFERROR(VLOOKUP(Orders!D1274,Products!$A$2:$F$61,3,FALSE()),"Not Found")</f>
        <v>Home</v>
      </c>
      <c r="D1274" s="46" t="str">
        <f aca="false">IFERROR(VLOOKUP(Orders!C1274,Customers!$A$2:$F$301,5,FALSE()),"Not Found")</f>
        <v>SMB</v>
      </c>
      <c r="E1274" s="46" t="n">
        <f aca="false">IFERROR(VLOOKUP(Orders!C1274,Customers!$A$2:$F$301,3,FALSE()),"Not Found")</f>
        <v>49</v>
      </c>
      <c r="F1274" s="46" t="str">
        <f aca="false">IFERROR(VLOOKUP(Orders!E1274,Sales_Reps!$A$2:$E$31,3,FALSE()),"Not Found")</f>
        <v>West</v>
      </c>
      <c r="G1274" s="46" t="n">
        <f aca="false">IFERROR(VLOOKUP(Orders!D1274,Products!$A$2:$F$61,4,FALSE()),"")</f>
        <v>1850</v>
      </c>
      <c r="H1274" s="47" t="n">
        <f aca="false">IF(G1274="","",(Orders!G1274-G1274)/Orders!G1274)</f>
        <v>0.598698481561822</v>
      </c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</row>
    <row r="1275" customFormat="false" ht="15" hidden="false" customHeight="false" outlineLevel="0" collapsed="false">
      <c r="A1275" s="46" t="str">
        <f aca="false">Orders!A1275</f>
        <v>ORD-01274</v>
      </c>
      <c r="B1275" s="46" t="str">
        <f aca="false">PROPER(TRIM(Orders!K1275))</f>
        <v>Bengaluru</v>
      </c>
      <c r="C1275" s="46" t="str">
        <f aca="false">IFERROR(VLOOKUP(Orders!D1275,Products!$A$2:$F$61,3,FALSE()),"Not Found")</f>
        <v>Beauty</v>
      </c>
      <c r="D1275" s="46" t="str">
        <f aca="false">IFERROR(VLOOKUP(Orders!C1275,Customers!$A$2:$F$301,5,FALSE()),"Not Found")</f>
        <v>SMB</v>
      </c>
      <c r="E1275" s="46" t="n">
        <f aca="false">IFERROR(VLOOKUP(Orders!C1275,Customers!$A$2:$F$301,3,FALSE()),"Not Found")</f>
        <v>49</v>
      </c>
      <c r="F1275" s="46" t="str">
        <f aca="false">IFERROR(VLOOKUP(Orders!E1275,Sales_Reps!$A$2:$E$31,3,FALSE()),"Not Found")</f>
        <v>North</v>
      </c>
      <c r="G1275" s="46" t="n">
        <f aca="false">IFERROR(VLOOKUP(Orders!D1275,Products!$A$2:$F$61,4,FALSE()),"")</f>
        <v>2237</v>
      </c>
      <c r="H1275" s="47" t="n">
        <f aca="false">IF(G1275="","",(Orders!G1275-G1275)/Orders!G1275)</f>
        <v>0.561372549019608</v>
      </c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</row>
    <row r="1276" customFormat="false" ht="15" hidden="false" customHeight="false" outlineLevel="0" collapsed="false">
      <c r="A1276" s="46" t="str">
        <f aca="false">Orders!A1276</f>
        <v>ORD-01275</v>
      </c>
      <c r="B1276" s="46" t="str">
        <f aca="false">PROPER(TRIM(Orders!K1276))</f>
        <v>Bengaluru</v>
      </c>
      <c r="C1276" s="46" t="str">
        <f aca="false">IFERROR(VLOOKUP(Orders!D1276,Products!$A$2:$F$61,3,FALSE()),"Not Found")</f>
        <v>Beauty</v>
      </c>
      <c r="D1276" s="46" t="str">
        <f aca="false">IFERROR(VLOOKUP(Orders!C1276,Customers!$A$2:$F$301,5,FALSE()),"Not Found")</f>
        <v>Retail</v>
      </c>
      <c r="E1276" s="46" t="n">
        <f aca="false">IFERROR(VLOOKUP(Orders!C1276,Customers!$A$2:$F$301,3,FALSE()),"Not Found")</f>
        <v>59</v>
      </c>
      <c r="F1276" s="46" t="str">
        <f aca="false">IFERROR(VLOOKUP(Orders!E1276,Sales_Reps!$A$2:$E$31,3,FALSE()),"Not Found")</f>
        <v>East</v>
      </c>
      <c r="G1276" s="46" t="n">
        <f aca="false">IFERROR(VLOOKUP(Orders!D1276,Products!$A$2:$F$61,4,FALSE()),"")</f>
        <v>1626</v>
      </c>
      <c r="H1276" s="47" t="n">
        <f aca="false">IF(G1276="","",(Orders!G1276-G1276)/Orders!G1276)</f>
        <v>0.46158940397351</v>
      </c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</row>
    <row r="1277" customFormat="false" ht="15" hidden="false" customHeight="false" outlineLevel="0" collapsed="false">
      <c r="A1277" s="46" t="str">
        <f aca="false">Orders!A1277</f>
        <v>ORD-01276</v>
      </c>
      <c r="B1277" s="46" t="str">
        <f aca="false">PROPER(TRIM(Orders!K1277))</f>
        <v>Mumbai</v>
      </c>
      <c r="C1277" s="46" t="str">
        <f aca="false">IFERROR(VLOOKUP(Orders!D1277,Products!$A$2:$F$61,3,FALSE()),"Not Found")</f>
        <v>Sports</v>
      </c>
      <c r="D1277" s="46" t="str">
        <f aca="false">IFERROR(VLOOKUP(Orders!C1277,Customers!$A$2:$F$301,5,FALSE()),"Not Found")</f>
        <v>Retail</v>
      </c>
      <c r="E1277" s="46" t="n">
        <f aca="false">IFERROR(VLOOKUP(Orders!C1277,Customers!$A$2:$F$301,3,FALSE()),"Not Found")</f>
        <v>52</v>
      </c>
      <c r="F1277" s="46" t="str">
        <f aca="false">IFERROR(VLOOKUP(Orders!E1277,Sales_Reps!$A$2:$E$31,3,FALSE()),"Not Found")</f>
        <v>South</v>
      </c>
      <c r="G1277" s="46" t="n">
        <f aca="false">IFERROR(VLOOKUP(Orders!D1277,Products!$A$2:$F$61,4,FALSE()),"")</f>
        <v>1860</v>
      </c>
      <c r="H1277" s="47" t="n">
        <f aca="false">IF(G1277="","",(Orders!G1277-G1277)/Orders!G1277)</f>
        <v>0.507936507936508</v>
      </c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</row>
    <row r="1278" customFormat="false" ht="15" hidden="false" customHeight="false" outlineLevel="0" collapsed="false">
      <c r="A1278" s="46" t="str">
        <f aca="false">Orders!A1278</f>
        <v>ORD-01277</v>
      </c>
      <c r="B1278" s="46" t="str">
        <f aca="false">PROPER(TRIM(Orders!K1278))</f>
        <v>Pune</v>
      </c>
      <c r="C1278" s="46" t="str">
        <f aca="false">IFERROR(VLOOKUP(Orders!D1278,Products!$A$2:$F$61,3,FALSE()),"Not Found")</f>
        <v>Grocery</v>
      </c>
      <c r="D1278" s="46" t="str">
        <f aca="false">IFERROR(VLOOKUP(Orders!C1278,Customers!$A$2:$F$301,5,FALSE()),"Not Found")</f>
        <v>Corporate</v>
      </c>
      <c r="E1278" s="46" t="n">
        <f aca="false">IFERROR(VLOOKUP(Orders!C1278,Customers!$A$2:$F$301,3,FALSE()),"Not Found")</f>
        <v>47</v>
      </c>
      <c r="F1278" s="46" t="str">
        <f aca="false">IFERROR(VLOOKUP(Orders!E1278,Sales_Reps!$A$2:$E$31,3,FALSE()),"Not Found")</f>
        <v>North</v>
      </c>
      <c r="G1278" s="46" t="n">
        <f aca="false">IFERROR(VLOOKUP(Orders!D1278,Products!$A$2:$F$61,4,FALSE()),"")</f>
        <v>1010</v>
      </c>
      <c r="H1278" s="47" t="n">
        <f aca="false">IF(G1278="","",(Orders!G1278-G1278)/Orders!G1278)</f>
        <v>0.542986425339367</v>
      </c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  <c r="AE1278" s="46"/>
      <c r="AF1278" s="46"/>
      <c r="AG1278" s="46"/>
      <c r="AH1278" s="46"/>
      <c r="AI1278" s="46"/>
      <c r="AJ1278" s="46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</row>
    <row r="1279" customFormat="false" ht="15" hidden="false" customHeight="false" outlineLevel="0" collapsed="false">
      <c r="A1279" s="46" t="str">
        <f aca="false">Orders!A1279</f>
        <v>ORD-01278</v>
      </c>
      <c r="B1279" s="46" t="str">
        <f aca="false">PROPER(TRIM(Orders!K1279))</f>
        <v>Pune</v>
      </c>
      <c r="C1279" s="46" t="str">
        <f aca="false">IFERROR(VLOOKUP(Orders!D1279,Products!$A$2:$F$61,3,FALSE()),"Not Found")</f>
        <v>Grocery</v>
      </c>
      <c r="D1279" s="46" t="str">
        <f aca="false">IFERROR(VLOOKUP(Orders!C1279,Customers!$A$2:$F$301,5,FALSE()),"Not Found")</f>
        <v>Retail</v>
      </c>
      <c r="E1279" s="46" t="n">
        <f aca="false">IFERROR(VLOOKUP(Orders!C1279,Customers!$A$2:$F$301,3,FALSE()),"Not Found")</f>
        <v>42</v>
      </c>
      <c r="F1279" s="46" t="str">
        <f aca="false">IFERROR(VLOOKUP(Orders!E1279,Sales_Reps!$A$2:$E$31,3,FALSE()),"Not Found")</f>
        <v>South</v>
      </c>
      <c r="G1279" s="46" t="n">
        <f aca="false">IFERROR(VLOOKUP(Orders!D1279,Products!$A$2:$F$61,4,FALSE()),"")</f>
        <v>1010</v>
      </c>
      <c r="H1279" s="47" t="n">
        <f aca="false">IF(G1279="","",(Orders!G1279-G1279)/Orders!G1279)</f>
        <v>0.542986425339367</v>
      </c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</row>
    <row r="1280" customFormat="false" ht="15" hidden="false" customHeight="false" outlineLevel="0" collapsed="false">
      <c r="A1280" s="46" t="str">
        <f aca="false">Orders!A1280</f>
        <v>ORD-01279</v>
      </c>
      <c r="B1280" s="46" t="str">
        <f aca="false">PROPER(TRIM(Orders!K1280))</f>
        <v>Pune</v>
      </c>
      <c r="C1280" s="46" t="str">
        <f aca="false">IFERROR(VLOOKUP(Orders!D1280,Products!$A$2:$F$61,3,FALSE()),"Not Found")</f>
        <v>Beauty</v>
      </c>
      <c r="D1280" s="46" t="str">
        <f aca="false">IFERROR(VLOOKUP(Orders!C1280,Customers!$A$2:$F$301,5,FALSE()),"Not Found")</f>
        <v>Corporate</v>
      </c>
      <c r="E1280" s="46" t="n">
        <f aca="false">IFERROR(VLOOKUP(Orders!C1280,Customers!$A$2:$F$301,3,FALSE()),"Not Found")</f>
        <v>37</v>
      </c>
      <c r="F1280" s="46" t="str">
        <f aca="false">IFERROR(VLOOKUP(Orders!E1280,Sales_Reps!$A$2:$E$31,3,FALSE()),"Not Found")</f>
        <v>South</v>
      </c>
      <c r="G1280" s="46" t="n">
        <f aca="false">IFERROR(VLOOKUP(Orders!D1280,Products!$A$2:$F$61,4,FALSE()),"")</f>
        <v>1222</v>
      </c>
      <c r="H1280" s="47" t="n">
        <f aca="false">IF(G1280="","",(Orders!G1280-G1280)/Orders!G1280)</f>
        <v>0.259393939393939</v>
      </c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  <c r="AE1280" s="46"/>
      <c r="AF1280" s="46"/>
      <c r="AG1280" s="46"/>
      <c r="AH1280" s="46"/>
      <c r="AI1280" s="46"/>
      <c r="AJ1280" s="46"/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</row>
    <row r="1281" customFormat="false" ht="15" hidden="false" customHeight="false" outlineLevel="0" collapsed="false">
      <c r="A1281" s="46" t="str">
        <f aca="false">Orders!A1281</f>
        <v>ORD-01280</v>
      </c>
      <c r="B1281" s="46" t="str">
        <f aca="false">PROPER(TRIM(Orders!K1281))</f>
        <v>Mumbai</v>
      </c>
      <c r="C1281" s="46" t="str">
        <f aca="false">IFERROR(VLOOKUP(Orders!D1281,Products!$A$2:$F$61,3,FALSE()),"Not Found")</f>
        <v>Sports</v>
      </c>
      <c r="D1281" s="46" t="str">
        <f aca="false">IFERROR(VLOOKUP(Orders!C1281,Customers!$A$2:$F$301,5,FALSE()),"Not Found")</f>
        <v>Retail</v>
      </c>
      <c r="E1281" s="46" t="n">
        <f aca="false">IFERROR(VLOOKUP(Orders!C1281,Customers!$A$2:$F$301,3,FALSE()),"Not Found")</f>
        <v>61</v>
      </c>
      <c r="F1281" s="46" t="str">
        <f aca="false">IFERROR(VLOOKUP(Orders!E1281,Sales_Reps!$A$2:$E$31,3,FALSE()),"Not Found")</f>
        <v>North</v>
      </c>
      <c r="G1281" s="46" t="n">
        <f aca="false">IFERROR(VLOOKUP(Orders!D1281,Products!$A$2:$F$61,4,FALSE()),"")</f>
        <v>147</v>
      </c>
      <c r="H1281" s="47" t="n">
        <f aca="false">IF(G1281="","",(Orders!G1281-G1281)/Orders!G1281)</f>
        <v>0.226315789473684</v>
      </c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/>
      <c r="AE1281" s="46"/>
      <c r="AF1281" s="46"/>
      <c r="AG1281" s="46"/>
      <c r="AH1281" s="46"/>
      <c r="AI1281" s="46"/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</row>
    <row r="1282" customFormat="false" ht="15" hidden="false" customHeight="false" outlineLevel="0" collapsed="false">
      <c r="A1282" s="46" t="str">
        <f aca="false">Orders!A1282</f>
        <v>ORD-01281</v>
      </c>
      <c r="B1282" s="46" t="str">
        <f aca="false">PROPER(TRIM(Orders!K1282))</f>
        <v>Bengaluru</v>
      </c>
      <c r="C1282" s="46" t="str">
        <f aca="false">IFERROR(VLOOKUP(Orders!D1282,Products!$A$2:$F$61,3,FALSE()),"Not Found")</f>
        <v>Sports</v>
      </c>
      <c r="D1282" s="46" t="str">
        <f aca="false">IFERROR(VLOOKUP(Orders!C1282,Customers!$A$2:$F$301,5,FALSE()),"Not Found")</f>
        <v>SMB</v>
      </c>
      <c r="E1282" s="46" t="n">
        <f aca="false">IFERROR(VLOOKUP(Orders!C1282,Customers!$A$2:$F$301,3,FALSE()),"Not Found")</f>
        <v>28</v>
      </c>
      <c r="F1282" s="46" t="str">
        <f aca="false">IFERROR(VLOOKUP(Orders!E1282,Sales_Reps!$A$2:$E$31,3,FALSE()),"Not Found")</f>
        <v>West</v>
      </c>
      <c r="G1282" s="46" t="n">
        <f aca="false">IFERROR(VLOOKUP(Orders!D1282,Products!$A$2:$F$61,4,FALSE()),"")</f>
        <v>2028</v>
      </c>
      <c r="H1282" s="47" t="n">
        <f aca="false">IF(G1282="","",(Orders!G1282-G1282)/Orders!G1282)</f>
        <v>0.290909090909091</v>
      </c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  <c r="AE1282" s="46"/>
      <c r="AF1282" s="46"/>
      <c r="AG1282" s="46"/>
      <c r="AH1282" s="46"/>
      <c r="AI1282" s="46"/>
      <c r="AJ1282" s="46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</row>
    <row r="1283" customFormat="false" ht="15" hidden="false" customHeight="false" outlineLevel="0" collapsed="false">
      <c r="A1283" s="46" t="str">
        <f aca="false">Orders!A1283</f>
        <v>ORD-01282</v>
      </c>
      <c r="B1283" s="46" t="str">
        <f aca="false">PROPER(TRIM(Orders!K1283))</f>
        <v>Delhi</v>
      </c>
      <c r="C1283" s="46" t="str">
        <f aca="false">IFERROR(VLOOKUP(Orders!D1283,Products!$A$2:$F$61,3,FALSE()),"Not Found")</f>
        <v>Electronics</v>
      </c>
      <c r="D1283" s="46" t="str">
        <f aca="false">IFERROR(VLOOKUP(Orders!C1283,Customers!$A$2:$F$301,5,FALSE()),"Not Found")</f>
        <v>SMB</v>
      </c>
      <c r="E1283" s="46" t="n">
        <f aca="false">IFERROR(VLOOKUP(Orders!C1283,Customers!$A$2:$F$301,3,FALSE()),"Not Found")</f>
        <v>50</v>
      </c>
      <c r="F1283" s="46" t="str">
        <f aca="false">IFERROR(VLOOKUP(Orders!E1283,Sales_Reps!$A$2:$E$31,3,FALSE()),"Not Found")</f>
        <v>West</v>
      </c>
      <c r="G1283" s="46" t="n">
        <f aca="false">IFERROR(VLOOKUP(Orders!D1283,Products!$A$2:$F$61,4,FALSE()),"")</f>
        <v>128</v>
      </c>
      <c r="H1283" s="47" t="n">
        <f aca="false">IF(G1283="","",(Orders!G1283-G1283)/Orders!G1283)</f>
        <v>0.573333333333333</v>
      </c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</row>
    <row r="1284" customFormat="false" ht="15" hidden="false" customHeight="false" outlineLevel="0" collapsed="false">
      <c r="A1284" s="46" t="str">
        <f aca="false">Orders!A1284</f>
        <v>ORD-01283</v>
      </c>
      <c r="B1284" s="46" t="str">
        <f aca="false">PROPER(TRIM(Orders!K1284))</f>
        <v>Mumbai</v>
      </c>
      <c r="C1284" s="46" t="str">
        <f aca="false">IFERROR(VLOOKUP(Orders!D1284,Products!$A$2:$F$61,3,FALSE()),"Not Found")</f>
        <v>Beauty</v>
      </c>
      <c r="D1284" s="46" t="str">
        <f aca="false">IFERROR(VLOOKUP(Orders!C1284,Customers!$A$2:$F$301,5,FALSE()),"Not Found")</f>
        <v>Retail</v>
      </c>
      <c r="E1284" s="46" t="n">
        <f aca="false">IFERROR(VLOOKUP(Orders!C1284,Customers!$A$2:$F$301,3,FALSE()),"Not Found")</f>
        <v>40</v>
      </c>
      <c r="F1284" s="46" t="str">
        <f aca="false">IFERROR(VLOOKUP(Orders!E1284,Sales_Reps!$A$2:$E$31,3,FALSE()),"Not Found")</f>
        <v>North</v>
      </c>
      <c r="G1284" s="46" t="n">
        <f aca="false">IFERROR(VLOOKUP(Orders!D1284,Products!$A$2:$F$61,4,FALSE()),"")</f>
        <v>675</v>
      </c>
      <c r="H1284" s="47" t="n">
        <f aca="false">IF(G1284="","",(Orders!G1284-G1284)/Orders!G1284)</f>
        <v>0.296875</v>
      </c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</row>
    <row r="1285" customFormat="false" ht="15" hidden="false" customHeight="false" outlineLevel="0" collapsed="false">
      <c r="A1285" s="46" t="str">
        <f aca="false">Orders!A1285</f>
        <v>ORD-01284</v>
      </c>
      <c r="B1285" s="46" t="str">
        <f aca="false">PROPER(TRIM(Orders!K1285))</f>
        <v>Pune</v>
      </c>
      <c r="C1285" s="46" t="str">
        <f aca="false">IFERROR(VLOOKUP(Orders!D1285,Products!$A$2:$F$61,3,FALSE()),"Not Found")</f>
        <v>Apparel</v>
      </c>
      <c r="D1285" s="46" t="str">
        <f aca="false">IFERROR(VLOOKUP(Orders!C1285,Customers!$A$2:$F$301,5,FALSE()),"Not Found")</f>
        <v>Retail</v>
      </c>
      <c r="E1285" s="46" t="n">
        <f aca="false">IFERROR(VLOOKUP(Orders!C1285,Customers!$A$2:$F$301,3,FALSE()),"Not Found")</f>
        <v>54</v>
      </c>
      <c r="F1285" s="46" t="str">
        <f aca="false">IFERROR(VLOOKUP(Orders!E1285,Sales_Reps!$A$2:$E$31,3,FALSE()),"Not Found")</f>
        <v>South</v>
      </c>
      <c r="G1285" s="46" t="n">
        <f aca="false">IFERROR(VLOOKUP(Orders!D1285,Products!$A$2:$F$61,4,FALSE()),"")</f>
        <v>391</v>
      </c>
      <c r="H1285" s="47" t="n">
        <f aca="false">IF(G1285="","",(Orders!G1285-G1285)/Orders!G1285)</f>
        <v>0.523170731707317</v>
      </c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</row>
    <row r="1286" customFormat="false" ht="15" hidden="false" customHeight="false" outlineLevel="0" collapsed="false">
      <c r="A1286" s="46" t="str">
        <f aca="false">Orders!A1286</f>
        <v>ORD-01285</v>
      </c>
      <c r="B1286" s="46" t="str">
        <f aca="false">PROPER(TRIM(Orders!K1286))</f>
        <v>Chennai</v>
      </c>
      <c r="C1286" s="46" t="str">
        <f aca="false">IFERROR(VLOOKUP(Orders!D1286,Products!$A$2:$F$61,3,FALSE()),"Not Found")</f>
        <v>Home</v>
      </c>
      <c r="D1286" s="46" t="str">
        <f aca="false">IFERROR(VLOOKUP(Orders!C1286,Customers!$A$2:$F$301,5,FALSE()),"Not Found")</f>
        <v>Retail</v>
      </c>
      <c r="E1286" s="46" t="n">
        <f aca="false">IFERROR(VLOOKUP(Orders!C1286,Customers!$A$2:$F$301,3,FALSE()),"Not Found")</f>
        <v>28</v>
      </c>
      <c r="F1286" s="46" t="str">
        <f aca="false">IFERROR(VLOOKUP(Orders!E1286,Sales_Reps!$A$2:$E$31,3,FALSE()),"Not Found")</f>
        <v>North</v>
      </c>
      <c r="G1286" s="46" t="n">
        <f aca="false">IFERROR(VLOOKUP(Orders!D1286,Products!$A$2:$F$61,4,FALSE()),"")</f>
        <v>288</v>
      </c>
      <c r="H1286" s="47" t="n">
        <f aca="false">IF(G1286="","",(Orders!G1286-G1286)/Orders!G1286)</f>
        <v>0.221621621621622</v>
      </c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</row>
    <row r="1287" customFormat="false" ht="15" hidden="false" customHeight="false" outlineLevel="0" collapsed="false">
      <c r="A1287" s="46" t="str">
        <f aca="false">Orders!A1287</f>
        <v>ORD-01286</v>
      </c>
      <c r="B1287" s="46" t="str">
        <f aca="false">PROPER(TRIM(Orders!K1287))</f>
        <v>Mumbai</v>
      </c>
      <c r="C1287" s="46" t="str">
        <f aca="false">IFERROR(VLOOKUP(Orders!D1287,Products!$A$2:$F$61,3,FALSE()),"Not Found")</f>
        <v>Home</v>
      </c>
      <c r="D1287" s="46" t="str">
        <f aca="false">IFERROR(VLOOKUP(Orders!C1287,Customers!$A$2:$F$301,5,FALSE()),"Not Found")</f>
        <v>Retail</v>
      </c>
      <c r="E1287" s="46" t="n">
        <f aca="false">IFERROR(VLOOKUP(Orders!C1287,Customers!$A$2:$F$301,3,FALSE()),"Not Found")</f>
        <v>35</v>
      </c>
      <c r="F1287" s="46" t="str">
        <f aca="false">IFERROR(VLOOKUP(Orders!E1287,Sales_Reps!$A$2:$E$31,3,FALSE()),"Not Found")</f>
        <v>East</v>
      </c>
      <c r="G1287" s="46" t="n">
        <f aca="false">IFERROR(VLOOKUP(Orders!D1287,Products!$A$2:$F$61,4,FALSE()),"")</f>
        <v>2549</v>
      </c>
      <c r="H1287" s="47" t="n">
        <f aca="false">IF(G1287="","",(Orders!G1287-G1287)/Orders!G1287)</f>
        <v>0.535701275045537</v>
      </c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</row>
    <row r="1288" customFormat="false" ht="15" hidden="false" customHeight="false" outlineLevel="0" collapsed="false">
      <c r="A1288" s="46" t="str">
        <f aca="false">Orders!A1288</f>
        <v>ORD-01287</v>
      </c>
      <c r="B1288" s="46" t="str">
        <f aca="false">PROPER(TRIM(Orders!K1288))</f>
        <v>Hyderabad</v>
      </c>
      <c r="C1288" s="46" t="str">
        <f aca="false">IFERROR(VLOOKUP(Orders!D1288,Products!$A$2:$F$61,3,FALSE()),"Not Found")</f>
        <v>Home</v>
      </c>
      <c r="D1288" s="46" t="str">
        <f aca="false">IFERROR(VLOOKUP(Orders!C1288,Customers!$A$2:$F$301,5,FALSE()),"Not Found")</f>
        <v>SMB</v>
      </c>
      <c r="E1288" s="46" t="n">
        <f aca="false">IFERROR(VLOOKUP(Orders!C1288,Customers!$A$2:$F$301,3,FALSE()),"Not Found")</f>
        <v>28</v>
      </c>
      <c r="F1288" s="46" t="str">
        <f aca="false">IFERROR(VLOOKUP(Orders!E1288,Sales_Reps!$A$2:$E$31,3,FALSE()),"Not Found")</f>
        <v>East</v>
      </c>
      <c r="G1288" s="46" t="n">
        <f aca="false">IFERROR(VLOOKUP(Orders!D1288,Products!$A$2:$F$61,4,FALSE()),"")</f>
        <v>288</v>
      </c>
      <c r="H1288" s="47" t="n">
        <f aca="false">IF(G1288="","",(Orders!G1288-G1288)/Orders!G1288)</f>
        <v>0.221621621621622</v>
      </c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</row>
    <row r="1289" customFormat="false" ht="15" hidden="false" customHeight="false" outlineLevel="0" collapsed="false">
      <c r="A1289" s="46" t="str">
        <f aca="false">Orders!A1289</f>
        <v>ORD-01288</v>
      </c>
      <c r="B1289" s="46" t="str">
        <f aca="false">PROPER(TRIM(Orders!K1289))</f>
        <v>Delhi</v>
      </c>
      <c r="C1289" s="46" t="str">
        <f aca="false">IFERROR(VLOOKUP(Orders!D1289,Products!$A$2:$F$61,3,FALSE()),"Not Found")</f>
        <v>Sports</v>
      </c>
      <c r="D1289" s="46" t="str">
        <f aca="false">IFERROR(VLOOKUP(Orders!C1289,Customers!$A$2:$F$301,5,FALSE()),"Not Found")</f>
        <v>SMB</v>
      </c>
      <c r="E1289" s="46" t="n">
        <f aca="false">IFERROR(VLOOKUP(Orders!C1289,Customers!$A$2:$F$301,3,FALSE()),"Not Found")</f>
        <v>48</v>
      </c>
      <c r="F1289" s="46" t="str">
        <f aca="false">IFERROR(VLOOKUP(Orders!E1289,Sales_Reps!$A$2:$E$31,3,FALSE()),"Not Found")</f>
        <v>East</v>
      </c>
      <c r="G1289" s="46" t="n">
        <f aca="false">IFERROR(VLOOKUP(Orders!D1289,Products!$A$2:$F$61,4,FALSE()),"")</f>
        <v>147</v>
      </c>
      <c r="H1289" s="47" t="n">
        <f aca="false">IF(G1289="","",(Orders!G1289-G1289)/Orders!G1289)</f>
        <v>0.226315789473684</v>
      </c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</row>
    <row r="1290" customFormat="false" ht="15" hidden="false" customHeight="false" outlineLevel="0" collapsed="false">
      <c r="A1290" s="46" t="str">
        <f aca="false">Orders!A1290</f>
        <v>ORD-01289</v>
      </c>
      <c r="B1290" s="46" t="str">
        <f aca="false">PROPER(TRIM(Orders!K1290))</f>
        <v>Bengaluru</v>
      </c>
      <c r="C1290" s="46" t="str">
        <f aca="false">IFERROR(VLOOKUP(Orders!D1290,Products!$A$2:$F$61,3,FALSE()),"Not Found")</f>
        <v>Grocery</v>
      </c>
      <c r="D1290" s="46" t="str">
        <f aca="false">IFERROR(VLOOKUP(Orders!C1290,Customers!$A$2:$F$301,5,FALSE()),"Not Found")</f>
        <v>SMB</v>
      </c>
      <c r="E1290" s="46" t="n">
        <f aca="false">IFERROR(VLOOKUP(Orders!C1290,Customers!$A$2:$F$301,3,FALSE()),"Not Found")</f>
        <v>44</v>
      </c>
      <c r="F1290" s="46" t="str">
        <f aca="false">IFERROR(VLOOKUP(Orders!E1290,Sales_Reps!$A$2:$E$31,3,FALSE()),"Not Found")</f>
        <v>East</v>
      </c>
      <c r="G1290" s="46" t="n">
        <f aca="false">IFERROR(VLOOKUP(Orders!D1290,Products!$A$2:$F$61,4,FALSE()),"")</f>
        <v>1010</v>
      </c>
      <c r="H1290" s="47" t="n">
        <f aca="false">IF(G1290="","",(Orders!G1290-G1290)/Orders!G1290)</f>
        <v>0.542986425339367</v>
      </c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</row>
    <row r="1291" customFormat="false" ht="15" hidden="false" customHeight="false" outlineLevel="0" collapsed="false">
      <c r="A1291" s="46" t="str">
        <f aca="false">Orders!A1291</f>
        <v>ORD-01290</v>
      </c>
      <c r="B1291" s="46" t="str">
        <f aca="false">PROPER(TRIM(Orders!K1291))</f>
        <v>Bengaluru</v>
      </c>
      <c r="C1291" s="46" t="str">
        <f aca="false">IFERROR(VLOOKUP(Orders!D1291,Products!$A$2:$F$61,3,FALSE()),"Not Found")</f>
        <v>Beauty</v>
      </c>
      <c r="D1291" s="46" t="str">
        <f aca="false">IFERROR(VLOOKUP(Orders!C1291,Customers!$A$2:$F$301,5,FALSE()),"Not Found")</f>
        <v>Retail</v>
      </c>
      <c r="E1291" s="46" t="n">
        <f aca="false">IFERROR(VLOOKUP(Orders!C1291,Customers!$A$2:$F$301,3,FALSE()),"Not Found")</f>
        <v>55</v>
      </c>
      <c r="F1291" s="46" t="str">
        <f aca="false">IFERROR(VLOOKUP(Orders!E1291,Sales_Reps!$A$2:$E$31,3,FALSE()),"Not Found")</f>
        <v>South</v>
      </c>
      <c r="G1291" s="46" t="n">
        <f aca="false">IFERROR(VLOOKUP(Orders!D1291,Products!$A$2:$F$61,4,FALSE()),"")</f>
        <v>1222</v>
      </c>
      <c r="H1291" s="47" t="n">
        <f aca="false">IF(G1291="","",(Orders!G1291-G1291)/Orders!G1291)</f>
        <v>0.259393939393939</v>
      </c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</row>
    <row r="1292" customFormat="false" ht="15" hidden="false" customHeight="false" outlineLevel="0" collapsed="false">
      <c r="A1292" s="46" t="str">
        <f aca="false">Orders!A1292</f>
        <v>ORD-01291</v>
      </c>
      <c r="B1292" s="46" t="str">
        <f aca="false">PROPER(TRIM(Orders!K1292))</f>
        <v>Chennai</v>
      </c>
      <c r="C1292" s="46" t="str">
        <f aca="false">IFERROR(VLOOKUP(Orders!D1292,Products!$A$2:$F$61,3,FALSE()),"Not Found")</f>
        <v>Home</v>
      </c>
      <c r="D1292" s="46" t="str">
        <f aca="false">IFERROR(VLOOKUP(Orders!C1292,Customers!$A$2:$F$301,5,FALSE()),"Not Found")</f>
        <v>Retail</v>
      </c>
      <c r="E1292" s="46" t="n">
        <f aca="false">IFERROR(VLOOKUP(Orders!C1292,Customers!$A$2:$F$301,3,FALSE()),"Not Found")</f>
        <v>32</v>
      </c>
      <c r="F1292" s="46" t="str">
        <f aca="false">IFERROR(VLOOKUP(Orders!E1292,Sales_Reps!$A$2:$E$31,3,FALSE()),"Not Found")</f>
        <v>South</v>
      </c>
      <c r="G1292" s="46" t="n">
        <f aca="false">IFERROR(VLOOKUP(Orders!D1292,Products!$A$2:$F$61,4,FALSE()),"")</f>
        <v>329</v>
      </c>
      <c r="H1292" s="47" t="n">
        <f aca="false">IF(G1292="","",(Orders!G1292-G1292)/Orders!G1292)</f>
        <v>0.501515151515152</v>
      </c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</row>
    <row r="1293" customFormat="false" ht="15" hidden="false" customHeight="false" outlineLevel="0" collapsed="false">
      <c r="A1293" s="46" t="str">
        <f aca="false">Orders!A1293</f>
        <v>ORD-01292</v>
      </c>
      <c r="B1293" s="46" t="str">
        <f aca="false">PROPER(TRIM(Orders!K1293))</f>
        <v>Bengaluru</v>
      </c>
      <c r="C1293" s="46" t="str">
        <f aca="false">IFERROR(VLOOKUP(Orders!D1293,Products!$A$2:$F$61,3,FALSE()),"Not Found")</f>
        <v>Home</v>
      </c>
      <c r="D1293" s="46" t="str">
        <f aca="false">IFERROR(VLOOKUP(Orders!C1293,Customers!$A$2:$F$301,5,FALSE()),"Not Found")</f>
        <v>SMB</v>
      </c>
      <c r="E1293" s="46" t="n">
        <f aca="false">IFERROR(VLOOKUP(Orders!C1293,Customers!$A$2:$F$301,3,FALSE()),"Not Found")</f>
        <v>44</v>
      </c>
      <c r="F1293" s="46" t="str">
        <f aca="false">IFERROR(VLOOKUP(Orders!E1293,Sales_Reps!$A$2:$E$31,3,FALSE()),"Not Found")</f>
        <v>North</v>
      </c>
      <c r="G1293" s="46" t="n">
        <f aca="false">IFERROR(VLOOKUP(Orders!D1293,Products!$A$2:$F$61,4,FALSE()),"")</f>
        <v>1850</v>
      </c>
      <c r="H1293" s="47" t="n">
        <f aca="false">IF(G1293="","",(Orders!G1293-G1293)/Orders!G1293)</f>
        <v>0.598698481561822</v>
      </c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</row>
    <row r="1294" customFormat="false" ht="15" hidden="false" customHeight="false" outlineLevel="0" collapsed="false">
      <c r="A1294" s="46" t="str">
        <f aca="false">Orders!A1294</f>
        <v>ORD-01293</v>
      </c>
      <c r="B1294" s="46" t="str">
        <f aca="false">PROPER(TRIM(Orders!K1294))</f>
        <v>Mumbai</v>
      </c>
      <c r="C1294" s="46" t="str">
        <f aca="false">IFERROR(VLOOKUP(Orders!D1294,Products!$A$2:$F$61,3,FALSE()),"Not Found")</f>
        <v>Grocery</v>
      </c>
      <c r="D1294" s="46" t="str">
        <f aca="false">IFERROR(VLOOKUP(Orders!C1294,Customers!$A$2:$F$301,5,FALSE()),"Not Found")</f>
        <v>SMB</v>
      </c>
      <c r="E1294" s="46" t="n">
        <f aca="false">IFERROR(VLOOKUP(Orders!C1294,Customers!$A$2:$F$301,3,FALSE()),"Not Found")</f>
        <v>22</v>
      </c>
      <c r="F1294" s="46" t="str">
        <f aca="false">IFERROR(VLOOKUP(Orders!E1294,Sales_Reps!$A$2:$E$31,3,FALSE()),"Not Found")</f>
        <v>West</v>
      </c>
      <c r="G1294" s="46" t="n">
        <f aca="false">IFERROR(VLOOKUP(Orders!D1294,Products!$A$2:$F$61,4,FALSE()),"")</f>
        <v>1010</v>
      </c>
      <c r="H1294" s="47" t="n">
        <f aca="false">IF(G1294="","",(Orders!G1294-G1294)/Orders!G1294)</f>
        <v>0.542986425339367</v>
      </c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</row>
    <row r="1295" customFormat="false" ht="15" hidden="false" customHeight="false" outlineLevel="0" collapsed="false">
      <c r="A1295" s="46" t="str">
        <f aca="false">Orders!A1295</f>
        <v>ORD-01294</v>
      </c>
      <c r="B1295" s="46" t="str">
        <f aca="false">PROPER(TRIM(Orders!K1295))</f>
        <v>Chennai</v>
      </c>
      <c r="C1295" s="46" t="str">
        <f aca="false">IFERROR(VLOOKUP(Orders!D1295,Products!$A$2:$F$61,3,FALSE()),"Not Found")</f>
        <v>Beauty</v>
      </c>
      <c r="D1295" s="46" t="str">
        <f aca="false">IFERROR(VLOOKUP(Orders!C1295,Customers!$A$2:$F$301,5,FALSE()),"Not Found")</f>
        <v>SMB</v>
      </c>
      <c r="E1295" s="46" t="n">
        <f aca="false">IFERROR(VLOOKUP(Orders!C1295,Customers!$A$2:$F$301,3,FALSE()),"Not Found")</f>
        <v>62</v>
      </c>
      <c r="F1295" s="46" t="str">
        <f aca="false">IFERROR(VLOOKUP(Orders!E1295,Sales_Reps!$A$2:$E$31,3,FALSE()),"Not Found")</f>
        <v>East</v>
      </c>
      <c r="G1295" s="46" t="n">
        <f aca="false">IFERROR(VLOOKUP(Orders!D1295,Products!$A$2:$F$61,4,FALSE()),"")</f>
        <v>1219</v>
      </c>
      <c r="H1295" s="47" t="n">
        <f aca="false">IF(G1295="","",(Orders!G1295-G1295)/Orders!G1295)</f>
        <v>0.467685589519651</v>
      </c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</row>
    <row r="1296" customFormat="false" ht="15" hidden="false" customHeight="false" outlineLevel="0" collapsed="false">
      <c r="A1296" s="46" t="str">
        <f aca="false">Orders!A1296</f>
        <v>ORD-01295</v>
      </c>
      <c r="B1296" s="46" t="str">
        <f aca="false">PROPER(TRIM(Orders!K1296))</f>
        <v>Delhi</v>
      </c>
      <c r="C1296" s="46" t="str">
        <f aca="false">IFERROR(VLOOKUP(Orders!D1296,Products!$A$2:$F$61,3,FALSE()),"Not Found")</f>
        <v>Home</v>
      </c>
      <c r="D1296" s="46" t="str">
        <f aca="false">IFERROR(VLOOKUP(Orders!C1296,Customers!$A$2:$F$301,5,FALSE()),"Not Found")</f>
        <v>Corporate</v>
      </c>
      <c r="E1296" s="46" t="n">
        <f aca="false">IFERROR(VLOOKUP(Orders!C1296,Customers!$A$2:$F$301,3,FALSE()),"Not Found")</f>
        <v>46</v>
      </c>
      <c r="F1296" s="46" t="str">
        <f aca="false">IFERROR(VLOOKUP(Orders!E1296,Sales_Reps!$A$2:$E$31,3,FALSE()),"Not Found")</f>
        <v>West</v>
      </c>
      <c r="G1296" s="46" t="n">
        <f aca="false">IFERROR(VLOOKUP(Orders!D1296,Products!$A$2:$F$61,4,FALSE()),"")</f>
        <v>519</v>
      </c>
      <c r="H1296" s="47" t="n">
        <f aca="false">IF(G1296="","",(Orders!G1296-G1296)/Orders!G1296)</f>
        <v>0.519444444444445</v>
      </c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</row>
    <row r="1297" customFormat="false" ht="15" hidden="false" customHeight="false" outlineLevel="0" collapsed="false">
      <c r="A1297" s="46" t="str">
        <f aca="false">Orders!A1297</f>
        <v>ORD-01296</v>
      </c>
      <c r="B1297" s="46" t="str">
        <f aca="false">PROPER(TRIM(Orders!K1297))</f>
        <v>Pune</v>
      </c>
      <c r="C1297" s="46" t="str">
        <f aca="false">IFERROR(VLOOKUP(Orders!D1297,Products!$A$2:$F$61,3,FALSE()),"Not Found")</f>
        <v>Sports</v>
      </c>
      <c r="D1297" s="46" t="str">
        <f aca="false">IFERROR(VLOOKUP(Orders!C1297,Customers!$A$2:$F$301,5,FALSE()),"Not Found")</f>
        <v>SMB</v>
      </c>
      <c r="E1297" s="46" t="n">
        <f aca="false">IFERROR(VLOOKUP(Orders!C1297,Customers!$A$2:$F$301,3,FALSE()),"Not Found")</f>
        <v>30</v>
      </c>
      <c r="F1297" s="46" t="str">
        <f aca="false">IFERROR(VLOOKUP(Orders!E1297,Sales_Reps!$A$2:$E$31,3,FALSE()),"Not Found")</f>
        <v>South</v>
      </c>
      <c r="G1297" s="46" t="n">
        <f aca="false">IFERROR(VLOOKUP(Orders!D1297,Products!$A$2:$F$61,4,FALSE()),"")</f>
        <v>705</v>
      </c>
      <c r="H1297" s="47" t="n">
        <f aca="false">IF(G1297="","",(Orders!G1297-G1297)/Orders!G1297)</f>
        <v>0.265625</v>
      </c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</row>
    <row r="1298" customFormat="false" ht="15" hidden="false" customHeight="false" outlineLevel="0" collapsed="false">
      <c r="A1298" s="46" t="str">
        <f aca="false">Orders!A1298</f>
        <v>ORD-01297</v>
      </c>
      <c r="B1298" s="46" t="str">
        <f aca="false">PROPER(TRIM(Orders!K1298))</f>
        <v>Mumbai</v>
      </c>
      <c r="C1298" s="46" t="str">
        <f aca="false">IFERROR(VLOOKUP(Orders!D1298,Products!$A$2:$F$61,3,FALSE()),"Not Found")</f>
        <v>Sports</v>
      </c>
      <c r="D1298" s="46" t="str">
        <f aca="false">IFERROR(VLOOKUP(Orders!C1298,Customers!$A$2:$F$301,5,FALSE()),"Not Found")</f>
        <v>SMB</v>
      </c>
      <c r="E1298" s="46" t="n">
        <f aca="false">IFERROR(VLOOKUP(Orders!C1298,Customers!$A$2:$F$301,3,FALSE()),"Not Found")</f>
        <v>47</v>
      </c>
      <c r="F1298" s="46" t="str">
        <f aca="false">IFERROR(VLOOKUP(Orders!E1298,Sales_Reps!$A$2:$E$31,3,FALSE()),"Not Found")</f>
        <v>North</v>
      </c>
      <c r="G1298" s="46" t="n">
        <f aca="false">IFERROR(VLOOKUP(Orders!D1298,Products!$A$2:$F$61,4,FALSE()),"")</f>
        <v>974</v>
      </c>
      <c r="H1298" s="47" t="n">
        <f aca="false">IF(G1298="","",(Orders!G1298-G1298)/Orders!G1298)</f>
        <v>0.594166666666667</v>
      </c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</row>
    <row r="1299" customFormat="false" ht="15" hidden="false" customHeight="false" outlineLevel="0" collapsed="false">
      <c r="A1299" s="46" t="str">
        <f aca="false">Orders!A1299</f>
        <v>ORD-01298</v>
      </c>
      <c r="B1299" s="46" t="str">
        <f aca="false">PROPER(TRIM(Orders!K1299))</f>
        <v>Mumbai</v>
      </c>
      <c r="C1299" s="46" t="str">
        <f aca="false">IFERROR(VLOOKUP(Orders!D1299,Products!$A$2:$F$61,3,FALSE()),"Not Found")</f>
        <v>Beauty</v>
      </c>
      <c r="D1299" s="46" t="str">
        <f aca="false">IFERROR(VLOOKUP(Orders!C1299,Customers!$A$2:$F$301,5,FALSE()),"Not Found")</f>
        <v>Retail</v>
      </c>
      <c r="E1299" s="46" t="n">
        <f aca="false">IFERROR(VLOOKUP(Orders!C1299,Customers!$A$2:$F$301,3,FALSE()),"Not Found")</f>
        <v>38</v>
      </c>
      <c r="F1299" s="46" t="str">
        <f aca="false">IFERROR(VLOOKUP(Orders!E1299,Sales_Reps!$A$2:$E$31,3,FALSE()),"Not Found")</f>
        <v>South</v>
      </c>
      <c r="G1299" s="46" t="n">
        <f aca="false">IFERROR(VLOOKUP(Orders!D1299,Products!$A$2:$F$61,4,FALSE()),"")</f>
        <v>1219</v>
      </c>
      <c r="H1299" s="47" t="n">
        <f aca="false">IF(G1299="","",(Orders!G1299-G1299)/Orders!G1299)</f>
        <v>0.467685589519651</v>
      </c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</row>
    <row r="1300" customFormat="false" ht="15" hidden="false" customHeight="false" outlineLevel="0" collapsed="false">
      <c r="A1300" s="46" t="str">
        <f aca="false">Orders!A1300</f>
        <v>ORD-01299</v>
      </c>
      <c r="B1300" s="46" t="str">
        <f aca="false">PROPER(TRIM(Orders!K1300))</f>
        <v>Chennai</v>
      </c>
      <c r="C1300" s="46" t="str">
        <f aca="false">IFERROR(VLOOKUP(Orders!D1300,Products!$A$2:$F$61,3,FALSE()),"Not Found")</f>
        <v>Home</v>
      </c>
      <c r="D1300" s="46" t="str">
        <f aca="false">IFERROR(VLOOKUP(Orders!C1300,Customers!$A$2:$F$301,5,FALSE()),"Not Found")</f>
        <v>Retail</v>
      </c>
      <c r="E1300" s="46" t="n">
        <f aca="false">IFERROR(VLOOKUP(Orders!C1300,Customers!$A$2:$F$301,3,FALSE()),"Not Found")</f>
        <v>37</v>
      </c>
      <c r="F1300" s="46" t="str">
        <f aca="false">IFERROR(VLOOKUP(Orders!E1300,Sales_Reps!$A$2:$E$31,3,FALSE()),"Not Found")</f>
        <v>East</v>
      </c>
      <c r="G1300" s="46" t="n">
        <f aca="false">IFERROR(VLOOKUP(Orders!D1300,Products!$A$2:$F$61,4,FALSE()),"")</f>
        <v>519</v>
      </c>
      <c r="H1300" s="47" t="n">
        <f aca="false">IF(G1300="","",(Orders!G1300-G1300)/Orders!G1300)</f>
        <v>0.519444444444445</v>
      </c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</row>
    <row r="1301" customFormat="false" ht="15" hidden="false" customHeight="false" outlineLevel="0" collapsed="false">
      <c r="A1301" s="46" t="str">
        <f aca="false">Orders!A1301</f>
        <v>ORD-01300</v>
      </c>
      <c r="B1301" s="46" t="str">
        <f aca="false">PROPER(TRIM(Orders!K1301))</f>
        <v>Delhi</v>
      </c>
      <c r="C1301" s="46" t="str">
        <f aca="false">IFERROR(VLOOKUP(Orders!D1301,Products!$A$2:$F$61,3,FALSE()),"Not Found")</f>
        <v>Home</v>
      </c>
      <c r="D1301" s="46" t="str">
        <f aca="false">IFERROR(VLOOKUP(Orders!C1301,Customers!$A$2:$F$301,5,FALSE()),"Not Found")</f>
        <v>Retail</v>
      </c>
      <c r="E1301" s="46" t="n">
        <f aca="false">IFERROR(VLOOKUP(Orders!C1301,Customers!$A$2:$F$301,3,FALSE()),"Not Found")</f>
        <v>55</v>
      </c>
      <c r="F1301" s="46" t="str">
        <f aca="false">IFERROR(VLOOKUP(Orders!E1301,Sales_Reps!$A$2:$E$31,3,FALSE()),"Not Found")</f>
        <v>North</v>
      </c>
      <c r="G1301" s="46" t="n">
        <f aca="false">IFERROR(VLOOKUP(Orders!D1301,Products!$A$2:$F$61,4,FALSE()),"")</f>
        <v>464</v>
      </c>
      <c r="H1301" s="47" t="n">
        <f aca="false">IF(G1301="","",(Orders!G1301-G1301)/Orders!G1301)</f>
        <v>0.574311926605505</v>
      </c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</row>
    <row r="1302" customFormat="false" ht="15" hidden="false" customHeight="false" outlineLevel="0" collapsed="false">
      <c r="A1302" s="46" t="str">
        <f aca="false">Orders!A1302</f>
        <v>ORD-01301</v>
      </c>
      <c r="B1302" s="46" t="str">
        <f aca="false">PROPER(TRIM(Orders!K1302))</f>
        <v>Mumbai</v>
      </c>
      <c r="C1302" s="46" t="str">
        <f aca="false">IFERROR(VLOOKUP(Orders!D1302,Products!$A$2:$F$61,3,FALSE()),"Not Found")</f>
        <v>Grocery</v>
      </c>
      <c r="D1302" s="46" t="str">
        <f aca="false">IFERROR(VLOOKUP(Orders!C1302,Customers!$A$2:$F$301,5,FALSE()),"Not Found")</f>
        <v>Retail</v>
      </c>
      <c r="E1302" s="46" t="n">
        <f aca="false">IFERROR(VLOOKUP(Orders!C1302,Customers!$A$2:$F$301,3,FALSE()),"Not Found")</f>
        <v>37</v>
      </c>
      <c r="F1302" s="46" t="str">
        <f aca="false">IFERROR(VLOOKUP(Orders!E1302,Sales_Reps!$A$2:$E$31,3,FALSE()),"Not Found")</f>
        <v>East</v>
      </c>
      <c r="G1302" s="46" t="n">
        <f aca="false">IFERROR(VLOOKUP(Orders!D1302,Products!$A$2:$F$61,4,FALSE()),"")</f>
        <v>1010</v>
      </c>
      <c r="H1302" s="47" t="n">
        <f aca="false">IF(G1302="","",(Orders!G1302-G1302)/Orders!G1302)</f>
        <v>0.542986425339367</v>
      </c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</row>
    <row r="1303" customFormat="false" ht="15" hidden="false" customHeight="false" outlineLevel="0" collapsed="false">
      <c r="A1303" s="46" t="str">
        <f aca="false">Orders!A1303</f>
        <v>ORD-01302</v>
      </c>
      <c r="B1303" s="46" t="str">
        <f aca="false">PROPER(TRIM(Orders!K1303))</f>
        <v>Pune</v>
      </c>
      <c r="C1303" s="46" t="str">
        <f aca="false">IFERROR(VLOOKUP(Orders!D1303,Products!$A$2:$F$61,3,FALSE()),"Not Found")</f>
        <v>Apparel</v>
      </c>
      <c r="D1303" s="46" t="str">
        <f aca="false">IFERROR(VLOOKUP(Orders!C1303,Customers!$A$2:$F$301,5,FALSE()),"Not Found")</f>
        <v>Corporate</v>
      </c>
      <c r="E1303" s="46" t="n">
        <f aca="false">IFERROR(VLOOKUP(Orders!C1303,Customers!$A$2:$F$301,3,FALSE()),"Not Found")</f>
        <v>47</v>
      </c>
      <c r="F1303" s="46" t="str">
        <f aca="false">IFERROR(VLOOKUP(Orders!E1303,Sales_Reps!$A$2:$E$31,3,FALSE()),"Not Found")</f>
        <v>South</v>
      </c>
      <c r="G1303" s="46" t="n">
        <f aca="false">IFERROR(VLOOKUP(Orders!D1303,Products!$A$2:$F$61,4,FALSE()),"")</f>
        <v>2509</v>
      </c>
      <c r="H1303" s="47" t="n">
        <f aca="false">IF(G1303="","",(Orders!G1303-G1303)/Orders!G1303)</f>
        <v>0.306906077348066</v>
      </c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</row>
    <row r="1304" customFormat="false" ht="15" hidden="false" customHeight="false" outlineLevel="0" collapsed="false">
      <c r="A1304" s="46" t="str">
        <f aca="false">Orders!A1304</f>
        <v>ORD-01303</v>
      </c>
      <c r="B1304" s="46" t="str">
        <f aca="false">PROPER(TRIM(Orders!K1304))</f>
        <v>Hyderabad</v>
      </c>
      <c r="C1304" s="46" t="str">
        <f aca="false">IFERROR(VLOOKUP(Orders!D1304,Products!$A$2:$F$61,3,FALSE()),"Not Found")</f>
        <v>Home</v>
      </c>
      <c r="D1304" s="46" t="str">
        <f aca="false">IFERROR(VLOOKUP(Orders!C1304,Customers!$A$2:$F$301,5,FALSE()),"Not Found")</f>
        <v>Retail</v>
      </c>
      <c r="E1304" s="46" t="n">
        <f aca="false">IFERROR(VLOOKUP(Orders!C1304,Customers!$A$2:$F$301,3,FALSE()),"Not Found")</f>
        <v>26</v>
      </c>
      <c r="F1304" s="46" t="str">
        <f aca="false">IFERROR(VLOOKUP(Orders!E1304,Sales_Reps!$A$2:$E$31,3,FALSE()),"Not Found")</f>
        <v>South</v>
      </c>
      <c r="G1304" s="46" t="n">
        <f aca="false">IFERROR(VLOOKUP(Orders!D1304,Products!$A$2:$F$61,4,FALSE()),"")</f>
        <v>1143</v>
      </c>
      <c r="H1304" s="47" t="n">
        <f aca="false">IF(G1304="","",(Orders!G1304-G1304)/Orders!G1304)</f>
        <v>0.436945812807882</v>
      </c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</row>
    <row r="1305" customFormat="false" ht="15" hidden="false" customHeight="false" outlineLevel="0" collapsed="false">
      <c r="A1305" s="46" t="str">
        <f aca="false">Orders!A1305</f>
        <v>ORD-01304</v>
      </c>
      <c r="B1305" s="46" t="str">
        <f aca="false">PROPER(TRIM(Orders!K1305))</f>
        <v>Bengaluru</v>
      </c>
      <c r="C1305" s="46" t="str">
        <f aca="false">IFERROR(VLOOKUP(Orders!D1305,Products!$A$2:$F$61,3,FALSE()),"Not Found")</f>
        <v>Electronics</v>
      </c>
      <c r="D1305" s="46" t="str">
        <f aca="false">IFERROR(VLOOKUP(Orders!C1305,Customers!$A$2:$F$301,5,FALSE()),"Not Found")</f>
        <v>Corporate</v>
      </c>
      <c r="E1305" s="46" t="n">
        <f aca="false">IFERROR(VLOOKUP(Orders!C1305,Customers!$A$2:$F$301,3,FALSE()),"Not Found")</f>
        <v>26</v>
      </c>
      <c r="F1305" s="46" t="str">
        <f aca="false">IFERROR(VLOOKUP(Orders!E1305,Sales_Reps!$A$2:$E$31,3,FALSE()),"Not Found")</f>
        <v>East</v>
      </c>
      <c r="G1305" s="46" t="n">
        <f aca="false">IFERROR(VLOOKUP(Orders!D1305,Products!$A$2:$F$61,4,FALSE()),"")</f>
        <v>1559</v>
      </c>
      <c r="H1305" s="47" t="n">
        <f aca="false">IF(G1305="","",(Orders!G1305-G1305)/Orders!G1305)</f>
        <v>0.597157622739018</v>
      </c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</row>
    <row r="1306" customFormat="false" ht="15" hidden="false" customHeight="false" outlineLevel="0" collapsed="false">
      <c r="A1306" s="46" t="str">
        <f aca="false">Orders!A1306</f>
        <v>ORD-01305</v>
      </c>
      <c r="B1306" s="46" t="str">
        <f aca="false">PROPER(TRIM(Orders!K1306))</f>
        <v>Bengaluru</v>
      </c>
      <c r="C1306" s="46" t="str">
        <f aca="false">IFERROR(VLOOKUP(Orders!D1306,Products!$A$2:$F$61,3,FALSE()),"Not Found")</f>
        <v>Electronics</v>
      </c>
      <c r="D1306" s="46" t="str">
        <f aca="false">IFERROR(VLOOKUP(Orders!C1306,Customers!$A$2:$F$301,5,FALSE()),"Not Found")</f>
        <v>Retail</v>
      </c>
      <c r="E1306" s="46" t="n">
        <f aca="false">IFERROR(VLOOKUP(Orders!C1306,Customers!$A$2:$F$301,3,FALSE()),"Not Found")</f>
        <v>52</v>
      </c>
      <c r="F1306" s="46" t="str">
        <f aca="false">IFERROR(VLOOKUP(Orders!E1306,Sales_Reps!$A$2:$E$31,3,FALSE()),"Not Found")</f>
        <v>South</v>
      </c>
      <c r="G1306" s="46" t="n">
        <f aca="false">IFERROR(VLOOKUP(Orders!D1306,Products!$A$2:$F$61,4,FALSE()),"")</f>
        <v>1665</v>
      </c>
      <c r="H1306" s="47" t="n">
        <f aca="false">IF(G1306="","",(Orders!G1306-G1306)/Orders!G1306)</f>
        <v>0.533613445378151</v>
      </c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</row>
    <row r="1307" customFormat="false" ht="15" hidden="false" customHeight="false" outlineLevel="0" collapsed="false">
      <c r="A1307" s="46" t="str">
        <f aca="false">Orders!A1307</f>
        <v>ORD-01306</v>
      </c>
      <c r="B1307" s="46" t="str">
        <f aca="false">PROPER(TRIM(Orders!K1307))</f>
        <v>Bengaluru</v>
      </c>
      <c r="C1307" s="46" t="str">
        <f aca="false">IFERROR(VLOOKUP(Orders!D1307,Products!$A$2:$F$61,3,FALSE()),"Not Found")</f>
        <v>Electronics</v>
      </c>
      <c r="D1307" s="46" t="str">
        <f aca="false">IFERROR(VLOOKUP(Orders!C1307,Customers!$A$2:$F$301,5,FALSE()),"Not Found")</f>
        <v>Corporate</v>
      </c>
      <c r="E1307" s="46" t="n">
        <f aca="false">IFERROR(VLOOKUP(Orders!C1307,Customers!$A$2:$F$301,3,FALSE()),"Not Found")</f>
        <v>31</v>
      </c>
      <c r="F1307" s="46" t="str">
        <f aca="false">IFERROR(VLOOKUP(Orders!E1307,Sales_Reps!$A$2:$E$31,3,FALSE()),"Not Found")</f>
        <v>East</v>
      </c>
      <c r="G1307" s="46" t="n">
        <f aca="false">IFERROR(VLOOKUP(Orders!D1307,Products!$A$2:$F$61,4,FALSE()),"")</f>
        <v>2405</v>
      </c>
      <c r="H1307" s="47" t="n">
        <f aca="false">IF(G1307="","",(Orders!G1307-G1307)/Orders!G1307)</f>
        <v>0.548780487804878</v>
      </c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</row>
    <row r="1308" customFormat="false" ht="15" hidden="false" customHeight="false" outlineLevel="0" collapsed="false">
      <c r="A1308" s="46" t="str">
        <f aca="false">Orders!A1308</f>
        <v>ORD-01307</v>
      </c>
      <c r="B1308" s="46" t="str">
        <f aca="false">PROPER(TRIM(Orders!K1308))</f>
        <v>Pune</v>
      </c>
      <c r="C1308" s="46" t="str">
        <f aca="false">IFERROR(VLOOKUP(Orders!D1308,Products!$A$2:$F$61,3,FALSE()),"Not Found")</f>
        <v>Electronics</v>
      </c>
      <c r="D1308" s="46" t="str">
        <f aca="false">IFERROR(VLOOKUP(Orders!C1308,Customers!$A$2:$F$301,5,FALSE()),"Not Found")</f>
        <v>Retail</v>
      </c>
      <c r="E1308" s="46" t="n">
        <f aca="false">IFERROR(VLOOKUP(Orders!C1308,Customers!$A$2:$F$301,3,FALSE()),"Not Found")</f>
        <v>36</v>
      </c>
      <c r="F1308" s="46" t="str">
        <f aca="false">IFERROR(VLOOKUP(Orders!E1308,Sales_Reps!$A$2:$E$31,3,FALSE()),"Not Found")</f>
        <v>South</v>
      </c>
      <c r="G1308" s="46" t="n">
        <f aca="false">IFERROR(VLOOKUP(Orders!D1308,Products!$A$2:$F$61,4,FALSE()),"")</f>
        <v>517</v>
      </c>
      <c r="H1308" s="47" t="n">
        <f aca="false">IF(G1308="","",(Orders!G1308-G1308)/Orders!G1308)</f>
        <v>0.576229508196721</v>
      </c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/>
      <c r="AE1308" s="46"/>
      <c r="AF1308" s="46"/>
      <c r="AG1308" s="46"/>
      <c r="AH1308" s="46"/>
      <c r="AI1308" s="46"/>
      <c r="AJ1308" s="46"/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</row>
    <row r="1309" customFormat="false" ht="15" hidden="false" customHeight="false" outlineLevel="0" collapsed="false">
      <c r="A1309" s="46" t="str">
        <f aca="false">Orders!A1309</f>
        <v>ORD-01308</v>
      </c>
      <c r="B1309" s="46" t="str">
        <f aca="false">PROPER(TRIM(Orders!K1309))</f>
        <v>Chennai</v>
      </c>
      <c r="C1309" s="46" t="str">
        <f aca="false">IFERROR(VLOOKUP(Orders!D1309,Products!$A$2:$F$61,3,FALSE()),"Not Found")</f>
        <v>Apparel</v>
      </c>
      <c r="D1309" s="46" t="str">
        <f aca="false">IFERROR(VLOOKUP(Orders!C1309,Customers!$A$2:$F$301,5,FALSE()),"Not Found")</f>
        <v>Retail</v>
      </c>
      <c r="E1309" s="46" t="n">
        <f aca="false">IFERROR(VLOOKUP(Orders!C1309,Customers!$A$2:$F$301,3,FALSE()),"Not Found")</f>
        <v>49</v>
      </c>
      <c r="F1309" s="46" t="str">
        <f aca="false">IFERROR(VLOOKUP(Orders!E1309,Sales_Reps!$A$2:$E$31,3,FALSE()),"Not Found")</f>
        <v>East</v>
      </c>
      <c r="G1309" s="46" t="n">
        <f aca="false">IFERROR(VLOOKUP(Orders!D1309,Products!$A$2:$F$61,4,FALSE()),"")</f>
        <v>1748</v>
      </c>
      <c r="H1309" s="47" t="n">
        <f aca="false">IF(G1309="","",(Orders!G1309-G1309)/Orders!G1309)</f>
        <v>0.493333333333333</v>
      </c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</row>
    <row r="1310" customFormat="false" ht="15" hidden="false" customHeight="false" outlineLevel="0" collapsed="false">
      <c r="A1310" s="46" t="str">
        <f aca="false">Orders!A1310</f>
        <v>ORD-01309</v>
      </c>
      <c r="B1310" s="46" t="str">
        <f aca="false">PROPER(TRIM(Orders!K1310))</f>
        <v>Mumbai</v>
      </c>
      <c r="C1310" s="46" t="str">
        <f aca="false">IFERROR(VLOOKUP(Orders!D1310,Products!$A$2:$F$61,3,FALSE()),"Not Found")</f>
        <v>Apparel</v>
      </c>
      <c r="D1310" s="46" t="str">
        <f aca="false">IFERROR(VLOOKUP(Orders!C1310,Customers!$A$2:$F$301,5,FALSE()),"Not Found")</f>
        <v>SMB</v>
      </c>
      <c r="E1310" s="46" t="n">
        <f aca="false">IFERROR(VLOOKUP(Orders!C1310,Customers!$A$2:$F$301,3,FALSE()),"Not Found")</f>
        <v>65</v>
      </c>
      <c r="F1310" s="46" t="str">
        <f aca="false">IFERROR(VLOOKUP(Orders!E1310,Sales_Reps!$A$2:$E$31,3,FALSE()),"Not Found")</f>
        <v>South</v>
      </c>
      <c r="G1310" s="46" t="n">
        <f aca="false">IFERROR(VLOOKUP(Orders!D1310,Products!$A$2:$F$61,4,FALSE()),"")</f>
        <v>2629</v>
      </c>
      <c r="H1310" s="47" t="n">
        <f aca="false">IF(G1310="","",(Orders!G1310-G1310)/Orders!G1310)</f>
        <v>0.261516853932584</v>
      </c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/>
      <c r="AE1310" s="46"/>
      <c r="AF1310" s="46"/>
      <c r="AG1310" s="46"/>
      <c r="AH1310" s="46"/>
      <c r="AI1310" s="46"/>
      <c r="AJ1310" s="46"/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</row>
    <row r="1311" customFormat="false" ht="15" hidden="false" customHeight="false" outlineLevel="0" collapsed="false">
      <c r="A1311" s="46" t="str">
        <f aca="false">Orders!A1311</f>
        <v>ORD-01310</v>
      </c>
      <c r="B1311" s="46" t="str">
        <f aca="false">PROPER(TRIM(Orders!K1311))</f>
        <v>Bengaluru</v>
      </c>
      <c r="C1311" s="46" t="str">
        <f aca="false">IFERROR(VLOOKUP(Orders!D1311,Products!$A$2:$F$61,3,FALSE()),"Not Found")</f>
        <v>Home</v>
      </c>
      <c r="D1311" s="46" t="str">
        <f aca="false">IFERROR(VLOOKUP(Orders!C1311,Customers!$A$2:$F$301,5,FALSE()),"Not Found")</f>
        <v>Corporate</v>
      </c>
      <c r="E1311" s="46" t="n">
        <f aca="false">IFERROR(VLOOKUP(Orders!C1311,Customers!$A$2:$F$301,3,FALSE()),"Not Found")</f>
        <v>36</v>
      </c>
      <c r="F1311" s="46" t="str">
        <f aca="false">IFERROR(VLOOKUP(Orders!E1311,Sales_Reps!$A$2:$E$31,3,FALSE()),"Not Found")</f>
        <v>North</v>
      </c>
      <c r="G1311" s="46" t="n">
        <f aca="false">IFERROR(VLOOKUP(Orders!D1311,Products!$A$2:$F$61,4,FALSE()),"")</f>
        <v>288</v>
      </c>
      <c r="H1311" s="47" t="n">
        <f aca="false">IF(G1311="","",(Orders!G1311-G1311)/Orders!G1311)</f>
        <v>0.221621621621622</v>
      </c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</row>
    <row r="1312" customFormat="false" ht="15" hidden="false" customHeight="false" outlineLevel="0" collapsed="false">
      <c r="A1312" s="46" t="str">
        <f aca="false">Orders!A1312</f>
        <v>ORD-01311</v>
      </c>
      <c r="B1312" s="46" t="str">
        <f aca="false">PROPER(TRIM(Orders!K1312))</f>
        <v>Pune</v>
      </c>
      <c r="C1312" s="46" t="str">
        <f aca="false">IFERROR(VLOOKUP(Orders!D1312,Products!$A$2:$F$61,3,FALSE()),"Not Found")</f>
        <v>Electronics</v>
      </c>
      <c r="D1312" s="46" t="str">
        <f aca="false">IFERROR(VLOOKUP(Orders!C1312,Customers!$A$2:$F$301,5,FALSE()),"Not Found")</f>
        <v>Retail</v>
      </c>
      <c r="E1312" s="46" t="n">
        <f aca="false">IFERROR(VLOOKUP(Orders!C1312,Customers!$A$2:$F$301,3,FALSE()),"Not Found")</f>
        <v>48</v>
      </c>
      <c r="F1312" s="46" t="str">
        <f aca="false">IFERROR(VLOOKUP(Orders!E1312,Sales_Reps!$A$2:$E$31,3,FALSE()),"Not Found")</f>
        <v>North</v>
      </c>
      <c r="G1312" s="46" t="n">
        <f aca="false">IFERROR(VLOOKUP(Orders!D1312,Products!$A$2:$F$61,4,FALSE()),"")</f>
        <v>517</v>
      </c>
      <c r="H1312" s="47" t="n">
        <f aca="false">IF(G1312="","",(Orders!G1312-G1312)/Orders!G1312)</f>
        <v>0.576229508196721</v>
      </c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/>
      <c r="AE1312" s="46"/>
      <c r="AF1312" s="46"/>
      <c r="AG1312" s="46"/>
      <c r="AH1312" s="46"/>
      <c r="AI1312" s="46"/>
      <c r="AJ1312" s="46"/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</row>
    <row r="1313" customFormat="false" ht="15" hidden="false" customHeight="false" outlineLevel="0" collapsed="false">
      <c r="A1313" s="46" t="str">
        <f aca="false">Orders!A1313</f>
        <v>ORD-01312</v>
      </c>
      <c r="B1313" s="46" t="str">
        <f aca="false">PROPER(TRIM(Orders!K1313))</f>
        <v>Chennai</v>
      </c>
      <c r="C1313" s="46" t="str">
        <f aca="false">IFERROR(VLOOKUP(Orders!D1313,Products!$A$2:$F$61,3,FALSE()),"Not Found")</f>
        <v>Apparel</v>
      </c>
      <c r="D1313" s="46" t="str">
        <f aca="false">IFERROR(VLOOKUP(Orders!C1313,Customers!$A$2:$F$301,5,FALSE()),"Not Found")</f>
        <v>SMB</v>
      </c>
      <c r="E1313" s="46" t="n">
        <f aca="false">IFERROR(VLOOKUP(Orders!C1313,Customers!$A$2:$F$301,3,FALSE()),"Not Found")</f>
        <v>39</v>
      </c>
      <c r="F1313" s="46" t="str">
        <f aca="false">IFERROR(VLOOKUP(Orders!E1313,Sales_Reps!$A$2:$E$31,3,FALSE()),"Not Found")</f>
        <v>North</v>
      </c>
      <c r="G1313" s="46" t="n">
        <f aca="false">IFERROR(VLOOKUP(Orders!D1313,Products!$A$2:$F$61,4,FALSE()),"")</f>
        <v>2611</v>
      </c>
      <c r="H1313" s="47" t="n">
        <f aca="false">IF(G1313="","",(Orders!G1313-G1313)/Orders!G1313)</f>
        <v>0.282692307692308</v>
      </c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</row>
    <row r="1314" customFormat="false" ht="15" hidden="false" customHeight="false" outlineLevel="0" collapsed="false">
      <c r="A1314" s="46" t="str">
        <f aca="false">Orders!A1314</f>
        <v>ORD-01313</v>
      </c>
      <c r="B1314" s="46" t="str">
        <f aca="false">PROPER(TRIM(Orders!K1314))</f>
        <v>Mumbai</v>
      </c>
      <c r="C1314" s="46" t="str">
        <f aca="false">IFERROR(VLOOKUP(Orders!D1314,Products!$A$2:$F$61,3,FALSE()),"Not Found")</f>
        <v>Beauty</v>
      </c>
      <c r="D1314" s="46" t="str">
        <f aca="false">IFERROR(VLOOKUP(Orders!C1314,Customers!$A$2:$F$301,5,FALSE()),"Not Found")</f>
        <v>Corporate</v>
      </c>
      <c r="E1314" s="46" t="n">
        <f aca="false">IFERROR(VLOOKUP(Orders!C1314,Customers!$A$2:$F$301,3,FALSE()),"Not Found")</f>
        <v>62</v>
      </c>
      <c r="F1314" s="46" t="str">
        <f aca="false">IFERROR(VLOOKUP(Orders!E1314,Sales_Reps!$A$2:$E$31,3,FALSE()),"Not Found")</f>
        <v>South</v>
      </c>
      <c r="G1314" s="46" t="n">
        <f aca="false">IFERROR(VLOOKUP(Orders!D1314,Products!$A$2:$F$61,4,FALSE()),"")</f>
        <v>1626</v>
      </c>
      <c r="H1314" s="47" t="n">
        <f aca="false">IF(G1314="","",(Orders!G1314-G1314)/Orders!G1314)</f>
        <v>0.46158940397351</v>
      </c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  <c r="AE1314" s="46"/>
      <c r="AF1314" s="46"/>
      <c r="AG1314" s="46"/>
      <c r="AH1314" s="46"/>
      <c r="AI1314" s="46"/>
      <c r="AJ1314" s="46"/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</row>
    <row r="1315" customFormat="false" ht="15" hidden="false" customHeight="false" outlineLevel="0" collapsed="false">
      <c r="A1315" s="46" t="str">
        <f aca="false">Orders!A1315</f>
        <v>ORD-01314</v>
      </c>
      <c r="B1315" s="46" t="str">
        <f aca="false">PROPER(TRIM(Orders!K1315))</f>
        <v>Hyderabad</v>
      </c>
      <c r="C1315" s="46" t="str">
        <f aca="false">IFERROR(VLOOKUP(Orders!D1315,Products!$A$2:$F$61,3,FALSE()),"Not Found")</f>
        <v>Beauty</v>
      </c>
      <c r="D1315" s="46" t="str">
        <f aca="false">IFERROR(VLOOKUP(Orders!C1315,Customers!$A$2:$F$301,5,FALSE()),"Not Found")</f>
        <v>Retail</v>
      </c>
      <c r="E1315" s="46" t="n">
        <f aca="false">IFERROR(VLOOKUP(Orders!C1315,Customers!$A$2:$F$301,3,FALSE()),"Not Found")</f>
        <v>27</v>
      </c>
      <c r="F1315" s="46" t="str">
        <f aca="false">IFERROR(VLOOKUP(Orders!E1315,Sales_Reps!$A$2:$E$31,3,FALSE()),"Not Found")</f>
        <v>North</v>
      </c>
      <c r="G1315" s="46" t="n">
        <f aca="false">IFERROR(VLOOKUP(Orders!D1315,Products!$A$2:$F$61,4,FALSE()),"")</f>
        <v>2237</v>
      </c>
      <c r="H1315" s="47" t="n">
        <f aca="false">IF(G1315="","",(Orders!G1315-G1315)/Orders!G1315)</f>
        <v>0.561372549019608</v>
      </c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</row>
    <row r="1316" customFormat="false" ht="15" hidden="false" customHeight="false" outlineLevel="0" collapsed="false">
      <c r="A1316" s="46" t="str">
        <f aca="false">Orders!A1316</f>
        <v>ORD-01315</v>
      </c>
      <c r="B1316" s="46" t="str">
        <f aca="false">PROPER(TRIM(Orders!K1316))</f>
        <v>Pune</v>
      </c>
      <c r="C1316" s="46" t="str">
        <f aca="false">IFERROR(VLOOKUP(Orders!D1316,Products!$A$2:$F$61,3,FALSE()),"Not Found")</f>
        <v>Electronics</v>
      </c>
      <c r="D1316" s="46" t="str">
        <f aca="false">IFERROR(VLOOKUP(Orders!C1316,Customers!$A$2:$F$301,5,FALSE()),"Not Found")</f>
        <v>Retail</v>
      </c>
      <c r="E1316" s="46" t="n">
        <f aca="false">IFERROR(VLOOKUP(Orders!C1316,Customers!$A$2:$F$301,3,FALSE()),"Not Found")</f>
        <v>49</v>
      </c>
      <c r="F1316" s="46" t="str">
        <f aca="false">IFERROR(VLOOKUP(Orders!E1316,Sales_Reps!$A$2:$E$31,3,FALSE()),"Not Found")</f>
        <v>North</v>
      </c>
      <c r="G1316" s="46" t="n">
        <f aca="false">IFERROR(VLOOKUP(Orders!D1316,Products!$A$2:$F$61,4,FALSE()),"")</f>
        <v>128</v>
      </c>
      <c r="H1316" s="47" t="n">
        <f aca="false">IF(G1316="","",(Orders!G1316-G1316)/Orders!G1316)</f>
        <v>0.573333333333333</v>
      </c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</row>
    <row r="1317" customFormat="false" ht="15" hidden="false" customHeight="false" outlineLevel="0" collapsed="false">
      <c r="A1317" s="46" t="str">
        <f aca="false">Orders!A1317</f>
        <v>ORD-01316</v>
      </c>
      <c r="B1317" s="46" t="str">
        <f aca="false">PROPER(TRIM(Orders!K1317))</f>
        <v>Pune</v>
      </c>
      <c r="C1317" s="46" t="str">
        <f aca="false">IFERROR(VLOOKUP(Orders!D1317,Products!$A$2:$F$61,3,FALSE()),"Not Found")</f>
        <v>Beauty</v>
      </c>
      <c r="D1317" s="46" t="str">
        <f aca="false">IFERROR(VLOOKUP(Orders!C1317,Customers!$A$2:$F$301,5,FALSE()),"Not Found")</f>
        <v>SMB</v>
      </c>
      <c r="E1317" s="46" t="n">
        <f aca="false">IFERROR(VLOOKUP(Orders!C1317,Customers!$A$2:$F$301,3,FALSE()),"Not Found")</f>
        <v>44</v>
      </c>
      <c r="F1317" s="46" t="str">
        <f aca="false">IFERROR(VLOOKUP(Orders!E1317,Sales_Reps!$A$2:$E$31,3,FALSE()),"Not Found")</f>
        <v>North</v>
      </c>
      <c r="G1317" s="46" t="n">
        <f aca="false">IFERROR(VLOOKUP(Orders!D1317,Products!$A$2:$F$61,4,FALSE()),"")</f>
        <v>1219</v>
      </c>
      <c r="H1317" s="47" t="n">
        <f aca="false">IF(G1317="","",(Orders!G1317-G1317)/Orders!G1317)</f>
        <v>0.467685589519651</v>
      </c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</row>
    <row r="1318" customFormat="false" ht="15" hidden="false" customHeight="false" outlineLevel="0" collapsed="false">
      <c r="A1318" s="46" t="str">
        <f aca="false">Orders!A1318</f>
        <v>ORD-01317</v>
      </c>
      <c r="B1318" s="46" t="str">
        <f aca="false">PROPER(TRIM(Orders!K1318))</f>
        <v>Chennai</v>
      </c>
      <c r="C1318" s="46" t="str">
        <f aca="false">IFERROR(VLOOKUP(Orders!D1318,Products!$A$2:$F$61,3,FALSE()),"Not Found")</f>
        <v>Apparel</v>
      </c>
      <c r="D1318" s="46" t="str">
        <f aca="false">IFERROR(VLOOKUP(Orders!C1318,Customers!$A$2:$F$301,5,FALSE()),"Not Found")</f>
        <v>Corporate</v>
      </c>
      <c r="E1318" s="46" t="n">
        <f aca="false">IFERROR(VLOOKUP(Orders!C1318,Customers!$A$2:$F$301,3,FALSE()),"Not Found")</f>
        <v>55</v>
      </c>
      <c r="F1318" s="46" t="str">
        <f aca="false">IFERROR(VLOOKUP(Orders!E1318,Sales_Reps!$A$2:$E$31,3,FALSE()),"Not Found")</f>
        <v>West</v>
      </c>
      <c r="G1318" s="46" t="n">
        <f aca="false">IFERROR(VLOOKUP(Orders!D1318,Products!$A$2:$F$61,4,FALSE()),"")</f>
        <v>2611</v>
      </c>
      <c r="H1318" s="47" t="n">
        <f aca="false">IF(G1318="","",(Orders!G1318-G1318)/Orders!G1318)</f>
        <v>0.282692307692308</v>
      </c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</row>
    <row r="1319" customFormat="false" ht="15" hidden="false" customHeight="false" outlineLevel="0" collapsed="false">
      <c r="A1319" s="46" t="str">
        <f aca="false">Orders!A1319</f>
        <v>ORD-01318</v>
      </c>
      <c r="B1319" s="46" t="str">
        <f aca="false">PROPER(TRIM(Orders!K1319))</f>
        <v>Mumbai</v>
      </c>
      <c r="C1319" s="46" t="str">
        <f aca="false">IFERROR(VLOOKUP(Orders!D1319,Products!$A$2:$F$61,3,FALSE()),"Not Found")</f>
        <v>Apparel</v>
      </c>
      <c r="D1319" s="46" t="str">
        <f aca="false">IFERROR(VLOOKUP(Orders!C1319,Customers!$A$2:$F$301,5,FALSE()),"Not Found")</f>
        <v>Retail</v>
      </c>
      <c r="E1319" s="46" t="n">
        <f aca="false">IFERROR(VLOOKUP(Orders!C1319,Customers!$A$2:$F$301,3,FALSE()),"Not Found")</f>
        <v>52</v>
      </c>
      <c r="F1319" s="46" t="str">
        <f aca="false">IFERROR(VLOOKUP(Orders!E1319,Sales_Reps!$A$2:$E$31,3,FALSE()),"Not Found")</f>
        <v>East</v>
      </c>
      <c r="G1319" s="46" t="n">
        <f aca="false">IFERROR(VLOOKUP(Orders!D1319,Products!$A$2:$F$61,4,FALSE()),"")</f>
        <v>391</v>
      </c>
      <c r="H1319" s="47" t="n">
        <f aca="false">IF(G1319="","",(Orders!G1319-G1319)/Orders!G1319)</f>
        <v>0.523170731707317</v>
      </c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</row>
    <row r="1320" customFormat="false" ht="15" hidden="false" customHeight="false" outlineLevel="0" collapsed="false">
      <c r="A1320" s="46" t="str">
        <f aca="false">Orders!A1320</f>
        <v>ORD-01319</v>
      </c>
      <c r="B1320" s="46" t="str">
        <f aca="false">PROPER(TRIM(Orders!K1320))</f>
        <v>Mumbai</v>
      </c>
      <c r="C1320" s="46" t="str">
        <f aca="false">IFERROR(VLOOKUP(Orders!D1320,Products!$A$2:$F$61,3,FALSE()),"Not Found")</f>
        <v>Grocery</v>
      </c>
      <c r="D1320" s="46" t="str">
        <f aca="false">IFERROR(VLOOKUP(Orders!C1320,Customers!$A$2:$F$301,5,FALSE()),"Not Found")</f>
        <v>Corporate</v>
      </c>
      <c r="E1320" s="46" t="n">
        <f aca="false">IFERROR(VLOOKUP(Orders!C1320,Customers!$A$2:$F$301,3,FALSE()),"Not Found")</f>
        <v>42</v>
      </c>
      <c r="F1320" s="46" t="str">
        <f aca="false">IFERROR(VLOOKUP(Orders!E1320,Sales_Reps!$A$2:$E$31,3,FALSE()),"Not Found")</f>
        <v>South</v>
      </c>
      <c r="G1320" s="46" t="n">
        <f aca="false">IFERROR(VLOOKUP(Orders!D1320,Products!$A$2:$F$61,4,FALSE()),"")</f>
        <v>434</v>
      </c>
      <c r="H1320" s="47" t="n">
        <f aca="false">IF(G1320="","",(Orders!G1320-G1320)/Orders!G1320)</f>
        <v>0.552577319587629</v>
      </c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</row>
    <row r="1321" customFormat="false" ht="15" hidden="false" customHeight="false" outlineLevel="0" collapsed="false">
      <c r="A1321" s="46" t="str">
        <f aca="false">Orders!A1321</f>
        <v>ORD-01320</v>
      </c>
      <c r="B1321" s="46" t="str">
        <f aca="false">PROPER(TRIM(Orders!K1321))</f>
        <v>Hyderabad</v>
      </c>
      <c r="C1321" s="46" t="str">
        <f aca="false">IFERROR(VLOOKUP(Orders!D1321,Products!$A$2:$F$61,3,FALSE()),"Not Found")</f>
        <v>Apparel</v>
      </c>
      <c r="D1321" s="46" t="str">
        <f aca="false">IFERROR(VLOOKUP(Orders!C1321,Customers!$A$2:$F$301,5,FALSE()),"Not Found")</f>
        <v>Retail</v>
      </c>
      <c r="E1321" s="46" t="n">
        <f aca="false">IFERROR(VLOOKUP(Orders!C1321,Customers!$A$2:$F$301,3,FALSE()),"Not Found")</f>
        <v>60</v>
      </c>
      <c r="F1321" s="46" t="str">
        <f aca="false">IFERROR(VLOOKUP(Orders!E1321,Sales_Reps!$A$2:$E$31,3,FALSE()),"Not Found")</f>
        <v>East</v>
      </c>
      <c r="G1321" s="46" t="n">
        <f aca="false">IFERROR(VLOOKUP(Orders!D1321,Products!$A$2:$F$61,4,FALSE()),"")</f>
        <v>2629</v>
      </c>
      <c r="H1321" s="47" t="n">
        <f aca="false">IF(G1321="","",(Orders!G1321-G1321)/Orders!G1321)</f>
        <v>0.261516853932584</v>
      </c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</row>
    <row r="1322" customFormat="false" ht="15" hidden="false" customHeight="false" outlineLevel="0" collapsed="false">
      <c r="A1322" s="46" t="str">
        <f aca="false">Orders!A1322</f>
        <v>ORD-01321</v>
      </c>
      <c r="B1322" s="46" t="str">
        <f aca="false">PROPER(TRIM(Orders!K1322))</f>
        <v>Chennai</v>
      </c>
      <c r="C1322" s="46" t="str">
        <f aca="false">IFERROR(VLOOKUP(Orders!D1322,Products!$A$2:$F$61,3,FALSE()),"Not Found")</f>
        <v>Home</v>
      </c>
      <c r="D1322" s="46" t="str">
        <f aca="false">IFERROR(VLOOKUP(Orders!C1322,Customers!$A$2:$F$301,5,FALSE()),"Not Found")</f>
        <v>Retail</v>
      </c>
      <c r="E1322" s="46" t="n">
        <f aca="false">IFERROR(VLOOKUP(Orders!C1322,Customers!$A$2:$F$301,3,FALSE()),"Not Found")</f>
        <v>60</v>
      </c>
      <c r="F1322" s="46" t="str">
        <f aca="false">IFERROR(VLOOKUP(Orders!E1322,Sales_Reps!$A$2:$E$31,3,FALSE()),"Not Found")</f>
        <v>South</v>
      </c>
      <c r="G1322" s="46" t="n">
        <f aca="false">IFERROR(VLOOKUP(Orders!D1322,Products!$A$2:$F$61,4,FALSE()),"")</f>
        <v>464</v>
      </c>
      <c r="H1322" s="47" t="n">
        <f aca="false">IF(G1322="","",(Orders!G1322-G1322)/Orders!G1322)</f>
        <v>0.574311926605505</v>
      </c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/>
      <c r="AE1322" s="46"/>
      <c r="AF1322" s="46"/>
      <c r="AG1322" s="46"/>
      <c r="AH1322" s="46"/>
      <c r="AI1322" s="46"/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</row>
    <row r="1323" customFormat="false" ht="15" hidden="false" customHeight="false" outlineLevel="0" collapsed="false">
      <c r="A1323" s="46" t="str">
        <f aca="false">Orders!A1323</f>
        <v>ORD-01322</v>
      </c>
      <c r="B1323" s="46" t="str">
        <f aca="false">PROPER(TRIM(Orders!K1323))</f>
        <v>Mumbai</v>
      </c>
      <c r="C1323" s="46" t="str">
        <f aca="false">IFERROR(VLOOKUP(Orders!D1323,Products!$A$2:$F$61,3,FALSE()),"Not Found")</f>
        <v>Electronics</v>
      </c>
      <c r="D1323" s="46" t="str">
        <f aca="false">IFERROR(VLOOKUP(Orders!C1323,Customers!$A$2:$F$301,5,FALSE()),"Not Found")</f>
        <v>Retail</v>
      </c>
      <c r="E1323" s="46" t="n">
        <f aca="false">IFERROR(VLOOKUP(Orders!C1323,Customers!$A$2:$F$301,3,FALSE()),"Not Found")</f>
        <v>33</v>
      </c>
      <c r="F1323" s="46" t="str">
        <f aca="false">IFERROR(VLOOKUP(Orders!E1323,Sales_Reps!$A$2:$E$31,3,FALSE()),"Not Found")</f>
        <v>East</v>
      </c>
      <c r="G1323" s="46" t="n">
        <f aca="false">IFERROR(VLOOKUP(Orders!D1323,Products!$A$2:$F$61,4,FALSE()),"")</f>
        <v>1259</v>
      </c>
      <c r="H1323" s="47" t="n">
        <f aca="false">IF(G1323="","",(Orders!G1323-G1323)/Orders!G1323)</f>
        <v>0.526691729323308</v>
      </c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</row>
    <row r="1324" customFormat="false" ht="15" hidden="false" customHeight="false" outlineLevel="0" collapsed="false">
      <c r="A1324" s="46" t="str">
        <f aca="false">Orders!A1324</f>
        <v>ORD-01323</v>
      </c>
      <c r="B1324" s="46" t="str">
        <f aca="false">PROPER(TRIM(Orders!K1324))</f>
        <v>Hyderabad</v>
      </c>
      <c r="C1324" s="46" t="str">
        <f aca="false">IFERROR(VLOOKUP(Orders!D1324,Products!$A$2:$F$61,3,FALSE()),"Not Found")</f>
        <v>Electronics</v>
      </c>
      <c r="D1324" s="46" t="str">
        <f aca="false">IFERROR(VLOOKUP(Orders!C1324,Customers!$A$2:$F$301,5,FALSE()),"Not Found")</f>
        <v>Retail</v>
      </c>
      <c r="E1324" s="46" t="n">
        <f aca="false">IFERROR(VLOOKUP(Orders!C1324,Customers!$A$2:$F$301,3,FALSE()),"Not Found")</f>
        <v>28</v>
      </c>
      <c r="F1324" s="46" t="str">
        <f aca="false">IFERROR(VLOOKUP(Orders!E1324,Sales_Reps!$A$2:$E$31,3,FALSE()),"Not Found")</f>
        <v>North</v>
      </c>
      <c r="G1324" s="46" t="n">
        <f aca="false">IFERROR(VLOOKUP(Orders!D1324,Products!$A$2:$F$61,4,FALSE()),"")</f>
        <v>2865</v>
      </c>
      <c r="H1324" s="47" t="n">
        <f aca="false">IF(G1324="","",(Orders!G1324-G1324)/Orders!G1324)</f>
        <v>0.278337531486146</v>
      </c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</row>
    <row r="1325" customFormat="false" ht="15" hidden="false" customHeight="false" outlineLevel="0" collapsed="false">
      <c r="A1325" s="46" t="str">
        <f aca="false">Orders!A1325</f>
        <v>ORD-01324</v>
      </c>
      <c r="B1325" s="46" t="str">
        <f aca="false">PROPER(TRIM(Orders!K1325))</f>
        <v>Mumbai</v>
      </c>
      <c r="C1325" s="46" t="str">
        <f aca="false">IFERROR(VLOOKUP(Orders!D1325,Products!$A$2:$F$61,3,FALSE()),"Not Found")</f>
        <v>Sports</v>
      </c>
      <c r="D1325" s="46" t="str">
        <f aca="false">IFERROR(VLOOKUP(Orders!C1325,Customers!$A$2:$F$301,5,FALSE()),"Not Found")</f>
        <v>Retail</v>
      </c>
      <c r="E1325" s="46" t="n">
        <f aca="false">IFERROR(VLOOKUP(Orders!C1325,Customers!$A$2:$F$301,3,FALSE()),"Not Found")</f>
        <v>49</v>
      </c>
      <c r="F1325" s="46" t="str">
        <f aca="false">IFERROR(VLOOKUP(Orders!E1325,Sales_Reps!$A$2:$E$31,3,FALSE()),"Not Found")</f>
        <v>East</v>
      </c>
      <c r="G1325" s="46" t="n">
        <f aca="false">IFERROR(VLOOKUP(Orders!D1325,Products!$A$2:$F$61,4,FALSE()),"")</f>
        <v>2827</v>
      </c>
      <c r="H1325" s="47" t="n">
        <f aca="false">IF(G1325="","",(Orders!G1325-G1325)/Orders!G1325)</f>
        <v>0.592651296829971</v>
      </c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</row>
    <row r="1326" customFormat="false" ht="15" hidden="false" customHeight="false" outlineLevel="0" collapsed="false">
      <c r="A1326" s="46" t="str">
        <f aca="false">Orders!A1326</f>
        <v>ORD-01325</v>
      </c>
      <c r="B1326" s="46" t="str">
        <f aca="false">PROPER(TRIM(Orders!K1326))</f>
        <v>Mumbai</v>
      </c>
      <c r="C1326" s="46" t="str">
        <f aca="false">IFERROR(VLOOKUP(Orders!D1326,Products!$A$2:$F$61,3,FALSE()),"Not Found")</f>
        <v>Sports</v>
      </c>
      <c r="D1326" s="46" t="str">
        <f aca="false">IFERROR(VLOOKUP(Orders!C1326,Customers!$A$2:$F$301,5,FALSE()),"Not Found")</f>
        <v>SMB</v>
      </c>
      <c r="E1326" s="46" t="n">
        <f aca="false">IFERROR(VLOOKUP(Orders!C1326,Customers!$A$2:$F$301,3,FALSE()),"Not Found")</f>
        <v>27</v>
      </c>
      <c r="F1326" s="46" t="str">
        <f aca="false">IFERROR(VLOOKUP(Orders!E1326,Sales_Reps!$A$2:$E$31,3,FALSE()),"Not Found")</f>
        <v>North</v>
      </c>
      <c r="G1326" s="46" t="n">
        <f aca="false">IFERROR(VLOOKUP(Orders!D1326,Products!$A$2:$F$61,4,FALSE()),"")</f>
        <v>974</v>
      </c>
      <c r="H1326" s="47" t="n">
        <f aca="false">IF(G1326="","",(Orders!G1326-G1326)/Orders!G1326)</f>
        <v>0.594166666666667</v>
      </c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</row>
    <row r="1327" customFormat="false" ht="15" hidden="false" customHeight="false" outlineLevel="0" collapsed="false">
      <c r="A1327" s="46" t="str">
        <f aca="false">Orders!A1327</f>
        <v>ORD-01326</v>
      </c>
      <c r="B1327" s="46" t="str">
        <f aca="false">PROPER(TRIM(Orders!K1327))</f>
        <v>Pune</v>
      </c>
      <c r="C1327" s="46" t="str">
        <f aca="false">IFERROR(VLOOKUP(Orders!D1327,Products!$A$2:$F$61,3,FALSE()),"Not Found")</f>
        <v>Sports</v>
      </c>
      <c r="D1327" s="46" t="str">
        <f aca="false">IFERROR(VLOOKUP(Orders!C1327,Customers!$A$2:$F$301,5,FALSE()),"Not Found")</f>
        <v>Retail</v>
      </c>
      <c r="E1327" s="46" t="n">
        <f aca="false">IFERROR(VLOOKUP(Orders!C1327,Customers!$A$2:$F$301,3,FALSE()),"Not Found")</f>
        <v>44</v>
      </c>
      <c r="F1327" s="46" t="str">
        <f aca="false">IFERROR(VLOOKUP(Orders!E1327,Sales_Reps!$A$2:$E$31,3,FALSE()),"Not Found")</f>
        <v>East</v>
      </c>
      <c r="G1327" s="46" t="n">
        <f aca="false">IFERROR(VLOOKUP(Orders!D1327,Products!$A$2:$F$61,4,FALSE()),"")</f>
        <v>2467</v>
      </c>
      <c r="H1327" s="47" t="n">
        <f aca="false">IF(G1327="","",(Orders!G1327-G1327)/Orders!G1327)</f>
        <v>0.284927536231884</v>
      </c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</row>
    <row r="1328" customFormat="false" ht="15" hidden="false" customHeight="false" outlineLevel="0" collapsed="false">
      <c r="A1328" s="46" t="str">
        <f aca="false">Orders!A1328</f>
        <v>ORD-01327</v>
      </c>
      <c r="B1328" s="46" t="str">
        <f aca="false">PROPER(TRIM(Orders!K1328))</f>
        <v>Pune</v>
      </c>
      <c r="C1328" s="46" t="str">
        <f aca="false">IFERROR(VLOOKUP(Orders!D1328,Products!$A$2:$F$61,3,FALSE()),"Not Found")</f>
        <v>Electronics</v>
      </c>
      <c r="D1328" s="46" t="str">
        <f aca="false">IFERROR(VLOOKUP(Orders!C1328,Customers!$A$2:$F$301,5,FALSE()),"Not Found")</f>
        <v>SMB</v>
      </c>
      <c r="E1328" s="46" t="n">
        <f aca="false">IFERROR(VLOOKUP(Orders!C1328,Customers!$A$2:$F$301,3,FALSE()),"Not Found")</f>
        <v>30</v>
      </c>
      <c r="F1328" s="46" t="str">
        <f aca="false">IFERROR(VLOOKUP(Orders!E1328,Sales_Reps!$A$2:$E$31,3,FALSE()),"Not Found")</f>
        <v>North</v>
      </c>
      <c r="G1328" s="46" t="n">
        <f aca="false">IFERROR(VLOOKUP(Orders!D1328,Products!$A$2:$F$61,4,FALSE()),"")</f>
        <v>517</v>
      </c>
      <c r="H1328" s="47" t="n">
        <f aca="false">IF(G1328="","",(Orders!G1328-G1328)/Orders!G1328)</f>
        <v>0.576229508196721</v>
      </c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46"/>
      <c r="AE1328" s="46"/>
      <c r="AF1328" s="46"/>
      <c r="AG1328" s="46"/>
      <c r="AH1328" s="46"/>
      <c r="AI1328" s="46"/>
      <c r="AJ1328" s="46"/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</row>
    <row r="1329" customFormat="false" ht="15" hidden="false" customHeight="false" outlineLevel="0" collapsed="false">
      <c r="A1329" s="46" t="str">
        <f aca="false">Orders!A1329</f>
        <v>ORD-01328</v>
      </c>
      <c r="B1329" s="46" t="str">
        <f aca="false">PROPER(TRIM(Orders!K1329))</f>
        <v>Delhi</v>
      </c>
      <c r="C1329" s="46" t="str">
        <f aca="false">IFERROR(VLOOKUP(Orders!D1329,Products!$A$2:$F$61,3,FALSE()),"Not Found")</f>
        <v>Apparel</v>
      </c>
      <c r="D1329" s="46" t="str">
        <f aca="false">IFERROR(VLOOKUP(Orders!C1329,Customers!$A$2:$F$301,5,FALSE()),"Not Found")</f>
        <v>Retail</v>
      </c>
      <c r="E1329" s="46" t="n">
        <f aca="false">IFERROR(VLOOKUP(Orders!C1329,Customers!$A$2:$F$301,3,FALSE()),"Not Found")</f>
        <v>62</v>
      </c>
      <c r="F1329" s="46" t="str">
        <f aca="false">IFERROR(VLOOKUP(Orders!E1329,Sales_Reps!$A$2:$E$31,3,FALSE()),"Not Found")</f>
        <v>North</v>
      </c>
      <c r="G1329" s="46" t="n">
        <f aca="false">IFERROR(VLOOKUP(Orders!D1329,Products!$A$2:$F$61,4,FALSE()),"")</f>
        <v>396</v>
      </c>
      <c r="H1329" s="47" t="n">
        <f aca="false">IF(G1329="","",(Orders!G1329-G1329)/Orders!G1329)</f>
        <v>0.361290322580645</v>
      </c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/>
      <c r="AD1329" s="46"/>
      <c r="AE1329" s="46"/>
      <c r="AF1329" s="46"/>
      <c r="AG1329" s="46"/>
      <c r="AH1329" s="46"/>
      <c r="AI1329" s="46"/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</row>
    <row r="1330" customFormat="false" ht="15" hidden="false" customHeight="false" outlineLevel="0" collapsed="false">
      <c r="A1330" s="46" t="str">
        <f aca="false">Orders!A1330</f>
        <v>ORD-01329</v>
      </c>
      <c r="B1330" s="46" t="str">
        <f aca="false">PROPER(TRIM(Orders!K1330))</f>
        <v>Bengaluru</v>
      </c>
      <c r="C1330" s="46" t="str">
        <f aca="false">IFERROR(VLOOKUP(Orders!D1330,Products!$A$2:$F$61,3,FALSE()),"Not Found")</f>
        <v>Electronics</v>
      </c>
      <c r="D1330" s="46" t="str">
        <f aca="false">IFERROR(VLOOKUP(Orders!C1330,Customers!$A$2:$F$301,5,FALSE()),"Not Found")</f>
        <v>SMB</v>
      </c>
      <c r="E1330" s="46" t="n">
        <f aca="false">IFERROR(VLOOKUP(Orders!C1330,Customers!$A$2:$F$301,3,FALSE()),"Not Found")</f>
        <v>64</v>
      </c>
      <c r="F1330" s="46" t="str">
        <f aca="false">IFERROR(VLOOKUP(Orders!E1330,Sales_Reps!$A$2:$E$31,3,FALSE()),"Not Found")</f>
        <v>East</v>
      </c>
      <c r="G1330" s="46" t="n">
        <f aca="false">IFERROR(VLOOKUP(Orders!D1330,Products!$A$2:$F$61,4,FALSE()),"")</f>
        <v>128</v>
      </c>
      <c r="H1330" s="47" t="n">
        <f aca="false">IF(G1330="","",(Orders!G1330-G1330)/Orders!G1330)</f>
        <v>0.573333333333333</v>
      </c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/>
      <c r="AE1330" s="46"/>
      <c r="AF1330" s="46"/>
      <c r="AG1330" s="46"/>
      <c r="AH1330" s="46"/>
      <c r="AI1330" s="46"/>
      <c r="AJ1330" s="46"/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</row>
    <row r="1331" customFormat="false" ht="15" hidden="false" customHeight="false" outlineLevel="0" collapsed="false">
      <c r="A1331" s="46" t="str">
        <f aca="false">Orders!A1331</f>
        <v>ORD-01330</v>
      </c>
      <c r="B1331" s="46" t="str">
        <f aca="false">PROPER(TRIM(Orders!K1331))</f>
        <v>Bengaluru</v>
      </c>
      <c r="C1331" s="46" t="str">
        <f aca="false">IFERROR(VLOOKUP(Orders!D1331,Products!$A$2:$F$61,3,FALSE()),"Not Found")</f>
        <v>Sports</v>
      </c>
      <c r="D1331" s="46" t="str">
        <f aca="false">IFERROR(VLOOKUP(Orders!C1331,Customers!$A$2:$F$301,5,FALSE()),"Not Found")</f>
        <v>Retail</v>
      </c>
      <c r="E1331" s="46" t="n">
        <f aca="false">IFERROR(VLOOKUP(Orders!C1331,Customers!$A$2:$F$301,3,FALSE()),"Not Found")</f>
        <v>35</v>
      </c>
      <c r="F1331" s="46" t="str">
        <f aca="false">IFERROR(VLOOKUP(Orders!E1331,Sales_Reps!$A$2:$E$31,3,FALSE()),"Not Found")</f>
        <v>East</v>
      </c>
      <c r="G1331" s="46" t="n">
        <f aca="false">IFERROR(VLOOKUP(Orders!D1331,Products!$A$2:$F$61,4,FALSE()),"")</f>
        <v>516</v>
      </c>
      <c r="H1331" s="47" t="n">
        <f aca="false">IF(G1331="","",(Orders!G1331-G1331)/Orders!G1331)</f>
        <v>0.489108910891089</v>
      </c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  <c r="AB1331" s="46"/>
      <c r="AC1331" s="46"/>
      <c r="AD1331" s="46"/>
      <c r="AE1331" s="46"/>
      <c r="AF1331" s="46"/>
      <c r="AG1331" s="46"/>
      <c r="AH1331" s="46"/>
      <c r="AI1331" s="46"/>
      <c r="AJ1331" s="46"/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</row>
    <row r="1332" customFormat="false" ht="15" hidden="false" customHeight="false" outlineLevel="0" collapsed="false">
      <c r="A1332" s="46" t="str">
        <f aca="false">Orders!A1332</f>
        <v>ORD-01331</v>
      </c>
      <c r="B1332" s="46" t="str">
        <f aca="false">PROPER(TRIM(Orders!K1332))</f>
        <v>Delhi</v>
      </c>
      <c r="C1332" s="46" t="str">
        <f aca="false">IFERROR(VLOOKUP(Orders!D1332,Products!$A$2:$F$61,3,FALSE()),"Not Found")</f>
        <v>Home</v>
      </c>
      <c r="D1332" s="46" t="str">
        <f aca="false">IFERROR(VLOOKUP(Orders!C1332,Customers!$A$2:$F$301,5,FALSE()),"Not Found")</f>
        <v>Retail</v>
      </c>
      <c r="E1332" s="46" t="n">
        <f aca="false">IFERROR(VLOOKUP(Orders!C1332,Customers!$A$2:$F$301,3,FALSE()),"Not Found")</f>
        <v>63</v>
      </c>
      <c r="F1332" s="46" t="str">
        <f aca="false">IFERROR(VLOOKUP(Orders!E1332,Sales_Reps!$A$2:$E$31,3,FALSE()),"Not Found")</f>
        <v>West</v>
      </c>
      <c r="G1332" s="46" t="n">
        <f aca="false">IFERROR(VLOOKUP(Orders!D1332,Products!$A$2:$F$61,4,FALSE()),"")</f>
        <v>2459</v>
      </c>
      <c r="H1332" s="47" t="n">
        <f aca="false">IF(G1332="","",(Orders!G1332-G1332)/Orders!G1332)</f>
        <v>0.515944881889764</v>
      </c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</row>
    <row r="1333" customFormat="false" ht="15" hidden="false" customHeight="false" outlineLevel="0" collapsed="false">
      <c r="A1333" s="46" t="str">
        <f aca="false">Orders!A1333</f>
        <v>ORD-01332</v>
      </c>
      <c r="B1333" s="46" t="str">
        <f aca="false">PROPER(TRIM(Orders!K1333))</f>
        <v>Hyderabad</v>
      </c>
      <c r="C1333" s="46" t="str">
        <f aca="false">IFERROR(VLOOKUP(Orders!D1333,Products!$A$2:$F$61,3,FALSE()),"Not Found")</f>
        <v>Apparel</v>
      </c>
      <c r="D1333" s="46" t="str">
        <f aca="false">IFERROR(VLOOKUP(Orders!C1333,Customers!$A$2:$F$301,5,FALSE()),"Not Found")</f>
        <v>SMB</v>
      </c>
      <c r="E1333" s="46" t="n">
        <f aca="false">IFERROR(VLOOKUP(Orders!C1333,Customers!$A$2:$F$301,3,FALSE()),"Not Found")</f>
        <v>40</v>
      </c>
      <c r="F1333" s="46" t="str">
        <f aca="false">IFERROR(VLOOKUP(Orders!E1333,Sales_Reps!$A$2:$E$31,3,FALSE()),"Not Found")</f>
        <v>West</v>
      </c>
      <c r="G1333" s="46" t="n">
        <f aca="false">IFERROR(VLOOKUP(Orders!D1333,Products!$A$2:$F$61,4,FALSE()),"")</f>
        <v>1886</v>
      </c>
      <c r="H1333" s="47" t="n">
        <f aca="false">IF(G1333="","",(Orders!G1333-G1333)/Orders!G1333)</f>
        <v>0.403164556962025</v>
      </c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</row>
    <row r="1334" customFormat="false" ht="15" hidden="false" customHeight="false" outlineLevel="0" collapsed="false">
      <c r="A1334" s="46" t="str">
        <f aca="false">Orders!A1334</f>
        <v>ORD-01333</v>
      </c>
      <c r="B1334" s="46" t="str">
        <f aca="false">PROPER(TRIM(Orders!K1334))</f>
        <v>Bengaluru</v>
      </c>
      <c r="C1334" s="46" t="str">
        <f aca="false">IFERROR(VLOOKUP(Orders!D1334,Products!$A$2:$F$61,3,FALSE()),"Not Found")</f>
        <v>Beauty</v>
      </c>
      <c r="D1334" s="46" t="str">
        <f aca="false">IFERROR(VLOOKUP(Orders!C1334,Customers!$A$2:$F$301,5,FALSE()),"Not Found")</f>
        <v>SMB</v>
      </c>
      <c r="E1334" s="46" t="n">
        <f aca="false">IFERROR(VLOOKUP(Orders!C1334,Customers!$A$2:$F$301,3,FALSE()),"Not Found")</f>
        <v>49</v>
      </c>
      <c r="F1334" s="46" t="str">
        <f aca="false">IFERROR(VLOOKUP(Orders!E1334,Sales_Reps!$A$2:$E$31,3,FALSE()),"Not Found")</f>
        <v>South</v>
      </c>
      <c r="G1334" s="46" t="n">
        <f aca="false">IFERROR(VLOOKUP(Orders!D1334,Products!$A$2:$F$61,4,FALSE()),"")</f>
        <v>2420</v>
      </c>
      <c r="H1334" s="47" t="n">
        <f aca="false">IF(G1334="","",(Orders!G1334-G1334)/Orders!G1334)</f>
        <v>0.298550724637681</v>
      </c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</row>
    <row r="1335" customFormat="false" ht="15" hidden="false" customHeight="false" outlineLevel="0" collapsed="false">
      <c r="A1335" s="46" t="str">
        <f aca="false">Orders!A1335</f>
        <v>ORD-01334</v>
      </c>
      <c r="B1335" s="46" t="str">
        <f aca="false">PROPER(TRIM(Orders!K1335))</f>
        <v>Delhi</v>
      </c>
      <c r="C1335" s="46" t="str">
        <f aca="false">IFERROR(VLOOKUP(Orders!D1335,Products!$A$2:$F$61,3,FALSE()),"Not Found")</f>
        <v>Electronics</v>
      </c>
      <c r="D1335" s="46" t="str">
        <f aca="false">IFERROR(VLOOKUP(Orders!C1335,Customers!$A$2:$F$301,5,FALSE()),"Not Found")</f>
        <v>Corporate</v>
      </c>
      <c r="E1335" s="46" t="n">
        <f aca="false">IFERROR(VLOOKUP(Orders!C1335,Customers!$A$2:$F$301,3,FALSE()),"Not Found")</f>
        <v>47</v>
      </c>
      <c r="F1335" s="46" t="str">
        <f aca="false">IFERROR(VLOOKUP(Orders!E1335,Sales_Reps!$A$2:$E$31,3,FALSE()),"Not Found")</f>
        <v>North</v>
      </c>
      <c r="G1335" s="46" t="n">
        <f aca="false">IFERROR(VLOOKUP(Orders!D1335,Products!$A$2:$F$61,4,FALSE()),"")</f>
        <v>2405</v>
      </c>
      <c r="H1335" s="47" t="n">
        <f aca="false">IF(G1335="","",(Orders!G1335-G1335)/Orders!G1335)</f>
        <v>0.548780487804878</v>
      </c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46"/>
      <c r="AE1335" s="46"/>
      <c r="AF1335" s="46"/>
      <c r="AG1335" s="46"/>
      <c r="AH1335" s="46"/>
      <c r="AI1335" s="46"/>
      <c r="AJ1335" s="46"/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</row>
    <row r="1336" customFormat="false" ht="15" hidden="false" customHeight="false" outlineLevel="0" collapsed="false">
      <c r="A1336" s="46" t="str">
        <f aca="false">Orders!A1336</f>
        <v>ORD-01335</v>
      </c>
      <c r="B1336" s="46" t="str">
        <f aca="false">PROPER(TRIM(Orders!K1336))</f>
        <v>Mumbai</v>
      </c>
      <c r="C1336" s="46" t="str">
        <f aca="false">IFERROR(VLOOKUP(Orders!D1336,Products!$A$2:$F$61,3,FALSE()),"Not Found")</f>
        <v>Sports</v>
      </c>
      <c r="D1336" s="46" t="str">
        <f aca="false">IFERROR(VLOOKUP(Orders!C1336,Customers!$A$2:$F$301,5,FALSE()),"Not Found")</f>
        <v>Retail</v>
      </c>
      <c r="E1336" s="46" t="n">
        <f aca="false">IFERROR(VLOOKUP(Orders!C1336,Customers!$A$2:$F$301,3,FALSE()),"Not Found")</f>
        <v>44</v>
      </c>
      <c r="F1336" s="46" t="str">
        <f aca="false">IFERROR(VLOOKUP(Orders!E1336,Sales_Reps!$A$2:$E$31,3,FALSE()),"Not Found")</f>
        <v>South</v>
      </c>
      <c r="G1336" s="46" t="n">
        <f aca="false">IFERROR(VLOOKUP(Orders!D1336,Products!$A$2:$F$61,4,FALSE()),"")</f>
        <v>2827</v>
      </c>
      <c r="H1336" s="47" t="n">
        <f aca="false">IF(G1336="","",(Orders!G1336-G1336)/Orders!G1336)</f>
        <v>0.592651296829971</v>
      </c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</row>
    <row r="1337" customFormat="false" ht="15" hidden="false" customHeight="false" outlineLevel="0" collapsed="false">
      <c r="A1337" s="46" t="str">
        <f aca="false">Orders!A1337</f>
        <v>ORD-01336</v>
      </c>
      <c r="B1337" s="46" t="str">
        <f aca="false">PROPER(TRIM(Orders!K1337))</f>
        <v>Bengaluru</v>
      </c>
      <c r="C1337" s="46" t="str">
        <f aca="false">IFERROR(VLOOKUP(Orders!D1337,Products!$A$2:$F$61,3,FALSE()),"Not Found")</f>
        <v>Home</v>
      </c>
      <c r="D1337" s="46" t="str">
        <f aca="false">IFERROR(VLOOKUP(Orders!C1337,Customers!$A$2:$F$301,5,FALSE()),"Not Found")</f>
        <v>Retail</v>
      </c>
      <c r="E1337" s="46" t="n">
        <f aca="false">IFERROR(VLOOKUP(Orders!C1337,Customers!$A$2:$F$301,3,FALSE()),"Not Found")</f>
        <v>34</v>
      </c>
      <c r="F1337" s="46" t="str">
        <f aca="false">IFERROR(VLOOKUP(Orders!E1337,Sales_Reps!$A$2:$E$31,3,FALSE()),"Not Found")</f>
        <v>West</v>
      </c>
      <c r="G1337" s="46" t="n">
        <f aca="false">IFERROR(VLOOKUP(Orders!D1337,Products!$A$2:$F$61,4,FALSE()),"")</f>
        <v>329</v>
      </c>
      <c r="H1337" s="47" t="n">
        <f aca="false">IF(G1337="","",(Orders!G1337-G1337)/Orders!G1337)</f>
        <v>0.501515151515152</v>
      </c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/>
      <c r="AC1337" s="46"/>
      <c r="AD1337" s="46"/>
      <c r="AE1337" s="46"/>
      <c r="AF1337" s="46"/>
      <c r="AG1337" s="46"/>
      <c r="AH1337" s="46"/>
      <c r="AI1337" s="46"/>
      <c r="AJ1337" s="46"/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</row>
    <row r="1338" customFormat="false" ht="15" hidden="false" customHeight="false" outlineLevel="0" collapsed="false">
      <c r="A1338" s="46" t="str">
        <f aca="false">Orders!A1338</f>
        <v>ORD-01337</v>
      </c>
      <c r="B1338" s="46" t="str">
        <f aca="false">PROPER(TRIM(Orders!K1338))</f>
        <v>Chennai</v>
      </c>
      <c r="C1338" s="46" t="str">
        <f aca="false">IFERROR(VLOOKUP(Orders!D1338,Products!$A$2:$F$61,3,FALSE()),"Not Found")</f>
        <v>Beauty</v>
      </c>
      <c r="D1338" s="46" t="str">
        <f aca="false">IFERROR(VLOOKUP(Orders!C1338,Customers!$A$2:$F$301,5,FALSE()),"Not Found")</f>
        <v>Corporate</v>
      </c>
      <c r="E1338" s="46" t="n">
        <f aca="false">IFERROR(VLOOKUP(Orders!C1338,Customers!$A$2:$F$301,3,FALSE()),"Not Found")</f>
        <v>52</v>
      </c>
      <c r="F1338" s="46" t="str">
        <f aca="false">IFERROR(VLOOKUP(Orders!E1338,Sales_Reps!$A$2:$E$31,3,FALSE()),"Not Found")</f>
        <v>South</v>
      </c>
      <c r="G1338" s="46" t="n">
        <f aca="false">IFERROR(VLOOKUP(Orders!D1338,Products!$A$2:$F$61,4,FALSE()),"")</f>
        <v>2237</v>
      </c>
      <c r="H1338" s="47" t="n">
        <f aca="false">IF(G1338="","",(Orders!G1338-G1338)/Orders!G1338)</f>
        <v>0.561372549019608</v>
      </c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</row>
    <row r="1339" customFormat="false" ht="15" hidden="false" customHeight="false" outlineLevel="0" collapsed="false">
      <c r="A1339" s="46" t="str">
        <f aca="false">Orders!A1339</f>
        <v>ORD-01338</v>
      </c>
      <c r="B1339" s="46" t="str">
        <f aca="false">PROPER(TRIM(Orders!K1339))</f>
        <v>Chennai</v>
      </c>
      <c r="C1339" s="46" t="str">
        <f aca="false">IFERROR(VLOOKUP(Orders!D1339,Products!$A$2:$F$61,3,FALSE()),"Not Found")</f>
        <v>Beauty</v>
      </c>
      <c r="D1339" s="46" t="str">
        <f aca="false">IFERROR(VLOOKUP(Orders!C1339,Customers!$A$2:$F$301,5,FALSE()),"Not Found")</f>
        <v>Not Found</v>
      </c>
      <c r="E1339" s="46" t="str">
        <f aca="false">IFERROR(VLOOKUP(Orders!C1339,Customers!$A$2:$F$301,3,FALSE()),"Not Found")</f>
        <v>Not Found</v>
      </c>
      <c r="F1339" s="46" t="str">
        <f aca="false">IFERROR(VLOOKUP(Orders!E1339,Sales_Reps!$A$2:$E$31,3,FALSE()),"Not Found")</f>
        <v>South</v>
      </c>
      <c r="G1339" s="46" t="n">
        <f aca="false">IFERROR(VLOOKUP(Orders!D1339,Products!$A$2:$F$61,4,FALSE()),"")</f>
        <v>1222</v>
      </c>
      <c r="H1339" s="47" t="n">
        <f aca="false">IF(G1339="","",(Orders!G1339-G1339)/Orders!G1339)</f>
        <v>0.259393939393939</v>
      </c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</row>
    <row r="1340" customFormat="false" ht="15" hidden="false" customHeight="false" outlineLevel="0" collapsed="false">
      <c r="A1340" s="46" t="str">
        <f aca="false">Orders!A1340</f>
        <v>ORD-01339</v>
      </c>
      <c r="B1340" s="46" t="str">
        <f aca="false">PROPER(TRIM(Orders!K1340))</f>
        <v>Chennai</v>
      </c>
      <c r="C1340" s="46" t="str">
        <f aca="false">IFERROR(VLOOKUP(Orders!D1340,Products!$A$2:$F$61,3,FALSE()),"Not Found")</f>
        <v>Apparel</v>
      </c>
      <c r="D1340" s="46" t="str">
        <f aca="false">IFERROR(VLOOKUP(Orders!C1340,Customers!$A$2:$F$301,5,FALSE()),"Not Found")</f>
        <v>Retail</v>
      </c>
      <c r="E1340" s="46" t="n">
        <f aca="false">IFERROR(VLOOKUP(Orders!C1340,Customers!$A$2:$F$301,3,FALSE()),"Not Found")</f>
        <v>24</v>
      </c>
      <c r="F1340" s="46" t="str">
        <f aca="false">IFERROR(VLOOKUP(Orders!E1340,Sales_Reps!$A$2:$E$31,3,FALSE()),"Not Found")</f>
        <v>East</v>
      </c>
      <c r="G1340" s="46" t="n">
        <f aca="false">IFERROR(VLOOKUP(Orders!D1340,Products!$A$2:$F$61,4,FALSE()),"")</f>
        <v>2611</v>
      </c>
      <c r="H1340" s="47" t="n">
        <f aca="false">IF(G1340="","",(Orders!G1340-G1340)/Orders!G1340)</f>
        <v>0.282692307692308</v>
      </c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</row>
    <row r="1341" customFormat="false" ht="15" hidden="false" customHeight="false" outlineLevel="0" collapsed="false">
      <c r="A1341" s="46" t="str">
        <f aca="false">Orders!A1341</f>
        <v>ORD-01340</v>
      </c>
      <c r="B1341" s="46" t="str">
        <f aca="false">PROPER(TRIM(Orders!K1341))</f>
        <v>Hyderabad</v>
      </c>
      <c r="C1341" s="46" t="str">
        <f aca="false">IFERROR(VLOOKUP(Orders!D1341,Products!$A$2:$F$61,3,FALSE()),"Not Found")</f>
        <v>Beauty</v>
      </c>
      <c r="D1341" s="46" t="str">
        <f aca="false">IFERROR(VLOOKUP(Orders!C1341,Customers!$A$2:$F$301,5,FALSE()),"Not Found")</f>
        <v>Retail</v>
      </c>
      <c r="E1341" s="46" t="n">
        <f aca="false">IFERROR(VLOOKUP(Orders!C1341,Customers!$A$2:$F$301,3,FALSE()),"Not Found")</f>
        <v>64</v>
      </c>
      <c r="F1341" s="46" t="str">
        <f aca="false">IFERROR(VLOOKUP(Orders!E1341,Sales_Reps!$A$2:$E$31,3,FALSE()),"Not Found")</f>
        <v>West</v>
      </c>
      <c r="G1341" s="46" t="n">
        <f aca="false">IFERROR(VLOOKUP(Orders!D1341,Products!$A$2:$F$61,4,FALSE()),"")</f>
        <v>2768</v>
      </c>
      <c r="H1341" s="47" t="n">
        <f aca="false">IF(G1341="","",(Orders!G1341-G1341)/Orders!G1341)</f>
        <v>0.432786885245902</v>
      </c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</row>
    <row r="1342" customFormat="false" ht="15" hidden="false" customHeight="false" outlineLevel="0" collapsed="false">
      <c r="A1342" s="46" t="str">
        <f aca="false">Orders!A1342</f>
        <v>ORD-01341</v>
      </c>
      <c r="B1342" s="46" t="str">
        <f aca="false">PROPER(TRIM(Orders!K1342))</f>
        <v>Bengaluru</v>
      </c>
      <c r="C1342" s="46" t="str">
        <f aca="false">IFERROR(VLOOKUP(Orders!D1342,Products!$A$2:$F$61,3,FALSE()),"Not Found")</f>
        <v>Electronics</v>
      </c>
      <c r="D1342" s="46" t="str">
        <f aca="false">IFERROR(VLOOKUP(Orders!C1342,Customers!$A$2:$F$301,5,FALSE()),"Not Found")</f>
        <v>Retail</v>
      </c>
      <c r="E1342" s="46" t="n">
        <f aca="false">IFERROR(VLOOKUP(Orders!C1342,Customers!$A$2:$F$301,3,FALSE()),"Not Found")</f>
        <v>35</v>
      </c>
      <c r="F1342" s="46" t="str">
        <f aca="false">IFERROR(VLOOKUP(Orders!E1342,Sales_Reps!$A$2:$E$31,3,FALSE()),"Not Found")</f>
        <v>West</v>
      </c>
      <c r="G1342" s="46" t="n">
        <f aca="false">IFERROR(VLOOKUP(Orders!D1342,Products!$A$2:$F$61,4,FALSE()),"")</f>
        <v>2405</v>
      </c>
      <c r="H1342" s="47" t="n">
        <f aca="false">IF(G1342="","",(Orders!G1342-G1342)/Orders!G1342)</f>
        <v>0.548780487804878</v>
      </c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/>
      <c r="AC1342" s="46"/>
      <c r="AD1342" s="46"/>
      <c r="AE1342" s="46"/>
      <c r="AF1342" s="46"/>
      <c r="AG1342" s="46"/>
      <c r="AH1342" s="46"/>
      <c r="AI1342" s="46"/>
      <c r="AJ1342" s="46"/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</row>
    <row r="1343" customFormat="false" ht="15" hidden="false" customHeight="false" outlineLevel="0" collapsed="false">
      <c r="A1343" s="46" t="str">
        <f aca="false">Orders!A1343</f>
        <v>ORD-01342</v>
      </c>
      <c r="B1343" s="46" t="str">
        <f aca="false">PROPER(TRIM(Orders!K1343))</f>
        <v>Pune</v>
      </c>
      <c r="C1343" s="46" t="str">
        <f aca="false">IFERROR(VLOOKUP(Orders!D1343,Products!$A$2:$F$61,3,FALSE()),"Not Found")</f>
        <v>Home</v>
      </c>
      <c r="D1343" s="46" t="str">
        <f aca="false">IFERROR(VLOOKUP(Orders!C1343,Customers!$A$2:$F$301,5,FALSE()),"Not Found")</f>
        <v>SMB</v>
      </c>
      <c r="E1343" s="46" t="n">
        <f aca="false">IFERROR(VLOOKUP(Orders!C1343,Customers!$A$2:$F$301,3,FALSE()),"Not Found")</f>
        <v>49</v>
      </c>
      <c r="F1343" s="46" t="str">
        <f aca="false">IFERROR(VLOOKUP(Orders!E1343,Sales_Reps!$A$2:$E$31,3,FALSE()),"Not Found")</f>
        <v>East</v>
      </c>
      <c r="G1343" s="46" t="n">
        <f aca="false">IFERROR(VLOOKUP(Orders!D1343,Products!$A$2:$F$61,4,FALSE()),"")</f>
        <v>2549</v>
      </c>
      <c r="H1343" s="47" t="n">
        <f aca="false">IF(G1343="","",(Orders!G1343-G1343)/Orders!G1343)</f>
        <v>0.535701275045537</v>
      </c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/>
      <c r="AD1343" s="46"/>
      <c r="AE1343" s="46"/>
      <c r="AF1343" s="46"/>
      <c r="AG1343" s="46"/>
      <c r="AH1343" s="46"/>
      <c r="AI1343" s="46"/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</row>
    <row r="1344" customFormat="false" ht="15" hidden="false" customHeight="false" outlineLevel="0" collapsed="false">
      <c r="A1344" s="46" t="str">
        <f aca="false">Orders!A1344</f>
        <v>ORD-01343</v>
      </c>
      <c r="B1344" s="46" t="str">
        <f aca="false">PROPER(TRIM(Orders!K1344))</f>
        <v>Chennai</v>
      </c>
      <c r="C1344" s="46" t="str">
        <f aca="false">IFERROR(VLOOKUP(Orders!D1344,Products!$A$2:$F$61,3,FALSE()),"Not Found")</f>
        <v>Sports</v>
      </c>
      <c r="D1344" s="46" t="str">
        <f aca="false">IFERROR(VLOOKUP(Orders!C1344,Customers!$A$2:$F$301,5,FALSE()),"Not Found")</f>
        <v>Corporate</v>
      </c>
      <c r="E1344" s="46" t="n">
        <f aca="false">IFERROR(VLOOKUP(Orders!C1344,Customers!$A$2:$F$301,3,FALSE()),"Not Found")</f>
        <v>55</v>
      </c>
      <c r="F1344" s="46" t="str">
        <f aca="false">IFERROR(VLOOKUP(Orders!E1344,Sales_Reps!$A$2:$E$31,3,FALSE()),"Not Found")</f>
        <v>North</v>
      </c>
      <c r="G1344" s="46" t="n">
        <f aca="false">IFERROR(VLOOKUP(Orders!D1344,Products!$A$2:$F$61,4,FALSE()),"")</f>
        <v>147</v>
      </c>
      <c r="H1344" s="47" t="n">
        <f aca="false">IF(G1344="","",(Orders!G1344-G1344)/Orders!G1344)</f>
        <v>0.226315789473684</v>
      </c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/>
      <c r="AC1344" s="46"/>
      <c r="AD1344" s="46"/>
      <c r="AE1344" s="46"/>
      <c r="AF1344" s="46"/>
      <c r="AG1344" s="46"/>
      <c r="AH1344" s="46"/>
      <c r="AI1344" s="46"/>
      <c r="AJ1344" s="46"/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</row>
    <row r="1345" customFormat="false" ht="15" hidden="false" customHeight="false" outlineLevel="0" collapsed="false">
      <c r="A1345" s="46" t="str">
        <f aca="false">Orders!A1345</f>
        <v>ORD-01344</v>
      </c>
      <c r="B1345" s="46" t="str">
        <f aca="false">PROPER(TRIM(Orders!K1345))</f>
        <v>Bengaluru</v>
      </c>
      <c r="C1345" s="46" t="str">
        <f aca="false">IFERROR(VLOOKUP(Orders!D1345,Products!$A$2:$F$61,3,FALSE()),"Not Found")</f>
        <v>Apparel</v>
      </c>
      <c r="D1345" s="46" t="str">
        <f aca="false">IFERROR(VLOOKUP(Orders!C1345,Customers!$A$2:$F$301,5,FALSE()),"Not Found")</f>
        <v>Retail</v>
      </c>
      <c r="E1345" s="46" t="n">
        <f aca="false">IFERROR(VLOOKUP(Orders!C1345,Customers!$A$2:$F$301,3,FALSE()),"Not Found")</f>
        <v>27</v>
      </c>
      <c r="F1345" s="46" t="str">
        <f aca="false">IFERROR(VLOOKUP(Orders!E1345,Sales_Reps!$A$2:$E$31,3,FALSE()),"Not Found")</f>
        <v>South</v>
      </c>
      <c r="G1345" s="46" t="n">
        <f aca="false">IFERROR(VLOOKUP(Orders!D1345,Products!$A$2:$F$61,4,FALSE()),"")</f>
        <v>1886</v>
      </c>
      <c r="H1345" s="47" t="n">
        <f aca="false">IF(G1345="","",(Orders!G1345-G1345)/Orders!G1345)</f>
        <v>0.403164556962025</v>
      </c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  <c r="AB1345" s="46"/>
      <c r="AC1345" s="46"/>
      <c r="AD1345" s="46"/>
      <c r="AE1345" s="46"/>
      <c r="AF1345" s="46"/>
      <c r="AG1345" s="46"/>
      <c r="AH1345" s="46"/>
      <c r="AI1345" s="46"/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</row>
    <row r="1346" customFormat="false" ht="15" hidden="false" customHeight="false" outlineLevel="0" collapsed="false">
      <c r="A1346" s="46" t="str">
        <f aca="false">Orders!A1346</f>
        <v>ORD-01345</v>
      </c>
      <c r="B1346" s="46" t="str">
        <f aca="false">PROPER(TRIM(Orders!K1346))</f>
        <v>Bengaluru</v>
      </c>
      <c r="C1346" s="46" t="str">
        <f aca="false">IFERROR(VLOOKUP(Orders!D1346,Products!$A$2:$F$61,3,FALSE()),"Not Found")</f>
        <v>Home</v>
      </c>
      <c r="D1346" s="46" t="str">
        <f aca="false">IFERROR(VLOOKUP(Orders!C1346,Customers!$A$2:$F$301,5,FALSE()),"Not Found")</f>
        <v>Retail</v>
      </c>
      <c r="E1346" s="46" t="n">
        <f aca="false">IFERROR(VLOOKUP(Orders!C1346,Customers!$A$2:$F$301,3,FALSE()),"Not Found")</f>
        <v>23</v>
      </c>
      <c r="F1346" s="46" t="str">
        <f aca="false">IFERROR(VLOOKUP(Orders!E1346,Sales_Reps!$A$2:$E$31,3,FALSE()),"Not Found")</f>
        <v>East</v>
      </c>
      <c r="G1346" s="46" t="n">
        <f aca="false">IFERROR(VLOOKUP(Orders!D1346,Products!$A$2:$F$61,4,FALSE()),"")</f>
        <v>464</v>
      </c>
      <c r="H1346" s="47" t="n">
        <f aca="false">IF(G1346="","",(Orders!G1346-G1346)/Orders!G1346)</f>
        <v>0.574311926605505</v>
      </c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</row>
    <row r="1347" customFormat="false" ht="15" hidden="false" customHeight="false" outlineLevel="0" collapsed="false">
      <c r="A1347" s="46" t="str">
        <f aca="false">Orders!A1347</f>
        <v>ORD-01346</v>
      </c>
      <c r="B1347" s="46" t="str">
        <f aca="false">PROPER(TRIM(Orders!K1347))</f>
        <v>Delhi</v>
      </c>
      <c r="C1347" s="46" t="str">
        <f aca="false">IFERROR(VLOOKUP(Orders!D1347,Products!$A$2:$F$61,3,FALSE()),"Not Found")</f>
        <v>Home</v>
      </c>
      <c r="D1347" s="46" t="str">
        <f aca="false">IFERROR(VLOOKUP(Orders!C1347,Customers!$A$2:$F$301,5,FALSE()),"Not Found")</f>
        <v>Corporate</v>
      </c>
      <c r="E1347" s="46" t="n">
        <f aca="false">IFERROR(VLOOKUP(Orders!C1347,Customers!$A$2:$F$301,3,FALSE()),"Not Found")</f>
        <v>27</v>
      </c>
      <c r="F1347" s="46" t="str">
        <f aca="false">IFERROR(VLOOKUP(Orders!E1347,Sales_Reps!$A$2:$E$31,3,FALSE()),"Not Found")</f>
        <v>North</v>
      </c>
      <c r="G1347" s="46" t="n">
        <f aca="false">IFERROR(VLOOKUP(Orders!D1347,Products!$A$2:$F$61,4,FALSE()),"")</f>
        <v>288</v>
      </c>
      <c r="H1347" s="47" t="n">
        <f aca="false">IF(G1347="","",(Orders!G1347-G1347)/Orders!G1347)</f>
        <v>0.221621621621622</v>
      </c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</row>
    <row r="1348" customFormat="false" ht="15" hidden="false" customHeight="false" outlineLevel="0" collapsed="false">
      <c r="A1348" s="46" t="str">
        <f aca="false">Orders!A1348</f>
        <v>ORD-01347</v>
      </c>
      <c r="B1348" s="46" t="str">
        <f aca="false">PROPER(TRIM(Orders!K1348))</f>
        <v>Chennai</v>
      </c>
      <c r="C1348" s="46" t="str">
        <f aca="false">IFERROR(VLOOKUP(Orders!D1348,Products!$A$2:$F$61,3,FALSE()),"Not Found")</f>
        <v>Electronics</v>
      </c>
      <c r="D1348" s="46" t="str">
        <f aca="false">IFERROR(VLOOKUP(Orders!C1348,Customers!$A$2:$F$301,5,FALSE()),"Not Found")</f>
        <v>Retail</v>
      </c>
      <c r="E1348" s="46" t="n">
        <f aca="false">IFERROR(VLOOKUP(Orders!C1348,Customers!$A$2:$F$301,3,FALSE()),"Not Found")</f>
        <v>51</v>
      </c>
      <c r="F1348" s="46" t="str">
        <f aca="false">IFERROR(VLOOKUP(Orders!E1348,Sales_Reps!$A$2:$E$31,3,FALSE()),"Not Found")</f>
        <v>North</v>
      </c>
      <c r="G1348" s="46" t="n">
        <f aca="false">IFERROR(VLOOKUP(Orders!D1348,Products!$A$2:$F$61,4,FALSE()),"")</f>
        <v>1259</v>
      </c>
      <c r="H1348" s="47" t="n">
        <f aca="false">IF(G1348="","",(Orders!G1348-G1348)/Orders!G1348)</f>
        <v>0.526691729323308</v>
      </c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  <c r="AB1348" s="46"/>
      <c r="AC1348" s="46"/>
      <c r="AD1348" s="46"/>
      <c r="AE1348" s="46"/>
      <c r="AF1348" s="46"/>
      <c r="AG1348" s="46"/>
      <c r="AH1348" s="46"/>
      <c r="AI1348" s="46"/>
      <c r="AJ1348" s="46"/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</row>
    <row r="1349" customFormat="false" ht="15" hidden="false" customHeight="false" outlineLevel="0" collapsed="false">
      <c r="A1349" s="46" t="str">
        <f aca="false">Orders!A1349</f>
        <v>ORD-01348</v>
      </c>
      <c r="B1349" s="46" t="str">
        <f aca="false">PROPER(TRIM(Orders!K1349))</f>
        <v>Chennai</v>
      </c>
      <c r="C1349" s="46" t="str">
        <f aca="false">IFERROR(VLOOKUP(Orders!D1349,Products!$A$2:$F$61,3,FALSE()),"Not Found")</f>
        <v>Apparel</v>
      </c>
      <c r="D1349" s="46" t="str">
        <f aca="false">IFERROR(VLOOKUP(Orders!C1349,Customers!$A$2:$F$301,5,FALSE()),"Not Found")</f>
        <v>Retail</v>
      </c>
      <c r="E1349" s="46" t="n">
        <f aca="false">IFERROR(VLOOKUP(Orders!C1349,Customers!$A$2:$F$301,3,FALSE()),"Not Found")</f>
        <v>34</v>
      </c>
      <c r="F1349" s="46" t="str">
        <f aca="false">IFERROR(VLOOKUP(Orders!E1349,Sales_Reps!$A$2:$E$31,3,FALSE()),"Not Found")</f>
        <v>East</v>
      </c>
      <c r="G1349" s="46" t="n">
        <f aca="false">IFERROR(VLOOKUP(Orders!D1349,Products!$A$2:$F$61,4,FALSE()),"")</f>
        <v>2629</v>
      </c>
      <c r="H1349" s="47" t="n">
        <f aca="false">IF(G1349="","",(Orders!G1349-G1349)/Orders!G1349)</f>
        <v>0.261516853932584</v>
      </c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</row>
    <row r="1350" customFormat="false" ht="15" hidden="false" customHeight="false" outlineLevel="0" collapsed="false">
      <c r="A1350" s="46" t="str">
        <f aca="false">Orders!A1350</f>
        <v>ORD-01349</v>
      </c>
      <c r="B1350" s="46" t="str">
        <f aca="false">PROPER(TRIM(Orders!K1350))</f>
        <v>Chennai</v>
      </c>
      <c r="C1350" s="46" t="str">
        <f aca="false">IFERROR(VLOOKUP(Orders!D1350,Products!$A$2:$F$61,3,FALSE()),"Not Found")</f>
        <v>Beauty</v>
      </c>
      <c r="D1350" s="46" t="str">
        <f aca="false">IFERROR(VLOOKUP(Orders!C1350,Customers!$A$2:$F$301,5,FALSE()),"Not Found")</f>
        <v>Corporate</v>
      </c>
      <c r="E1350" s="46" t="n">
        <f aca="false">IFERROR(VLOOKUP(Orders!C1350,Customers!$A$2:$F$301,3,FALSE()),"Not Found")</f>
        <v>52</v>
      </c>
      <c r="F1350" s="46" t="str">
        <f aca="false">IFERROR(VLOOKUP(Orders!E1350,Sales_Reps!$A$2:$E$31,3,FALSE()),"Not Found")</f>
        <v>North</v>
      </c>
      <c r="G1350" s="46" t="n">
        <f aca="false">IFERROR(VLOOKUP(Orders!D1350,Products!$A$2:$F$61,4,FALSE()),"")</f>
        <v>675</v>
      </c>
      <c r="H1350" s="47" t="n">
        <f aca="false">IF(G1350="","",(Orders!G1350-G1350)/Orders!G1350)</f>
        <v>0.296875</v>
      </c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</row>
    <row r="1351" customFormat="false" ht="15" hidden="false" customHeight="false" outlineLevel="0" collapsed="false">
      <c r="A1351" s="46" t="str">
        <f aca="false">Orders!A1351</f>
        <v>ORD-01350</v>
      </c>
      <c r="B1351" s="46" t="str">
        <f aca="false">PROPER(TRIM(Orders!K1351))</f>
        <v>Chennai</v>
      </c>
      <c r="C1351" s="46" t="str">
        <f aca="false">IFERROR(VLOOKUP(Orders!D1351,Products!$A$2:$F$61,3,FALSE()),"Not Found")</f>
        <v>Home</v>
      </c>
      <c r="D1351" s="46" t="str">
        <f aca="false">IFERROR(VLOOKUP(Orders!C1351,Customers!$A$2:$F$301,5,FALSE()),"Not Found")</f>
        <v>Retail</v>
      </c>
      <c r="E1351" s="46" t="n">
        <f aca="false">IFERROR(VLOOKUP(Orders!C1351,Customers!$A$2:$F$301,3,FALSE()),"Not Found")</f>
        <v>37</v>
      </c>
      <c r="F1351" s="46" t="str">
        <f aca="false">IFERROR(VLOOKUP(Orders!E1351,Sales_Reps!$A$2:$E$31,3,FALSE()),"Not Found")</f>
        <v>West</v>
      </c>
      <c r="G1351" s="46" t="n">
        <f aca="false">IFERROR(VLOOKUP(Orders!D1351,Products!$A$2:$F$61,4,FALSE()),"")</f>
        <v>288</v>
      </c>
      <c r="H1351" s="47" t="n">
        <f aca="false">IF(G1351="","",(Orders!G1351-G1351)/Orders!G1351)</f>
        <v>0.221621621621622</v>
      </c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/>
      <c r="AD1351" s="46"/>
      <c r="AE1351" s="46"/>
      <c r="AF1351" s="46"/>
      <c r="AG1351" s="46"/>
      <c r="AH1351" s="46"/>
      <c r="AI1351" s="46"/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</row>
    <row r="1352" customFormat="false" ht="15" hidden="false" customHeight="false" outlineLevel="0" collapsed="false">
      <c r="A1352" s="46" t="str">
        <f aca="false">Orders!A1352</f>
        <v>ORD-01351</v>
      </c>
      <c r="B1352" s="46" t="str">
        <f aca="false">PROPER(TRIM(Orders!K1352))</f>
        <v>Bengaluru</v>
      </c>
      <c r="C1352" s="46" t="str">
        <f aca="false">IFERROR(VLOOKUP(Orders!D1352,Products!$A$2:$F$61,3,FALSE()),"Not Found")</f>
        <v>Apparel</v>
      </c>
      <c r="D1352" s="46" t="str">
        <f aca="false">IFERROR(VLOOKUP(Orders!C1352,Customers!$A$2:$F$301,5,FALSE()),"Not Found")</f>
        <v>Retail</v>
      </c>
      <c r="E1352" s="46" t="n">
        <f aca="false">IFERROR(VLOOKUP(Orders!C1352,Customers!$A$2:$F$301,3,FALSE()),"Not Found")</f>
        <v>37</v>
      </c>
      <c r="F1352" s="46" t="str">
        <f aca="false">IFERROR(VLOOKUP(Orders!E1352,Sales_Reps!$A$2:$E$31,3,FALSE()),"Not Found")</f>
        <v>West</v>
      </c>
      <c r="G1352" s="46" t="n">
        <f aca="false">IFERROR(VLOOKUP(Orders!D1352,Products!$A$2:$F$61,4,FALSE()),"")</f>
        <v>1962</v>
      </c>
      <c r="H1352" s="47" t="n">
        <f aca="false">IF(G1352="","",(Orders!G1352-G1352)/Orders!G1352)</f>
        <v>0.278676470588235</v>
      </c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/>
      <c r="AE1352" s="46"/>
      <c r="AF1352" s="46"/>
      <c r="AG1352" s="46"/>
      <c r="AH1352" s="46"/>
      <c r="AI1352" s="46"/>
      <c r="AJ1352" s="46"/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</row>
    <row r="1353" customFormat="false" ht="15" hidden="false" customHeight="false" outlineLevel="0" collapsed="false">
      <c r="A1353" s="46" t="str">
        <f aca="false">Orders!A1353</f>
        <v>ORD-01352</v>
      </c>
      <c r="B1353" s="46" t="str">
        <f aca="false">PROPER(TRIM(Orders!K1353))</f>
        <v>Chennai</v>
      </c>
      <c r="C1353" s="46" t="str">
        <f aca="false">IFERROR(VLOOKUP(Orders!D1353,Products!$A$2:$F$61,3,FALSE()),"Not Found")</f>
        <v>Home</v>
      </c>
      <c r="D1353" s="46" t="str">
        <f aca="false">IFERROR(VLOOKUP(Orders!C1353,Customers!$A$2:$F$301,5,FALSE()),"Not Found")</f>
        <v>Corporate</v>
      </c>
      <c r="E1353" s="46" t="n">
        <f aca="false">IFERROR(VLOOKUP(Orders!C1353,Customers!$A$2:$F$301,3,FALSE()),"Not Found")</f>
        <v>24</v>
      </c>
      <c r="F1353" s="46" t="str">
        <f aca="false">IFERROR(VLOOKUP(Orders!E1353,Sales_Reps!$A$2:$E$31,3,FALSE()),"Not Found")</f>
        <v>North</v>
      </c>
      <c r="G1353" s="46" t="n">
        <f aca="false">IFERROR(VLOOKUP(Orders!D1353,Products!$A$2:$F$61,4,FALSE()),"")</f>
        <v>2459</v>
      </c>
      <c r="H1353" s="47" t="n">
        <f aca="false">IF(G1353="","",(Orders!G1353-G1353)/Orders!G1353)</f>
        <v>0.515944881889764</v>
      </c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</row>
    <row r="1354" customFormat="false" ht="15" hidden="false" customHeight="false" outlineLevel="0" collapsed="false">
      <c r="A1354" s="46" t="str">
        <f aca="false">Orders!A1354</f>
        <v>ORD-01353</v>
      </c>
      <c r="B1354" s="46" t="str">
        <f aca="false">PROPER(TRIM(Orders!K1354))</f>
        <v>Hyderabad</v>
      </c>
      <c r="C1354" s="46" t="str">
        <f aca="false">IFERROR(VLOOKUP(Orders!D1354,Products!$A$2:$F$61,3,FALSE()),"Not Found")</f>
        <v>Beauty</v>
      </c>
      <c r="D1354" s="46" t="str">
        <f aca="false">IFERROR(VLOOKUP(Orders!C1354,Customers!$A$2:$F$301,5,FALSE()),"Not Found")</f>
        <v>Corporate</v>
      </c>
      <c r="E1354" s="46" t="n">
        <f aca="false">IFERROR(VLOOKUP(Orders!C1354,Customers!$A$2:$F$301,3,FALSE()),"Not Found")</f>
        <v>25</v>
      </c>
      <c r="F1354" s="46" t="str">
        <f aca="false">IFERROR(VLOOKUP(Orders!E1354,Sales_Reps!$A$2:$E$31,3,FALSE()),"Not Found")</f>
        <v>North</v>
      </c>
      <c r="G1354" s="46" t="n">
        <f aca="false">IFERROR(VLOOKUP(Orders!D1354,Products!$A$2:$F$61,4,FALSE()),"")</f>
        <v>1219</v>
      </c>
      <c r="H1354" s="47" t="n">
        <f aca="false">IF(G1354="","",(Orders!G1354-G1354)/Orders!G1354)</f>
        <v>0.467685589519651</v>
      </c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/>
      <c r="AE1354" s="46"/>
      <c r="AF1354" s="46"/>
      <c r="AG1354" s="46"/>
      <c r="AH1354" s="46"/>
      <c r="AI1354" s="46"/>
      <c r="AJ1354" s="46"/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</row>
    <row r="1355" customFormat="false" ht="15" hidden="false" customHeight="false" outlineLevel="0" collapsed="false">
      <c r="A1355" s="46" t="str">
        <f aca="false">Orders!A1355</f>
        <v>ORD-01354</v>
      </c>
      <c r="B1355" s="46" t="str">
        <f aca="false">PROPER(TRIM(Orders!K1355))</f>
        <v>Pune</v>
      </c>
      <c r="C1355" s="46" t="str">
        <f aca="false">IFERROR(VLOOKUP(Orders!D1355,Products!$A$2:$F$61,3,FALSE()),"Not Found")</f>
        <v>Grocery</v>
      </c>
      <c r="D1355" s="46" t="str">
        <f aca="false">IFERROR(VLOOKUP(Orders!C1355,Customers!$A$2:$F$301,5,FALSE()),"Not Found")</f>
        <v>Corporate</v>
      </c>
      <c r="E1355" s="46" t="n">
        <f aca="false">IFERROR(VLOOKUP(Orders!C1355,Customers!$A$2:$F$301,3,FALSE()),"Not Found")</f>
        <v>42</v>
      </c>
      <c r="F1355" s="46" t="str">
        <f aca="false">IFERROR(VLOOKUP(Orders!E1355,Sales_Reps!$A$2:$E$31,3,FALSE()),"Not Found")</f>
        <v>North</v>
      </c>
      <c r="G1355" s="46" t="n">
        <f aca="false">IFERROR(VLOOKUP(Orders!D1355,Products!$A$2:$F$61,4,FALSE()),"")</f>
        <v>1435</v>
      </c>
      <c r="H1355" s="47" t="n">
        <f aca="false">IF(G1355="","",(Orders!G1355-G1355)/Orders!G1355)</f>
        <v>0.480072463768116</v>
      </c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</row>
    <row r="1356" customFormat="false" ht="15" hidden="false" customHeight="false" outlineLevel="0" collapsed="false">
      <c r="A1356" s="46" t="str">
        <f aca="false">Orders!A1356</f>
        <v>ORD-01355</v>
      </c>
      <c r="B1356" s="46" t="str">
        <f aca="false">PROPER(TRIM(Orders!K1356))</f>
        <v>Pune</v>
      </c>
      <c r="C1356" s="46" t="str">
        <f aca="false">IFERROR(VLOOKUP(Orders!D1356,Products!$A$2:$F$61,3,FALSE()),"Not Found")</f>
        <v>Grocery</v>
      </c>
      <c r="D1356" s="46" t="str">
        <f aca="false">IFERROR(VLOOKUP(Orders!C1356,Customers!$A$2:$F$301,5,FALSE()),"Not Found")</f>
        <v>Retail</v>
      </c>
      <c r="E1356" s="46" t="n">
        <f aca="false">IFERROR(VLOOKUP(Orders!C1356,Customers!$A$2:$F$301,3,FALSE()),"Not Found")</f>
        <v>65</v>
      </c>
      <c r="F1356" s="46" t="str">
        <f aca="false">IFERROR(VLOOKUP(Orders!E1356,Sales_Reps!$A$2:$E$31,3,FALSE()),"Not Found")</f>
        <v>West</v>
      </c>
      <c r="G1356" s="46" t="n">
        <f aca="false">IFERROR(VLOOKUP(Orders!D1356,Products!$A$2:$F$61,4,FALSE()),"")</f>
        <v>1203</v>
      </c>
      <c r="H1356" s="47" t="n">
        <f aca="false">IF(G1356="","",(Orders!G1356-G1356)/Orders!G1356)</f>
        <v>0.470044052863436</v>
      </c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</row>
    <row r="1357" customFormat="false" ht="15" hidden="false" customHeight="false" outlineLevel="0" collapsed="false">
      <c r="A1357" s="46" t="str">
        <f aca="false">Orders!A1357</f>
        <v>ORD-01356</v>
      </c>
      <c r="B1357" s="46" t="str">
        <f aca="false">PROPER(TRIM(Orders!K1357))</f>
        <v>Chennai</v>
      </c>
      <c r="C1357" s="46" t="str">
        <f aca="false">IFERROR(VLOOKUP(Orders!D1357,Products!$A$2:$F$61,3,FALSE()),"Not Found")</f>
        <v>Apparel</v>
      </c>
      <c r="D1357" s="46" t="str">
        <f aca="false">IFERROR(VLOOKUP(Orders!C1357,Customers!$A$2:$F$301,5,FALSE()),"Not Found")</f>
        <v>SMB</v>
      </c>
      <c r="E1357" s="46" t="n">
        <f aca="false">IFERROR(VLOOKUP(Orders!C1357,Customers!$A$2:$F$301,3,FALSE()),"Not Found")</f>
        <v>53</v>
      </c>
      <c r="F1357" s="46" t="str">
        <f aca="false">IFERROR(VLOOKUP(Orders!E1357,Sales_Reps!$A$2:$E$31,3,FALSE()),"Not Found")</f>
        <v>North</v>
      </c>
      <c r="G1357" s="46" t="n">
        <f aca="false">IFERROR(VLOOKUP(Orders!D1357,Products!$A$2:$F$61,4,FALSE()),"")</f>
        <v>1075</v>
      </c>
      <c r="H1357" s="47" t="n">
        <f aca="false">IF(G1357="","",(Orders!G1357-G1357)/Orders!G1357)</f>
        <v>0.571713147410359</v>
      </c>
      <c r="I1357" s="46"/>
      <c r="J1357" s="46"/>
      <c r="K1357" s="46"/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</row>
    <row r="1358" customFormat="false" ht="15" hidden="false" customHeight="false" outlineLevel="0" collapsed="false">
      <c r="A1358" s="46" t="str">
        <f aca="false">Orders!A1358</f>
        <v>ORD-01357</v>
      </c>
      <c r="B1358" s="46" t="str">
        <f aca="false">PROPER(TRIM(Orders!K1358))</f>
        <v>Hyderabad</v>
      </c>
      <c r="C1358" s="46" t="str">
        <f aca="false">IFERROR(VLOOKUP(Orders!D1358,Products!$A$2:$F$61,3,FALSE()),"Not Found")</f>
        <v>Grocery</v>
      </c>
      <c r="D1358" s="46" t="str">
        <f aca="false">IFERROR(VLOOKUP(Orders!C1358,Customers!$A$2:$F$301,5,FALSE()),"Not Found")</f>
        <v>Retail</v>
      </c>
      <c r="E1358" s="46" t="n">
        <f aca="false">IFERROR(VLOOKUP(Orders!C1358,Customers!$A$2:$F$301,3,FALSE()),"Not Found")</f>
        <v>46</v>
      </c>
      <c r="F1358" s="46" t="str">
        <f aca="false">IFERROR(VLOOKUP(Orders!E1358,Sales_Reps!$A$2:$E$31,3,FALSE()),"Not Found")</f>
        <v>South</v>
      </c>
      <c r="G1358" s="46" t="n">
        <f aca="false">IFERROR(VLOOKUP(Orders!D1358,Products!$A$2:$F$61,4,FALSE()),"")</f>
        <v>1182</v>
      </c>
      <c r="H1358" s="47" t="n">
        <f aca="false">IF(G1358="","",(Orders!G1358-G1358)/Orders!G1358)</f>
        <v>0.503361344537815</v>
      </c>
      <c r="I1358" s="46"/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</row>
    <row r="1359" customFormat="false" ht="15" hidden="false" customHeight="false" outlineLevel="0" collapsed="false">
      <c r="A1359" s="46" t="str">
        <f aca="false">Orders!A1359</f>
        <v>ORD-01358</v>
      </c>
      <c r="B1359" s="46" t="str">
        <f aca="false">PROPER(TRIM(Orders!K1359))</f>
        <v>Bengaluru</v>
      </c>
      <c r="C1359" s="46" t="str">
        <f aca="false">IFERROR(VLOOKUP(Orders!D1359,Products!$A$2:$F$61,3,FALSE()),"Not Found")</f>
        <v>Sports</v>
      </c>
      <c r="D1359" s="46" t="str">
        <f aca="false">IFERROR(VLOOKUP(Orders!C1359,Customers!$A$2:$F$301,5,FALSE()),"Not Found")</f>
        <v>Retail</v>
      </c>
      <c r="E1359" s="46" t="n">
        <f aca="false">IFERROR(VLOOKUP(Orders!C1359,Customers!$A$2:$F$301,3,FALSE()),"Not Found")</f>
        <v>37</v>
      </c>
      <c r="F1359" s="46" t="str">
        <f aca="false">IFERROR(VLOOKUP(Orders!E1359,Sales_Reps!$A$2:$E$31,3,FALSE()),"Not Found")</f>
        <v>East</v>
      </c>
      <c r="G1359" s="46" t="n">
        <f aca="false">IFERROR(VLOOKUP(Orders!D1359,Products!$A$2:$F$61,4,FALSE()),"")</f>
        <v>1860</v>
      </c>
      <c r="H1359" s="47" t="n">
        <f aca="false">IF(G1359="","",(Orders!G1359-G1359)/Orders!G1359)</f>
        <v>0.507936507936508</v>
      </c>
      <c r="I1359" s="46"/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</row>
    <row r="1360" customFormat="false" ht="15" hidden="false" customHeight="false" outlineLevel="0" collapsed="false">
      <c r="A1360" s="46" t="str">
        <f aca="false">Orders!A1360</f>
        <v>ORD-01359</v>
      </c>
      <c r="B1360" s="46" t="str">
        <f aca="false">PROPER(TRIM(Orders!K1360))</f>
        <v>Hyderabad</v>
      </c>
      <c r="C1360" s="46" t="str">
        <f aca="false">IFERROR(VLOOKUP(Orders!D1360,Products!$A$2:$F$61,3,FALSE()),"Not Found")</f>
        <v>Apparel</v>
      </c>
      <c r="D1360" s="46" t="str">
        <f aca="false">IFERROR(VLOOKUP(Orders!C1360,Customers!$A$2:$F$301,5,FALSE()),"Not Found")</f>
        <v>Retail</v>
      </c>
      <c r="E1360" s="46" t="n">
        <f aca="false">IFERROR(VLOOKUP(Orders!C1360,Customers!$A$2:$F$301,3,FALSE()),"Not Found")</f>
        <v>35</v>
      </c>
      <c r="F1360" s="46" t="str">
        <f aca="false">IFERROR(VLOOKUP(Orders!E1360,Sales_Reps!$A$2:$E$31,3,FALSE()),"Not Found")</f>
        <v>West</v>
      </c>
      <c r="G1360" s="46" t="n">
        <f aca="false">IFERROR(VLOOKUP(Orders!D1360,Products!$A$2:$F$61,4,FALSE()),"")</f>
        <v>1748</v>
      </c>
      <c r="H1360" s="47" t="n">
        <f aca="false">IF(G1360="","",(Orders!G1360-G1360)/Orders!G1360)</f>
        <v>0.493333333333333</v>
      </c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</row>
    <row r="1361" customFormat="false" ht="15" hidden="false" customHeight="false" outlineLevel="0" collapsed="false">
      <c r="A1361" s="46" t="str">
        <f aca="false">Orders!A1361</f>
        <v>ORD-01360</v>
      </c>
      <c r="B1361" s="46" t="str">
        <f aca="false">PROPER(TRIM(Orders!K1361))</f>
        <v>Hyderabad</v>
      </c>
      <c r="C1361" s="46" t="str">
        <f aca="false">IFERROR(VLOOKUP(Orders!D1361,Products!$A$2:$F$61,3,FALSE()),"Not Found")</f>
        <v>Beauty</v>
      </c>
      <c r="D1361" s="46" t="str">
        <f aca="false">IFERROR(VLOOKUP(Orders!C1361,Customers!$A$2:$F$301,5,FALSE()),"Not Found")</f>
        <v>Retail</v>
      </c>
      <c r="E1361" s="46" t="n">
        <f aca="false">IFERROR(VLOOKUP(Orders!C1361,Customers!$A$2:$F$301,3,FALSE()),"Not Found")</f>
        <v>44</v>
      </c>
      <c r="F1361" s="46" t="str">
        <f aca="false">IFERROR(VLOOKUP(Orders!E1361,Sales_Reps!$A$2:$E$31,3,FALSE()),"Not Found")</f>
        <v>North</v>
      </c>
      <c r="G1361" s="46" t="n">
        <f aca="false">IFERROR(VLOOKUP(Orders!D1361,Products!$A$2:$F$61,4,FALSE()),"")</f>
        <v>2768</v>
      </c>
      <c r="H1361" s="47" t="n">
        <f aca="false">IF(G1361="","",(Orders!G1361-G1361)/Orders!G1361)</f>
        <v>0.432786885245902</v>
      </c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</row>
    <row r="1362" customFormat="false" ht="15" hidden="false" customHeight="false" outlineLevel="0" collapsed="false">
      <c r="A1362" s="46" t="str">
        <f aca="false">Orders!A1362</f>
        <v>ORD-01361</v>
      </c>
      <c r="B1362" s="46" t="str">
        <f aca="false">PROPER(TRIM(Orders!K1362))</f>
        <v>Hyderabad</v>
      </c>
      <c r="C1362" s="46" t="str">
        <f aca="false">IFERROR(VLOOKUP(Orders!D1362,Products!$A$2:$F$61,3,FALSE()),"Not Found")</f>
        <v>Beauty</v>
      </c>
      <c r="D1362" s="46" t="str">
        <f aca="false">IFERROR(VLOOKUP(Orders!C1362,Customers!$A$2:$F$301,5,FALSE()),"Not Found")</f>
        <v>SMB</v>
      </c>
      <c r="E1362" s="46" t="n">
        <f aca="false">IFERROR(VLOOKUP(Orders!C1362,Customers!$A$2:$F$301,3,FALSE()),"Not Found")</f>
        <v>40</v>
      </c>
      <c r="F1362" s="46" t="str">
        <f aca="false">IFERROR(VLOOKUP(Orders!E1362,Sales_Reps!$A$2:$E$31,3,FALSE()),"Not Found")</f>
        <v>South</v>
      </c>
      <c r="G1362" s="46" t="n">
        <f aca="false">IFERROR(VLOOKUP(Orders!D1362,Products!$A$2:$F$61,4,FALSE()),"")</f>
        <v>675</v>
      </c>
      <c r="H1362" s="47" t="n">
        <f aca="false">IF(G1362="","",(Orders!G1362-G1362)/Orders!G1362)</f>
        <v>0.296875</v>
      </c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46"/>
      <c r="AE1362" s="46"/>
      <c r="AF1362" s="46"/>
      <c r="AG1362" s="46"/>
      <c r="AH1362" s="46"/>
      <c r="AI1362" s="46"/>
      <c r="AJ1362" s="46"/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</row>
    <row r="1363" customFormat="false" ht="15" hidden="false" customHeight="false" outlineLevel="0" collapsed="false">
      <c r="A1363" s="46" t="str">
        <f aca="false">Orders!A1363</f>
        <v>ORD-01362</v>
      </c>
      <c r="B1363" s="46" t="str">
        <f aca="false">PROPER(TRIM(Orders!K1363))</f>
        <v>Pune</v>
      </c>
      <c r="C1363" s="46" t="str">
        <f aca="false">IFERROR(VLOOKUP(Orders!D1363,Products!$A$2:$F$61,3,FALSE()),"Not Found")</f>
        <v>Apparel</v>
      </c>
      <c r="D1363" s="46" t="str">
        <f aca="false">IFERROR(VLOOKUP(Orders!C1363,Customers!$A$2:$F$301,5,FALSE()),"Not Found")</f>
        <v>Retail</v>
      </c>
      <c r="E1363" s="46" t="n">
        <f aca="false">IFERROR(VLOOKUP(Orders!C1363,Customers!$A$2:$F$301,3,FALSE()),"Not Found")</f>
        <v>22</v>
      </c>
      <c r="F1363" s="46" t="str">
        <f aca="false">IFERROR(VLOOKUP(Orders!E1363,Sales_Reps!$A$2:$E$31,3,FALSE()),"Not Found")</f>
        <v>East</v>
      </c>
      <c r="G1363" s="46" t="n">
        <f aca="false">IFERROR(VLOOKUP(Orders!D1363,Products!$A$2:$F$61,4,FALSE()),"")</f>
        <v>2629</v>
      </c>
      <c r="H1363" s="47" t="n">
        <f aca="false">IF(G1363="","",(Orders!G1363-G1363)/Orders!G1363)</f>
        <v>0.261516853932584</v>
      </c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</row>
    <row r="1364" customFormat="false" ht="15" hidden="false" customHeight="false" outlineLevel="0" collapsed="false">
      <c r="A1364" s="46" t="str">
        <f aca="false">Orders!A1364</f>
        <v>ORD-01363</v>
      </c>
      <c r="B1364" s="46" t="str">
        <f aca="false">PROPER(TRIM(Orders!K1364))</f>
        <v>Chennai</v>
      </c>
      <c r="C1364" s="46" t="str">
        <f aca="false">IFERROR(VLOOKUP(Orders!D1364,Products!$A$2:$F$61,3,FALSE()),"Not Found")</f>
        <v>Grocery</v>
      </c>
      <c r="D1364" s="46" t="str">
        <f aca="false">IFERROR(VLOOKUP(Orders!C1364,Customers!$A$2:$F$301,5,FALSE()),"Not Found")</f>
        <v>Retail</v>
      </c>
      <c r="E1364" s="46" t="n">
        <f aca="false">IFERROR(VLOOKUP(Orders!C1364,Customers!$A$2:$F$301,3,FALSE()),"Not Found")</f>
        <v>26</v>
      </c>
      <c r="F1364" s="46" t="str">
        <f aca="false">IFERROR(VLOOKUP(Orders!E1364,Sales_Reps!$A$2:$E$31,3,FALSE()),"Not Found")</f>
        <v>North</v>
      </c>
      <c r="G1364" s="46" t="n">
        <f aca="false">IFERROR(VLOOKUP(Orders!D1364,Products!$A$2:$F$61,4,FALSE()),"")</f>
        <v>2911</v>
      </c>
      <c r="H1364" s="47" t="n">
        <f aca="false">IF(G1364="","",(Orders!G1364-G1364)/Orders!G1364)</f>
        <v>0.283004926108374</v>
      </c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/>
      <c r="AE1364" s="46"/>
      <c r="AF1364" s="46"/>
      <c r="AG1364" s="46"/>
      <c r="AH1364" s="46"/>
      <c r="AI1364" s="46"/>
      <c r="AJ1364" s="46"/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</row>
    <row r="1365" customFormat="false" ht="15" hidden="false" customHeight="false" outlineLevel="0" collapsed="false">
      <c r="A1365" s="46" t="str">
        <f aca="false">Orders!A1365</f>
        <v>ORD-01364</v>
      </c>
      <c r="B1365" s="46" t="str">
        <f aca="false">PROPER(TRIM(Orders!K1365))</f>
        <v>Delhi</v>
      </c>
      <c r="C1365" s="46" t="str">
        <f aca="false">IFERROR(VLOOKUP(Orders!D1365,Products!$A$2:$F$61,3,FALSE()),"Not Found")</f>
        <v>Apparel</v>
      </c>
      <c r="D1365" s="46" t="str">
        <f aca="false">IFERROR(VLOOKUP(Orders!C1365,Customers!$A$2:$F$301,5,FALSE()),"Not Found")</f>
        <v>Corporate</v>
      </c>
      <c r="E1365" s="46" t="n">
        <f aca="false">IFERROR(VLOOKUP(Orders!C1365,Customers!$A$2:$F$301,3,FALSE()),"Not Found")</f>
        <v>46</v>
      </c>
      <c r="F1365" s="46" t="str">
        <f aca="false">IFERROR(VLOOKUP(Orders!E1365,Sales_Reps!$A$2:$E$31,3,FALSE()),"Not Found")</f>
        <v>East</v>
      </c>
      <c r="G1365" s="46" t="n">
        <f aca="false">IFERROR(VLOOKUP(Orders!D1365,Products!$A$2:$F$61,4,FALSE()),"")</f>
        <v>1962</v>
      </c>
      <c r="H1365" s="47" t="n">
        <f aca="false">IF(G1365="","",(Orders!G1365-G1365)/Orders!G1365)</f>
        <v>0.278676470588235</v>
      </c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</row>
    <row r="1366" customFormat="false" ht="15" hidden="false" customHeight="false" outlineLevel="0" collapsed="false">
      <c r="A1366" s="46" t="str">
        <f aca="false">Orders!A1366</f>
        <v>ORD-01365</v>
      </c>
      <c r="B1366" s="46" t="str">
        <f aca="false">PROPER(TRIM(Orders!K1366))</f>
        <v>Hyderabad</v>
      </c>
      <c r="C1366" s="46" t="str">
        <f aca="false">IFERROR(VLOOKUP(Orders!D1366,Products!$A$2:$F$61,3,FALSE()),"Not Found")</f>
        <v>Grocery</v>
      </c>
      <c r="D1366" s="46" t="str">
        <f aca="false">IFERROR(VLOOKUP(Orders!C1366,Customers!$A$2:$F$301,5,FALSE()),"Not Found")</f>
        <v>SMB</v>
      </c>
      <c r="E1366" s="46" t="n">
        <f aca="false">IFERROR(VLOOKUP(Orders!C1366,Customers!$A$2:$F$301,3,FALSE()),"Not Found")</f>
        <v>43</v>
      </c>
      <c r="F1366" s="46" t="str">
        <f aca="false">IFERROR(VLOOKUP(Orders!E1366,Sales_Reps!$A$2:$E$31,3,FALSE()),"Not Found")</f>
        <v>East</v>
      </c>
      <c r="G1366" s="46" t="n">
        <f aca="false">IFERROR(VLOOKUP(Orders!D1366,Products!$A$2:$F$61,4,FALSE()),"")</f>
        <v>1010</v>
      </c>
      <c r="H1366" s="47" t="n">
        <f aca="false">IF(G1366="","",(Orders!G1366-G1366)/Orders!G1366)</f>
        <v>0.542986425339367</v>
      </c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46"/>
      <c r="AE1366" s="46"/>
      <c r="AF1366" s="46"/>
      <c r="AG1366" s="46"/>
      <c r="AH1366" s="46"/>
      <c r="AI1366" s="46"/>
      <c r="AJ1366" s="46"/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</row>
    <row r="1367" customFormat="false" ht="15" hidden="false" customHeight="false" outlineLevel="0" collapsed="false">
      <c r="A1367" s="46" t="str">
        <f aca="false">Orders!A1367</f>
        <v>ORD-01366</v>
      </c>
      <c r="B1367" s="46" t="str">
        <f aca="false">PROPER(TRIM(Orders!K1367))</f>
        <v>Mumbai</v>
      </c>
      <c r="C1367" s="46" t="str">
        <f aca="false">IFERROR(VLOOKUP(Orders!D1367,Products!$A$2:$F$61,3,FALSE()),"Not Found")</f>
        <v>Beauty</v>
      </c>
      <c r="D1367" s="46" t="str">
        <f aca="false">IFERROR(VLOOKUP(Orders!C1367,Customers!$A$2:$F$301,5,FALSE()),"Not Found")</f>
        <v>Retail</v>
      </c>
      <c r="E1367" s="46" t="n">
        <f aca="false">IFERROR(VLOOKUP(Orders!C1367,Customers!$A$2:$F$301,3,FALSE()),"Not Found")</f>
        <v>54</v>
      </c>
      <c r="F1367" s="46" t="str">
        <f aca="false">IFERROR(VLOOKUP(Orders!E1367,Sales_Reps!$A$2:$E$31,3,FALSE()),"Not Found")</f>
        <v>South</v>
      </c>
      <c r="G1367" s="46" t="n">
        <f aca="false">IFERROR(VLOOKUP(Orders!D1367,Products!$A$2:$F$61,4,FALSE()),"")</f>
        <v>2420</v>
      </c>
      <c r="H1367" s="47" t="n">
        <f aca="false">IF(G1367="","",(Orders!G1367-G1367)/Orders!G1367)</f>
        <v>0.298550724637681</v>
      </c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46"/>
      <c r="AE1367" s="46"/>
      <c r="AF1367" s="46"/>
      <c r="AG1367" s="46"/>
      <c r="AH1367" s="46"/>
      <c r="AI1367" s="46"/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</row>
    <row r="1368" customFormat="false" ht="15" hidden="false" customHeight="false" outlineLevel="0" collapsed="false">
      <c r="A1368" s="46" t="str">
        <f aca="false">Orders!A1368</f>
        <v>ORD-01367</v>
      </c>
      <c r="B1368" s="46" t="str">
        <f aca="false">PROPER(TRIM(Orders!K1368))</f>
        <v>Mumbai</v>
      </c>
      <c r="C1368" s="46" t="str">
        <f aca="false">IFERROR(VLOOKUP(Orders!D1368,Products!$A$2:$F$61,3,FALSE()),"Not Found")</f>
        <v>Grocery</v>
      </c>
      <c r="D1368" s="46" t="str">
        <f aca="false">IFERROR(VLOOKUP(Orders!C1368,Customers!$A$2:$F$301,5,FALSE()),"Not Found")</f>
        <v>SMB</v>
      </c>
      <c r="E1368" s="46" t="n">
        <f aca="false">IFERROR(VLOOKUP(Orders!C1368,Customers!$A$2:$F$301,3,FALSE()),"Not Found")</f>
        <v>36</v>
      </c>
      <c r="F1368" s="46" t="str">
        <f aca="false">IFERROR(VLOOKUP(Orders!E1368,Sales_Reps!$A$2:$E$31,3,FALSE()),"Not Found")</f>
        <v>East</v>
      </c>
      <c r="G1368" s="46" t="n">
        <f aca="false">IFERROR(VLOOKUP(Orders!D1368,Products!$A$2:$F$61,4,FALSE()),"")</f>
        <v>1182</v>
      </c>
      <c r="H1368" s="47" t="n">
        <f aca="false">IF(G1368="","",(Orders!G1368-G1368)/Orders!G1368)</f>
        <v>0.503361344537815</v>
      </c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  <c r="AB1368" s="46"/>
      <c r="AC1368" s="46"/>
      <c r="AD1368" s="46"/>
      <c r="AE1368" s="46"/>
      <c r="AF1368" s="46"/>
      <c r="AG1368" s="46"/>
      <c r="AH1368" s="46"/>
      <c r="AI1368" s="46"/>
      <c r="AJ1368" s="46"/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</row>
    <row r="1369" customFormat="false" ht="15" hidden="false" customHeight="false" outlineLevel="0" collapsed="false">
      <c r="A1369" s="46" t="str">
        <f aca="false">Orders!A1369</f>
        <v>ORD-01368</v>
      </c>
      <c r="B1369" s="46" t="str">
        <f aca="false">PROPER(TRIM(Orders!K1369))</f>
        <v>Delhi</v>
      </c>
      <c r="C1369" s="46" t="str">
        <f aca="false">IFERROR(VLOOKUP(Orders!D1369,Products!$A$2:$F$61,3,FALSE()),"Not Found")</f>
        <v>Grocery</v>
      </c>
      <c r="D1369" s="46" t="str">
        <f aca="false">IFERROR(VLOOKUP(Orders!C1369,Customers!$A$2:$F$301,5,FALSE()),"Not Found")</f>
        <v>SMB</v>
      </c>
      <c r="E1369" s="46" t="n">
        <f aca="false">IFERROR(VLOOKUP(Orders!C1369,Customers!$A$2:$F$301,3,FALSE()),"Not Found")</f>
        <v>53</v>
      </c>
      <c r="F1369" s="46" t="str">
        <f aca="false">IFERROR(VLOOKUP(Orders!E1369,Sales_Reps!$A$2:$E$31,3,FALSE()),"Not Found")</f>
        <v>North</v>
      </c>
      <c r="G1369" s="46" t="n">
        <f aca="false">IFERROR(VLOOKUP(Orders!D1369,Products!$A$2:$F$61,4,FALSE()),"")</f>
        <v>1182</v>
      </c>
      <c r="H1369" s="47" t="n">
        <f aca="false">IF(G1369="","",(Orders!G1369-G1369)/Orders!G1369)</f>
        <v>0.503361344537815</v>
      </c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</row>
    <row r="1370" customFormat="false" ht="15" hidden="false" customHeight="false" outlineLevel="0" collapsed="false">
      <c r="A1370" s="46" t="str">
        <f aca="false">Orders!A1370</f>
        <v>ORD-01369</v>
      </c>
      <c r="B1370" s="46" t="str">
        <f aca="false">PROPER(TRIM(Orders!K1370))</f>
        <v>Delhi</v>
      </c>
      <c r="C1370" s="46" t="str">
        <f aca="false">IFERROR(VLOOKUP(Orders!D1370,Products!$A$2:$F$61,3,FALSE()),"Not Found")</f>
        <v>Apparel</v>
      </c>
      <c r="D1370" s="46" t="str">
        <f aca="false">IFERROR(VLOOKUP(Orders!C1370,Customers!$A$2:$F$301,5,FALSE()),"Not Found")</f>
        <v>Corporate</v>
      </c>
      <c r="E1370" s="46" t="n">
        <f aca="false">IFERROR(VLOOKUP(Orders!C1370,Customers!$A$2:$F$301,3,FALSE()),"Not Found")</f>
        <v>46</v>
      </c>
      <c r="F1370" s="46" t="str">
        <f aca="false">IFERROR(VLOOKUP(Orders!E1370,Sales_Reps!$A$2:$E$31,3,FALSE()),"Not Found")</f>
        <v>South</v>
      </c>
      <c r="G1370" s="46" t="n">
        <f aca="false">IFERROR(VLOOKUP(Orders!D1370,Products!$A$2:$F$61,4,FALSE()),"")</f>
        <v>2629</v>
      </c>
      <c r="H1370" s="47" t="n">
        <f aca="false">IF(G1370="","",(Orders!G1370-G1370)/Orders!G1370)</f>
        <v>0.261516853932584</v>
      </c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</row>
    <row r="1371" customFormat="false" ht="15" hidden="false" customHeight="false" outlineLevel="0" collapsed="false">
      <c r="A1371" s="46" t="str">
        <f aca="false">Orders!A1371</f>
        <v>ORD-01370</v>
      </c>
      <c r="B1371" s="46" t="str">
        <f aca="false">PROPER(TRIM(Orders!K1371))</f>
        <v>Chennai</v>
      </c>
      <c r="C1371" s="46" t="str">
        <f aca="false">IFERROR(VLOOKUP(Orders!D1371,Products!$A$2:$F$61,3,FALSE()),"Not Found")</f>
        <v>Electronics</v>
      </c>
      <c r="D1371" s="46" t="str">
        <f aca="false">IFERROR(VLOOKUP(Orders!C1371,Customers!$A$2:$F$301,5,FALSE()),"Not Found")</f>
        <v>Corporate</v>
      </c>
      <c r="E1371" s="46" t="n">
        <f aca="false">IFERROR(VLOOKUP(Orders!C1371,Customers!$A$2:$F$301,3,FALSE()),"Not Found")</f>
        <v>35</v>
      </c>
      <c r="F1371" s="46" t="str">
        <f aca="false">IFERROR(VLOOKUP(Orders!E1371,Sales_Reps!$A$2:$E$31,3,FALSE()),"Not Found")</f>
        <v>East</v>
      </c>
      <c r="G1371" s="46" t="n">
        <f aca="false">IFERROR(VLOOKUP(Orders!D1371,Products!$A$2:$F$61,4,FALSE()),"")</f>
        <v>517</v>
      </c>
      <c r="H1371" s="47" t="n">
        <f aca="false">IF(G1371="","",(Orders!G1371-G1371)/Orders!G1371)</f>
        <v>0.576229508196721</v>
      </c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</row>
    <row r="1372" customFormat="false" ht="15" hidden="false" customHeight="false" outlineLevel="0" collapsed="false">
      <c r="A1372" s="46" t="str">
        <f aca="false">Orders!A1372</f>
        <v>ORD-01371</v>
      </c>
      <c r="B1372" s="46" t="str">
        <f aca="false">PROPER(TRIM(Orders!K1372))</f>
        <v>Mumbai</v>
      </c>
      <c r="C1372" s="46" t="str">
        <f aca="false">IFERROR(VLOOKUP(Orders!D1372,Products!$A$2:$F$61,3,FALSE()),"Not Found")</f>
        <v>Sports</v>
      </c>
      <c r="D1372" s="46" t="str">
        <f aca="false">IFERROR(VLOOKUP(Orders!C1372,Customers!$A$2:$F$301,5,FALSE()),"Not Found")</f>
        <v>Retail</v>
      </c>
      <c r="E1372" s="46" t="n">
        <f aca="false">IFERROR(VLOOKUP(Orders!C1372,Customers!$A$2:$F$301,3,FALSE()),"Not Found")</f>
        <v>37</v>
      </c>
      <c r="F1372" s="46" t="str">
        <f aca="false">IFERROR(VLOOKUP(Orders!E1372,Sales_Reps!$A$2:$E$31,3,FALSE()),"Not Found")</f>
        <v>East</v>
      </c>
      <c r="G1372" s="46" t="n">
        <f aca="false">IFERROR(VLOOKUP(Orders!D1372,Products!$A$2:$F$61,4,FALSE()),"")</f>
        <v>2827</v>
      </c>
      <c r="H1372" s="47" t="n">
        <f aca="false">IF(G1372="","",(Orders!G1372-G1372)/Orders!G1372)</f>
        <v>0.592651296829971</v>
      </c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/>
      <c r="AD1372" s="46"/>
      <c r="AE1372" s="46"/>
      <c r="AF1372" s="46"/>
      <c r="AG1372" s="46"/>
      <c r="AH1372" s="46"/>
      <c r="AI1372" s="46"/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</row>
    <row r="1373" customFormat="false" ht="15" hidden="false" customHeight="false" outlineLevel="0" collapsed="false">
      <c r="A1373" s="46" t="str">
        <f aca="false">Orders!A1373</f>
        <v>ORD-01372</v>
      </c>
      <c r="B1373" s="46" t="str">
        <f aca="false">PROPER(TRIM(Orders!K1373))</f>
        <v>Mumbai</v>
      </c>
      <c r="C1373" s="46" t="str">
        <f aca="false">IFERROR(VLOOKUP(Orders!D1373,Products!$A$2:$F$61,3,FALSE()),"Not Found")</f>
        <v>Home</v>
      </c>
      <c r="D1373" s="46" t="str">
        <f aca="false">IFERROR(VLOOKUP(Orders!C1373,Customers!$A$2:$F$301,5,FALSE()),"Not Found")</f>
        <v>SMB</v>
      </c>
      <c r="E1373" s="46" t="n">
        <f aca="false">IFERROR(VLOOKUP(Orders!C1373,Customers!$A$2:$F$301,3,FALSE()),"Not Found")</f>
        <v>43</v>
      </c>
      <c r="F1373" s="46" t="str">
        <f aca="false">IFERROR(VLOOKUP(Orders!E1373,Sales_Reps!$A$2:$E$31,3,FALSE()),"Not Found")</f>
        <v>East</v>
      </c>
      <c r="G1373" s="46" t="n">
        <f aca="false">IFERROR(VLOOKUP(Orders!D1373,Products!$A$2:$F$61,4,FALSE()),"")</f>
        <v>464</v>
      </c>
      <c r="H1373" s="47" t="n">
        <f aca="false">IF(G1373="","",(Orders!G1373-G1373)/Orders!G1373)</f>
        <v>0.574311926605505</v>
      </c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  <c r="AB1373" s="46"/>
      <c r="AC1373" s="46"/>
      <c r="AD1373" s="46"/>
      <c r="AE1373" s="46"/>
      <c r="AF1373" s="46"/>
      <c r="AG1373" s="46"/>
      <c r="AH1373" s="46"/>
      <c r="AI1373" s="46"/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</row>
    <row r="1374" customFormat="false" ht="15" hidden="false" customHeight="false" outlineLevel="0" collapsed="false">
      <c r="A1374" s="46" t="str">
        <f aca="false">Orders!A1374</f>
        <v>ORD-01373</v>
      </c>
      <c r="B1374" s="46" t="str">
        <f aca="false">PROPER(TRIM(Orders!K1374))</f>
        <v>Pune</v>
      </c>
      <c r="C1374" s="46" t="str">
        <f aca="false">IFERROR(VLOOKUP(Orders!D1374,Products!$A$2:$F$61,3,FALSE()),"Not Found")</f>
        <v>Grocery</v>
      </c>
      <c r="D1374" s="46" t="str">
        <f aca="false">IFERROR(VLOOKUP(Orders!C1374,Customers!$A$2:$F$301,5,FALSE()),"Not Found")</f>
        <v>Retail</v>
      </c>
      <c r="E1374" s="46" t="n">
        <f aca="false">IFERROR(VLOOKUP(Orders!C1374,Customers!$A$2:$F$301,3,FALSE()),"Not Found")</f>
        <v>31</v>
      </c>
      <c r="F1374" s="46" t="str">
        <f aca="false">IFERROR(VLOOKUP(Orders!E1374,Sales_Reps!$A$2:$E$31,3,FALSE()),"Not Found")</f>
        <v>West</v>
      </c>
      <c r="G1374" s="46" t="n">
        <f aca="false">IFERROR(VLOOKUP(Orders!D1374,Products!$A$2:$F$61,4,FALSE()),"")</f>
        <v>1182</v>
      </c>
      <c r="H1374" s="47" t="n">
        <f aca="false">IF(G1374="","",(Orders!G1374-G1374)/Orders!G1374)</f>
        <v>0.503361344537815</v>
      </c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  <c r="AB1374" s="46"/>
      <c r="AC1374" s="46"/>
      <c r="AD1374" s="46"/>
      <c r="AE1374" s="46"/>
      <c r="AF1374" s="46"/>
      <c r="AG1374" s="46"/>
      <c r="AH1374" s="46"/>
      <c r="AI1374" s="46"/>
      <c r="AJ1374" s="46"/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</row>
    <row r="1375" customFormat="false" ht="15" hidden="false" customHeight="false" outlineLevel="0" collapsed="false">
      <c r="A1375" s="46" t="str">
        <f aca="false">Orders!A1375</f>
        <v>ORD-01374</v>
      </c>
      <c r="B1375" s="46" t="str">
        <f aca="false">PROPER(TRIM(Orders!K1375))</f>
        <v>Mumbai</v>
      </c>
      <c r="C1375" s="46" t="str">
        <f aca="false">IFERROR(VLOOKUP(Orders!D1375,Products!$A$2:$F$61,3,FALSE()),"Not Found")</f>
        <v>Grocery</v>
      </c>
      <c r="D1375" s="46" t="str">
        <f aca="false">IFERROR(VLOOKUP(Orders!C1375,Customers!$A$2:$F$301,5,FALSE()),"Not Found")</f>
        <v>SMB</v>
      </c>
      <c r="E1375" s="46" t="n">
        <f aca="false">IFERROR(VLOOKUP(Orders!C1375,Customers!$A$2:$F$301,3,FALSE()),"Not Found")</f>
        <v>43</v>
      </c>
      <c r="F1375" s="46" t="str">
        <f aca="false">IFERROR(VLOOKUP(Orders!E1375,Sales_Reps!$A$2:$E$31,3,FALSE()),"Not Found")</f>
        <v>North</v>
      </c>
      <c r="G1375" s="46" t="n">
        <f aca="false">IFERROR(VLOOKUP(Orders!D1375,Products!$A$2:$F$61,4,FALSE()),"")</f>
        <v>1203</v>
      </c>
      <c r="H1375" s="47" t="n">
        <f aca="false">IF(G1375="","",(Orders!G1375-G1375)/Orders!G1375)</f>
        <v>0.470044052863436</v>
      </c>
      <c r="I1375" s="46"/>
      <c r="J1375" s="46"/>
      <c r="K1375" s="46"/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  <c r="AA1375" s="46"/>
      <c r="AB1375" s="46"/>
      <c r="AC1375" s="46"/>
      <c r="AD1375" s="46"/>
      <c r="AE1375" s="46"/>
      <c r="AF1375" s="46"/>
      <c r="AG1375" s="46"/>
      <c r="AH1375" s="46"/>
      <c r="AI1375" s="46"/>
      <c r="AJ1375" s="46"/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</row>
    <row r="1376" customFormat="false" ht="15" hidden="false" customHeight="false" outlineLevel="0" collapsed="false">
      <c r="A1376" s="46" t="str">
        <f aca="false">Orders!A1376</f>
        <v>ORD-01375</v>
      </c>
      <c r="B1376" s="46" t="str">
        <f aca="false">PROPER(TRIM(Orders!K1376))</f>
        <v>Pune</v>
      </c>
      <c r="C1376" s="46" t="str">
        <f aca="false">IFERROR(VLOOKUP(Orders!D1376,Products!$A$2:$F$61,3,FALSE()),"Not Found")</f>
        <v>Home</v>
      </c>
      <c r="D1376" s="46" t="str">
        <f aca="false">IFERROR(VLOOKUP(Orders!C1376,Customers!$A$2:$F$301,5,FALSE()),"Not Found")</f>
        <v>Retail</v>
      </c>
      <c r="E1376" s="46" t="n">
        <f aca="false">IFERROR(VLOOKUP(Orders!C1376,Customers!$A$2:$F$301,3,FALSE()),"Not Found")</f>
        <v>36</v>
      </c>
      <c r="F1376" s="46" t="str">
        <f aca="false">IFERROR(VLOOKUP(Orders!E1376,Sales_Reps!$A$2:$E$31,3,FALSE()),"Not Found")</f>
        <v>East</v>
      </c>
      <c r="G1376" s="46" t="n">
        <f aca="false">IFERROR(VLOOKUP(Orders!D1376,Products!$A$2:$F$61,4,FALSE()),"")</f>
        <v>1143</v>
      </c>
      <c r="H1376" s="47" t="n">
        <f aca="false">IF(G1376="","",(Orders!G1376-G1376)/Orders!G1376)</f>
        <v>0.436945812807882</v>
      </c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/>
      <c r="AD1376" s="46"/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46"/>
      <c r="AZ1376" s="46"/>
    </row>
    <row r="1377" customFormat="false" ht="15" hidden="false" customHeight="false" outlineLevel="0" collapsed="false">
      <c r="A1377" s="46" t="str">
        <f aca="false">Orders!A1377</f>
        <v>ORD-01376</v>
      </c>
      <c r="B1377" s="46" t="str">
        <f aca="false">PROPER(TRIM(Orders!K1377))</f>
        <v>Pune</v>
      </c>
      <c r="C1377" s="46" t="str">
        <f aca="false">IFERROR(VLOOKUP(Orders!D1377,Products!$A$2:$F$61,3,FALSE()),"Not Found")</f>
        <v>Home</v>
      </c>
      <c r="D1377" s="46" t="str">
        <f aca="false">IFERROR(VLOOKUP(Orders!C1377,Customers!$A$2:$F$301,5,FALSE()),"Not Found")</f>
        <v>SMB</v>
      </c>
      <c r="E1377" s="46" t="n">
        <f aca="false">IFERROR(VLOOKUP(Orders!C1377,Customers!$A$2:$F$301,3,FALSE()),"Not Found")</f>
        <v>54</v>
      </c>
      <c r="F1377" s="46" t="str">
        <f aca="false">IFERROR(VLOOKUP(Orders!E1377,Sales_Reps!$A$2:$E$31,3,FALSE()),"Not Found")</f>
        <v>West</v>
      </c>
      <c r="G1377" s="46" t="n">
        <f aca="false">IFERROR(VLOOKUP(Orders!D1377,Products!$A$2:$F$61,4,FALSE()),"")</f>
        <v>464</v>
      </c>
      <c r="H1377" s="47" t="n">
        <f aca="false">IF(G1377="","",(Orders!G1377-G1377)/Orders!G1377)</f>
        <v>0.574311926605505</v>
      </c>
      <c r="I1377" s="46"/>
      <c r="J1377" s="46"/>
      <c r="K1377" s="46"/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/>
      <c r="AD1377" s="46"/>
      <c r="AE1377" s="46"/>
      <c r="AF1377" s="46"/>
      <c r="AG1377" s="46"/>
      <c r="AH1377" s="46"/>
      <c r="AI1377" s="46"/>
      <c r="AJ1377" s="46"/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</row>
    <row r="1378" customFormat="false" ht="15" hidden="false" customHeight="false" outlineLevel="0" collapsed="false">
      <c r="A1378" s="46" t="str">
        <f aca="false">Orders!A1378</f>
        <v>ORD-01377</v>
      </c>
      <c r="B1378" s="46" t="str">
        <f aca="false">PROPER(TRIM(Orders!K1378))</f>
        <v>Mumbai</v>
      </c>
      <c r="C1378" s="46" t="str">
        <f aca="false">IFERROR(VLOOKUP(Orders!D1378,Products!$A$2:$F$61,3,FALSE()),"Not Found")</f>
        <v>Apparel</v>
      </c>
      <c r="D1378" s="46" t="str">
        <f aca="false">IFERROR(VLOOKUP(Orders!C1378,Customers!$A$2:$F$301,5,FALSE()),"Not Found")</f>
        <v>SMB</v>
      </c>
      <c r="E1378" s="46" t="n">
        <f aca="false">IFERROR(VLOOKUP(Orders!C1378,Customers!$A$2:$F$301,3,FALSE()),"Not Found")</f>
        <v>43</v>
      </c>
      <c r="F1378" s="46" t="str">
        <f aca="false">IFERROR(VLOOKUP(Orders!E1378,Sales_Reps!$A$2:$E$31,3,FALSE()),"Not Found")</f>
        <v>East</v>
      </c>
      <c r="G1378" s="46" t="n">
        <f aca="false">IFERROR(VLOOKUP(Orders!D1378,Products!$A$2:$F$61,4,FALSE()),"")</f>
        <v>1075</v>
      </c>
      <c r="H1378" s="47" t="n">
        <f aca="false">IF(G1378="","",(Orders!G1378-G1378)/Orders!G1378)</f>
        <v>0.571713147410359</v>
      </c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</row>
    <row r="1379" customFormat="false" ht="15" hidden="false" customHeight="false" outlineLevel="0" collapsed="false">
      <c r="A1379" s="46" t="str">
        <f aca="false">Orders!A1379</f>
        <v>ORD-01378</v>
      </c>
      <c r="B1379" s="46" t="str">
        <f aca="false">PROPER(TRIM(Orders!K1379))</f>
        <v>Bengaluru</v>
      </c>
      <c r="C1379" s="46" t="str">
        <f aca="false">IFERROR(VLOOKUP(Orders!D1379,Products!$A$2:$F$61,3,FALSE()),"Not Found")</f>
        <v>Grocery</v>
      </c>
      <c r="D1379" s="46" t="str">
        <f aca="false">IFERROR(VLOOKUP(Orders!C1379,Customers!$A$2:$F$301,5,FALSE()),"Not Found")</f>
        <v>Retail</v>
      </c>
      <c r="E1379" s="46" t="n">
        <f aca="false">IFERROR(VLOOKUP(Orders!C1379,Customers!$A$2:$F$301,3,FALSE()),"Not Found")</f>
        <v>53</v>
      </c>
      <c r="F1379" s="46" t="str">
        <f aca="false">IFERROR(VLOOKUP(Orders!E1379,Sales_Reps!$A$2:$E$31,3,FALSE()),"Not Found")</f>
        <v>West</v>
      </c>
      <c r="G1379" s="46" t="n">
        <f aca="false">IFERROR(VLOOKUP(Orders!D1379,Products!$A$2:$F$61,4,FALSE()),"")</f>
        <v>1203</v>
      </c>
      <c r="H1379" s="47" t="n">
        <f aca="false">IF(G1379="","",(Orders!G1379-G1379)/Orders!G1379)</f>
        <v>0.470044052863436</v>
      </c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/>
      <c r="AD1379" s="46"/>
      <c r="AE1379" s="46"/>
      <c r="AF1379" s="46"/>
      <c r="AG1379" s="46"/>
      <c r="AH1379" s="46"/>
      <c r="AI1379" s="46"/>
      <c r="AJ1379" s="46"/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</row>
    <row r="1380" customFormat="false" ht="15" hidden="false" customHeight="false" outlineLevel="0" collapsed="false">
      <c r="A1380" s="46" t="str">
        <f aca="false">Orders!A1380</f>
        <v>ORD-01379</v>
      </c>
      <c r="B1380" s="46" t="str">
        <f aca="false">PROPER(TRIM(Orders!K1380))</f>
        <v>Delhi</v>
      </c>
      <c r="C1380" s="46" t="str">
        <f aca="false">IFERROR(VLOOKUP(Orders!D1380,Products!$A$2:$F$61,3,FALSE()),"Not Found")</f>
        <v>Electronics</v>
      </c>
      <c r="D1380" s="46" t="str">
        <f aca="false">IFERROR(VLOOKUP(Orders!C1380,Customers!$A$2:$F$301,5,FALSE()),"Not Found")</f>
        <v>Corporate</v>
      </c>
      <c r="E1380" s="46" t="n">
        <f aca="false">IFERROR(VLOOKUP(Orders!C1380,Customers!$A$2:$F$301,3,FALSE()),"Not Found")</f>
        <v>46</v>
      </c>
      <c r="F1380" s="46" t="str">
        <f aca="false">IFERROR(VLOOKUP(Orders!E1380,Sales_Reps!$A$2:$E$31,3,FALSE()),"Not Found")</f>
        <v>West</v>
      </c>
      <c r="G1380" s="46" t="n">
        <f aca="false">IFERROR(VLOOKUP(Orders!D1380,Products!$A$2:$F$61,4,FALSE()),"")</f>
        <v>2865</v>
      </c>
      <c r="H1380" s="47" t="n">
        <f aca="false">IF(G1380="","",(Orders!G1380-G1380)/Orders!G1380)</f>
        <v>0.278337531486146</v>
      </c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</row>
    <row r="1381" customFormat="false" ht="15" hidden="false" customHeight="false" outlineLevel="0" collapsed="false">
      <c r="A1381" s="46" t="str">
        <f aca="false">Orders!A1381</f>
        <v>ORD-01380</v>
      </c>
      <c r="B1381" s="46" t="str">
        <f aca="false">PROPER(TRIM(Orders!K1381))</f>
        <v>Mumbai</v>
      </c>
      <c r="C1381" s="46" t="str">
        <f aca="false">IFERROR(VLOOKUP(Orders!D1381,Products!$A$2:$F$61,3,FALSE()),"Not Found")</f>
        <v>Grocery</v>
      </c>
      <c r="D1381" s="46" t="str">
        <f aca="false">IFERROR(VLOOKUP(Orders!C1381,Customers!$A$2:$F$301,5,FALSE()),"Not Found")</f>
        <v>SMB</v>
      </c>
      <c r="E1381" s="46" t="n">
        <f aca="false">IFERROR(VLOOKUP(Orders!C1381,Customers!$A$2:$F$301,3,FALSE()),"Not Found")</f>
        <v>65</v>
      </c>
      <c r="F1381" s="46" t="str">
        <f aca="false">IFERROR(VLOOKUP(Orders!E1381,Sales_Reps!$A$2:$E$31,3,FALSE()),"Not Found")</f>
        <v>South</v>
      </c>
      <c r="G1381" s="46" t="n">
        <f aca="false">IFERROR(VLOOKUP(Orders!D1381,Products!$A$2:$F$61,4,FALSE()),"")</f>
        <v>1010</v>
      </c>
      <c r="H1381" s="47" t="n">
        <f aca="false">IF(G1381="","",(Orders!G1381-G1381)/Orders!G1381)</f>
        <v>0.542986425339367</v>
      </c>
      <c r="I1381" s="46"/>
      <c r="J1381" s="46"/>
      <c r="K1381" s="46"/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46"/>
      <c r="AZ1381" s="46"/>
    </row>
    <row r="1382" customFormat="false" ht="15" hidden="false" customHeight="false" outlineLevel="0" collapsed="false">
      <c r="A1382" s="46" t="str">
        <f aca="false">Orders!A1382</f>
        <v>ORD-01381</v>
      </c>
      <c r="B1382" s="46" t="str">
        <f aca="false">PROPER(TRIM(Orders!K1382))</f>
        <v>Pune</v>
      </c>
      <c r="C1382" s="46" t="str">
        <f aca="false">IFERROR(VLOOKUP(Orders!D1382,Products!$A$2:$F$61,3,FALSE()),"Not Found")</f>
        <v>Beauty</v>
      </c>
      <c r="D1382" s="46" t="str">
        <f aca="false">IFERROR(VLOOKUP(Orders!C1382,Customers!$A$2:$F$301,5,FALSE()),"Not Found")</f>
        <v>Retail</v>
      </c>
      <c r="E1382" s="46" t="n">
        <f aca="false">IFERROR(VLOOKUP(Orders!C1382,Customers!$A$2:$F$301,3,FALSE()),"Not Found")</f>
        <v>44</v>
      </c>
      <c r="F1382" s="46" t="str">
        <f aca="false">IFERROR(VLOOKUP(Orders!E1382,Sales_Reps!$A$2:$E$31,3,FALSE()),"Not Found")</f>
        <v>East</v>
      </c>
      <c r="G1382" s="46" t="n">
        <f aca="false">IFERROR(VLOOKUP(Orders!D1382,Products!$A$2:$F$61,4,FALSE()),"")</f>
        <v>647</v>
      </c>
      <c r="H1382" s="47" t="n">
        <f aca="false">IF(G1382="","",(Orders!G1382-G1382)/Orders!G1382)</f>
        <v>0.57987012987013</v>
      </c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/>
      <c r="AC1382" s="46"/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</row>
    <row r="1383" customFormat="false" ht="15" hidden="false" customHeight="false" outlineLevel="0" collapsed="false">
      <c r="A1383" s="46" t="str">
        <f aca="false">Orders!A1383</f>
        <v>ORD-01382</v>
      </c>
      <c r="B1383" s="46" t="str">
        <f aca="false">PROPER(TRIM(Orders!K1383))</f>
        <v>Delhi</v>
      </c>
      <c r="C1383" s="46" t="str">
        <f aca="false">IFERROR(VLOOKUP(Orders!D1383,Products!$A$2:$F$61,3,FALSE()),"Not Found")</f>
        <v>Home</v>
      </c>
      <c r="D1383" s="46" t="str">
        <f aca="false">IFERROR(VLOOKUP(Orders!C1383,Customers!$A$2:$F$301,5,FALSE()),"Not Found")</f>
        <v>Retail</v>
      </c>
      <c r="E1383" s="46" t="n">
        <f aca="false">IFERROR(VLOOKUP(Orders!C1383,Customers!$A$2:$F$301,3,FALSE()),"Not Found")</f>
        <v>63</v>
      </c>
      <c r="F1383" s="46" t="str">
        <f aca="false">IFERROR(VLOOKUP(Orders!E1383,Sales_Reps!$A$2:$E$31,3,FALSE()),"Not Found")</f>
        <v>West</v>
      </c>
      <c r="G1383" s="46" t="n">
        <f aca="false">IFERROR(VLOOKUP(Orders!D1383,Products!$A$2:$F$61,4,FALSE()),"")</f>
        <v>1850</v>
      </c>
      <c r="H1383" s="47" t="n">
        <f aca="false">IF(G1383="","",(Orders!G1383-G1383)/Orders!G1383)</f>
        <v>0.598698481561822</v>
      </c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</row>
    <row r="1384" customFormat="false" ht="15" hidden="false" customHeight="false" outlineLevel="0" collapsed="false">
      <c r="A1384" s="46" t="str">
        <f aca="false">Orders!A1384</f>
        <v>ORD-01383</v>
      </c>
      <c r="B1384" s="46" t="str">
        <f aca="false">PROPER(TRIM(Orders!K1384))</f>
        <v>Mumbai</v>
      </c>
      <c r="C1384" s="46" t="str">
        <f aca="false">IFERROR(VLOOKUP(Orders!D1384,Products!$A$2:$F$61,3,FALSE()),"Not Found")</f>
        <v>Electronics</v>
      </c>
      <c r="D1384" s="46" t="str">
        <f aca="false">IFERROR(VLOOKUP(Orders!C1384,Customers!$A$2:$F$301,5,FALSE()),"Not Found")</f>
        <v>Retail</v>
      </c>
      <c r="E1384" s="46" t="n">
        <f aca="false">IFERROR(VLOOKUP(Orders!C1384,Customers!$A$2:$F$301,3,FALSE()),"Not Found")</f>
        <v>56</v>
      </c>
      <c r="F1384" s="46" t="str">
        <f aca="false">IFERROR(VLOOKUP(Orders!E1384,Sales_Reps!$A$2:$E$31,3,FALSE()),"Not Found")</f>
        <v>North</v>
      </c>
      <c r="G1384" s="46" t="n">
        <f aca="false">IFERROR(VLOOKUP(Orders!D1384,Products!$A$2:$F$61,4,FALSE()),"")</f>
        <v>2865</v>
      </c>
      <c r="H1384" s="47" t="n">
        <f aca="false">IF(G1384="","",(Orders!G1384-G1384)/Orders!G1384)</f>
        <v>0.278337531486146</v>
      </c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/>
      <c r="AE1384" s="46"/>
      <c r="AF1384" s="46"/>
      <c r="AG1384" s="46"/>
      <c r="AH1384" s="46"/>
      <c r="AI1384" s="46"/>
      <c r="AJ1384" s="46"/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</row>
    <row r="1385" customFormat="false" ht="15" hidden="false" customHeight="false" outlineLevel="0" collapsed="false">
      <c r="A1385" s="46" t="str">
        <f aca="false">Orders!A1385</f>
        <v>ORD-01384</v>
      </c>
      <c r="B1385" s="46" t="str">
        <f aca="false">PROPER(TRIM(Orders!K1385))</f>
        <v>Delhi</v>
      </c>
      <c r="C1385" s="46" t="str">
        <f aca="false">IFERROR(VLOOKUP(Orders!D1385,Products!$A$2:$F$61,3,FALSE()),"Not Found")</f>
        <v>Electronics</v>
      </c>
      <c r="D1385" s="46" t="str">
        <f aca="false">IFERROR(VLOOKUP(Orders!C1385,Customers!$A$2:$F$301,5,FALSE()),"Not Found")</f>
        <v>Retail</v>
      </c>
      <c r="E1385" s="46" t="n">
        <f aca="false">IFERROR(VLOOKUP(Orders!C1385,Customers!$A$2:$F$301,3,FALSE()),"Not Found")</f>
        <v>41</v>
      </c>
      <c r="F1385" s="46" t="str">
        <f aca="false">IFERROR(VLOOKUP(Orders!E1385,Sales_Reps!$A$2:$E$31,3,FALSE()),"Not Found")</f>
        <v>North</v>
      </c>
      <c r="G1385" s="46" t="n">
        <f aca="false">IFERROR(VLOOKUP(Orders!D1385,Products!$A$2:$F$61,4,FALSE()),"")</f>
        <v>1259</v>
      </c>
      <c r="H1385" s="47" t="n">
        <f aca="false">IF(G1385="","",(Orders!G1385-G1385)/Orders!G1385)</f>
        <v>0.526691729323308</v>
      </c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</row>
    <row r="1386" customFormat="false" ht="15" hidden="false" customHeight="false" outlineLevel="0" collapsed="false">
      <c r="A1386" s="46" t="str">
        <f aca="false">Orders!A1386</f>
        <v>ORD-01385</v>
      </c>
      <c r="B1386" s="46" t="str">
        <f aca="false">PROPER(TRIM(Orders!K1386))</f>
        <v>Chennai</v>
      </c>
      <c r="C1386" s="46" t="str">
        <f aca="false">IFERROR(VLOOKUP(Orders!D1386,Products!$A$2:$F$61,3,FALSE()),"Not Found")</f>
        <v>Beauty</v>
      </c>
      <c r="D1386" s="46" t="str">
        <f aca="false">IFERROR(VLOOKUP(Orders!C1386,Customers!$A$2:$F$301,5,FALSE()),"Not Found")</f>
        <v>Corporate</v>
      </c>
      <c r="E1386" s="46" t="n">
        <f aca="false">IFERROR(VLOOKUP(Orders!C1386,Customers!$A$2:$F$301,3,FALSE()),"Not Found")</f>
        <v>54</v>
      </c>
      <c r="F1386" s="46" t="str">
        <f aca="false">IFERROR(VLOOKUP(Orders!E1386,Sales_Reps!$A$2:$E$31,3,FALSE()),"Not Found")</f>
        <v>East</v>
      </c>
      <c r="G1386" s="46" t="n">
        <f aca="false">IFERROR(VLOOKUP(Orders!D1386,Products!$A$2:$F$61,4,FALSE()),"")</f>
        <v>2420</v>
      </c>
      <c r="H1386" s="47" t="n">
        <f aca="false">IF(G1386="","",(Orders!G1386-G1386)/Orders!G1386)</f>
        <v>0.298550724637681</v>
      </c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</row>
    <row r="1387" customFormat="false" ht="15" hidden="false" customHeight="false" outlineLevel="0" collapsed="false">
      <c r="A1387" s="46" t="str">
        <f aca="false">Orders!A1387</f>
        <v>ORD-01386</v>
      </c>
      <c r="B1387" s="46" t="str">
        <f aca="false">PROPER(TRIM(Orders!K1387))</f>
        <v>Delhi</v>
      </c>
      <c r="C1387" s="46" t="str">
        <f aca="false">IFERROR(VLOOKUP(Orders!D1387,Products!$A$2:$F$61,3,FALSE()),"Not Found")</f>
        <v>Sports</v>
      </c>
      <c r="D1387" s="46" t="str">
        <f aca="false">IFERROR(VLOOKUP(Orders!C1387,Customers!$A$2:$F$301,5,FALSE()),"Not Found")</f>
        <v>SMB</v>
      </c>
      <c r="E1387" s="46" t="n">
        <f aca="false">IFERROR(VLOOKUP(Orders!C1387,Customers!$A$2:$F$301,3,FALSE()),"Not Found")</f>
        <v>48</v>
      </c>
      <c r="F1387" s="46" t="str">
        <f aca="false">IFERROR(VLOOKUP(Orders!E1387,Sales_Reps!$A$2:$E$31,3,FALSE()),"Not Found")</f>
        <v>North</v>
      </c>
      <c r="G1387" s="46" t="n">
        <f aca="false">IFERROR(VLOOKUP(Orders!D1387,Products!$A$2:$F$61,4,FALSE()),"")</f>
        <v>302</v>
      </c>
      <c r="H1387" s="47" t="n">
        <f aca="false">IF(G1387="","",(Orders!G1387-G1387)/Orders!G1387)</f>
        <v>0.357446808510638</v>
      </c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/>
      <c r="AE1387" s="46"/>
      <c r="AF1387" s="46"/>
      <c r="AG1387" s="46"/>
      <c r="AH1387" s="46"/>
      <c r="AI1387" s="46"/>
      <c r="AJ1387" s="46"/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</row>
    <row r="1388" customFormat="false" ht="15" hidden="false" customHeight="false" outlineLevel="0" collapsed="false">
      <c r="A1388" s="46" t="str">
        <f aca="false">Orders!A1388</f>
        <v>ORD-00168</v>
      </c>
      <c r="B1388" s="46" t="str">
        <f aca="false">PROPER(TRIM(Orders!K1388))</f>
        <v>Pune</v>
      </c>
      <c r="C1388" s="46" t="str">
        <f aca="false">IFERROR(VLOOKUP(Orders!D1388,Products!$A$2:$F$61,3,FALSE()),"Not Found")</f>
        <v>Sports</v>
      </c>
      <c r="D1388" s="46" t="str">
        <f aca="false">IFERROR(VLOOKUP(Orders!C1388,Customers!$A$2:$F$301,5,FALSE()),"Not Found")</f>
        <v>Retail</v>
      </c>
      <c r="E1388" s="46" t="n">
        <f aca="false">IFERROR(VLOOKUP(Orders!C1388,Customers!$A$2:$F$301,3,FALSE()),"Not Found")</f>
        <v>22</v>
      </c>
      <c r="F1388" s="46" t="str">
        <f aca="false">IFERROR(VLOOKUP(Orders!E1388,Sales_Reps!$A$2:$E$31,3,FALSE()),"Not Found")</f>
        <v>East</v>
      </c>
      <c r="G1388" s="46" t="n">
        <f aca="false">IFERROR(VLOOKUP(Orders!D1388,Products!$A$2:$F$61,4,FALSE()),"")</f>
        <v>1860</v>
      </c>
      <c r="H1388" s="47" t="n">
        <f aca="false">IF(G1388="","",(Orders!G1388-G1388)/Orders!G1388)</f>
        <v>0.507936507936508</v>
      </c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</row>
    <row r="1389" customFormat="false" ht="15" hidden="false" customHeight="false" outlineLevel="0" collapsed="false">
      <c r="A1389" s="46" t="str">
        <f aca="false">Orders!A1389</f>
        <v>ORD-01388</v>
      </c>
      <c r="B1389" s="46" t="str">
        <f aca="false">PROPER(TRIM(Orders!K1389))</f>
        <v>Bengaluru</v>
      </c>
      <c r="C1389" s="46" t="str">
        <f aca="false">IFERROR(VLOOKUP(Orders!D1389,Products!$A$2:$F$61,3,FALSE()),"Not Found")</f>
        <v>Apparel</v>
      </c>
      <c r="D1389" s="46" t="str">
        <f aca="false">IFERROR(VLOOKUP(Orders!C1389,Customers!$A$2:$F$301,5,FALSE()),"Not Found")</f>
        <v>SMB</v>
      </c>
      <c r="E1389" s="46" t="n">
        <f aca="false">IFERROR(VLOOKUP(Orders!C1389,Customers!$A$2:$F$301,3,FALSE()),"Not Found")</f>
        <v>36</v>
      </c>
      <c r="F1389" s="46" t="str">
        <f aca="false">IFERROR(VLOOKUP(Orders!E1389,Sales_Reps!$A$2:$E$31,3,FALSE()),"Not Found")</f>
        <v>West</v>
      </c>
      <c r="G1389" s="46" t="n">
        <f aca="false">IFERROR(VLOOKUP(Orders!D1389,Products!$A$2:$F$61,4,FALSE()),"")</f>
        <v>2509</v>
      </c>
      <c r="H1389" s="47" t="n">
        <f aca="false">IF(G1389="","",(Orders!G1389-G1389)/Orders!G1389)</f>
        <v>0.306906077348066</v>
      </c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/>
      <c r="AE1389" s="46"/>
      <c r="AF1389" s="46"/>
      <c r="AG1389" s="46"/>
      <c r="AH1389" s="46"/>
      <c r="AI1389" s="46"/>
      <c r="AJ1389" s="46"/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</row>
    <row r="1390" customFormat="false" ht="15" hidden="false" customHeight="false" outlineLevel="0" collapsed="false">
      <c r="A1390" s="46" t="str">
        <f aca="false">Orders!A1390</f>
        <v>ORD-01389</v>
      </c>
      <c r="B1390" s="46" t="str">
        <f aca="false">PROPER(TRIM(Orders!K1390))</f>
        <v>Hyderabad</v>
      </c>
      <c r="C1390" s="46" t="str">
        <f aca="false">IFERROR(VLOOKUP(Orders!D1390,Products!$A$2:$F$61,3,FALSE()),"Not Found")</f>
        <v>Beauty</v>
      </c>
      <c r="D1390" s="46" t="str">
        <f aca="false">IFERROR(VLOOKUP(Orders!C1390,Customers!$A$2:$F$301,5,FALSE()),"Not Found")</f>
        <v>Retail</v>
      </c>
      <c r="E1390" s="46" t="n">
        <f aca="false">IFERROR(VLOOKUP(Orders!C1390,Customers!$A$2:$F$301,3,FALSE()),"Not Found")</f>
        <v>53</v>
      </c>
      <c r="F1390" s="46" t="str">
        <f aca="false">IFERROR(VLOOKUP(Orders!E1390,Sales_Reps!$A$2:$E$31,3,FALSE()),"Not Found")</f>
        <v>West</v>
      </c>
      <c r="G1390" s="46" t="n">
        <f aca="false">IFERROR(VLOOKUP(Orders!D1390,Products!$A$2:$F$61,4,FALSE()),"")</f>
        <v>675</v>
      </c>
      <c r="H1390" s="47" t="n">
        <f aca="false">IF(G1390="","",(Orders!G1390-G1390)/Orders!G1390)</f>
        <v>0.296875</v>
      </c>
      <c r="I1390" s="46"/>
      <c r="J1390" s="46"/>
      <c r="K1390" s="46"/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</row>
    <row r="1391" customFormat="false" ht="15" hidden="false" customHeight="false" outlineLevel="0" collapsed="false">
      <c r="A1391" s="46" t="str">
        <f aca="false">Orders!A1391</f>
        <v>ORD-01390</v>
      </c>
      <c r="B1391" s="46" t="str">
        <f aca="false">PROPER(TRIM(Orders!K1391))</f>
        <v>Hyderabad</v>
      </c>
      <c r="C1391" s="46" t="str">
        <f aca="false">IFERROR(VLOOKUP(Orders!D1391,Products!$A$2:$F$61,3,FALSE()),"Not Found")</f>
        <v>Beauty</v>
      </c>
      <c r="D1391" s="46" t="str">
        <f aca="false">IFERROR(VLOOKUP(Orders!C1391,Customers!$A$2:$F$301,5,FALSE()),"Not Found")</f>
        <v>Retail</v>
      </c>
      <c r="E1391" s="46" t="n">
        <f aca="false">IFERROR(VLOOKUP(Orders!C1391,Customers!$A$2:$F$301,3,FALSE()),"Not Found")</f>
        <v>28</v>
      </c>
      <c r="F1391" s="46" t="str">
        <f aca="false">IFERROR(VLOOKUP(Orders!E1391,Sales_Reps!$A$2:$E$31,3,FALSE()),"Not Found")</f>
        <v>North</v>
      </c>
      <c r="G1391" s="46" t="n">
        <f aca="false">IFERROR(VLOOKUP(Orders!D1391,Products!$A$2:$F$61,4,FALSE()),"")</f>
        <v>1728</v>
      </c>
      <c r="H1391" s="47" t="n">
        <f aca="false">IF(G1391="","",(Orders!G1391-G1391)/Orders!G1391)</f>
        <v>0.484179104477612</v>
      </c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46"/>
      <c r="AE1391" s="46"/>
      <c r="AF1391" s="46"/>
      <c r="AG1391" s="46"/>
      <c r="AH1391" s="46"/>
      <c r="AI1391" s="46"/>
      <c r="AJ1391" s="46"/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</row>
    <row r="1392" customFormat="false" ht="15" hidden="false" customHeight="false" outlineLevel="0" collapsed="false">
      <c r="A1392" s="46" t="str">
        <f aca="false">Orders!A1392</f>
        <v>ORD-01391</v>
      </c>
      <c r="B1392" s="46" t="str">
        <f aca="false">PROPER(TRIM(Orders!K1392))</f>
        <v>Delhi</v>
      </c>
      <c r="C1392" s="46" t="str">
        <f aca="false">IFERROR(VLOOKUP(Orders!D1392,Products!$A$2:$F$61,3,FALSE()),"Not Found")</f>
        <v>Sports</v>
      </c>
      <c r="D1392" s="46" t="str">
        <f aca="false">IFERROR(VLOOKUP(Orders!C1392,Customers!$A$2:$F$301,5,FALSE()),"Not Found")</f>
        <v>SMB</v>
      </c>
      <c r="E1392" s="46" t="n">
        <f aca="false">IFERROR(VLOOKUP(Orders!C1392,Customers!$A$2:$F$301,3,FALSE()),"Not Found")</f>
        <v>28</v>
      </c>
      <c r="F1392" s="46" t="str">
        <f aca="false">IFERROR(VLOOKUP(Orders!E1392,Sales_Reps!$A$2:$E$31,3,FALSE()),"Not Found")</f>
        <v>West</v>
      </c>
      <c r="G1392" s="46" t="n">
        <f aca="false">IFERROR(VLOOKUP(Orders!D1392,Products!$A$2:$F$61,4,FALSE()),"")</f>
        <v>974</v>
      </c>
      <c r="H1392" s="47" t="n">
        <f aca="false">IF(G1392="","",(Orders!G1392-G1392)/Orders!G1392)</f>
        <v>0.594166666666667</v>
      </c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</row>
    <row r="1393" customFormat="false" ht="15" hidden="false" customHeight="false" outlineLevel="0" collapsed="false">
      <c r="A1393" s="46" t="str">
        <f aca="false">Orders!A1393</f>
        <v>ORD-01392</v>
      </c>
      <c r="B1393" s="46" t="str">
        <f aca="false">PROPER(TRIM(Orders!K1393))</f>
        <v>Bengaluru</v>
      </c>
      <c r="C1393" s="46" t="str">
        <f aca="false">IFERROR(VLOOKUP(Orders!D1393,Products!$A$2:$F$61,3,FALSE()),"Not Found")</f>
        <v>Sports</v>
      </c>
      <c r="D1393" s="46" t="str">
        <f aca="false">IFERROR(VLOOKUP(Orders!C1393,Customers!$A$2:$F$301,5,FALSE()),"Not Found")</f>
        <v>Retail</v>
      </c>
      <c r="E1393" s="46" t="n">
        <f aca="false">IFERROR(VLOOKUP(Orders!C1393,Customers!$A$2:$F$301,3,FALSE()),"Not Found")</f>
        <v>29</v>
      </c>
      <c r="F1393" s="46" t="str">
        <f aca="false">IFERROR(VLOOKUP(Orders!E1393,Sales_Reps!$A$2:$E$31,3,FALSE()),"Not Found")</f>
        <v>North</v>
      </c>
      <c r="G1393" s="46" t="n">
        <f aca="false">IFERROR(VLOOKUP(Orders!D1393,Products!$A$2:$F$61,4,FALSE()),"")</f>
        <v>2028</v>
      </c>
      <c r="H1393" s="47" t="n">
        <f aca="false">IF(G1393="","",(Orders!G1393-G1393)/Orders!G1393)</f>
        <v>0.290909090909091</v>
      </c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/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</row>
    <row r="1394" customFormat="false" ht="15" hidden="false" customHeight="false" outlineLevel="0" collapsed="false">
      <c r="A1394" s="46" t="str">
        <f aca="false">Orders!A1394</f>
        <v>ORD-01393</v>
      </c>
      <c r="B1394" s="46" t="str">
        <f aca="false">PROPER(TRIM(Orders!K1394))</f>
        <v>Chennai</v>
      </c>
      <c r="C1394" s="46" t="str">
        <f aca="false">IFERROR(VLOOKUP(Orders!D1394,Products!$A$2:$F$61,3,FALSE()),"Not Found")</f>
        <v>Beauty</v>
      </c>
      <c r="D1394" s="46" t="str">
        <f aca="false">IFERROR(VLOOKUP(Orders!C1394,Customers!$A$2:$F$301,5,FALSE()),"Not Found")</f>
        <v>SMB</v>
      </c>
      <c r="E1394" s="46" t="n">
        <f aca="false">IFERROR(VLOOKUP(Orders!C1394,Customers!$A$2:$F$301,3,FALSE()),"Not Found")</f>
        <v>46</v>
      </c>
      <c r="F1394" s="46" t="str">
        <f aca="false">IFERROR(VLOOKUP(Orders!E1394,Sales_Reps!$A$2:$E$31,3,FALSE()),"Not Found")</f>
        <v>North</v>
      </c>
      <c r="G1394" s="46" t="n">
        <f aca="false">IFERROR(VLOOKUP(Orders!D1394,Products!$A$2:$F$61,4,FALSE()),"")</f>
        <v>1219</v>
      </c>
      <c r="H1394" s="47" t="n">
        <f aca="false">IF(G1394="","",(Orders!G1394-G1394)/Orders!G1394)</f>
        <v>0.467685589519651</v>
      </c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</row>
    <row r="1395" customFormat="false" ht="15" hidden="false" customHeight="false" outlineLevel="0" collapsed="false">
      <c r="A1395" s="46" t="str">
        <f aca="false">Orders!A1395</f>
        <v>ORD-01394</v>
      </c>
      <c r="B1395" s="46" t="str">
        <f aca="false">PROPER(TRIM(Orders!K1395))</f>
        <v>Mumbai</v>
      </c>
      <c r="C1395" s="46" t="str">
        <f aca="false">IFERROR(VLOOKUP(Orders!D1395,Products!$A$2:$F$61,3,FALSE()),"Not Found")</f>
        <v>Electronics</v>
      </c>
      <c r="D1395" s="46" t="str">
        <f aca="false">IFERROR(VLOOKUP(Orders!C1395,Customers!$A$2:$F$301,5,FALSE()),"Not Found")</f>
        <v>Retail</v>
      </c>
      <c r="E1395" s="46" t="n">
        <f aca="false">IFERROR(VLOOKUP(Orders!C1395,Customers!$A$2:$F$301,3,FALSE()),"Not Found")</f>
        <v>50</v>
      </c>
      <c r="F1395" s="46" t="str">
        <f aca="false">IFERROR(VLOOKUP(Orders!E1395,Sales_Reps!$A$2:$E$31,3,FALSE()),"Not Found")</f>
        <v>East</v>
      </c>
      <c r="G1395" s="46" t="n">
        <f aca="false">IFERROR(VLOOKUP(Orders!D1395,Products!$A$2:$F$61,4,FALSE()),"")</f>
        <v>2405</v>
      </c>
      <c r="H1395" s="47" t="n">
        <f aca="false">IF(G1395="","",(Orders!G1395-G1395)/Orders!G1395)</f>
        <v>0.548780487804878</v>
      </c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/>
      <c r="AE1395" s="46"/>
      <c r="AF1395" s="46"/>
      <c r="AG1395" s="46"/>
      <c r="AH1395" s="46"/>
      <c r="AI1395" s="46"/>
      <c r="AJ1395" s="46"/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</row>
    <row r="1396" customFormat="false" ht="15" hidden="false" customHeight="false" outlineLevel="0" collapsed="false">
      <c r="A1396" s="46" t="str">
        <f aca="false">Orders!A1396</f>
        <v>ORD-01395</v>
      </c>
      <c r="B1396" s="46" t="str">
        <f aca="false">PROPER(TRIM(Orders!K1396))</f>
        <v>Chennai</v>
      </c>
      <c r="C1396" s="46" t="str">
        <f aca="false">IFERROR(VLOOKUP(Orders!D1396,Products!$A$2:$F$61,3,FALSE()),"Not Found")</f>
        <v>Apparel</v>
      </c>
      <c r="D1396" s="46" t="str">
        <f aca="false">IFERROR(VLOOKUP(Orders!C1396,Customers!$A$2:$F$301,5,FALSE()),"Not Found")</f>
        <v>Retail</v>
      </c>
      <c r="E1396" s="46" t="n">
        <f aca="false">IFERROR(VLOOKUP(Orders!C1396,Customers!$A$2:$F$301,3,FALSE()),"Not Found")</f>
        <v>41</v>
      </c>
      <c r="F1396" s="46" t="str">
        <f aca="false">IFERROR(VLOOKUP(Orders!E1396,Sales_Reps!$A$2:$E$31,3,FALSE()),"Not Found")</f>
        <v>East</v>
      </c>
      <c r="G1396" s="46" t="n">
        <f aca="false">IFERROR(VLOOKUP(Orders!D1396,Products!$A$2:$F$61,4,FALSE()),"")</f>
        <v>2611</v>
      </c>
      <c r="H1396" s="47" t="n">
        <f aca="false">IF(G1396="","",(Orders!G1396-G1396)/Orders!G1396)</f>
        <v>0.282692307692308</v>
      </c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</row>
    <row r="1397" customFormat="false" ht="15" hidden="false" customHeight="false" outlineLevel="0" collapsed="false">
      <c r="A1397" s="46" t="str">
        <f aca="false">Orders!A1397</f>
        <v>ORD-01396</v>
      </c>
      <c r="B1397" s="46" t="str">
        <f aca="false">PROPER(TRIM(Orders!K1397))</f>
        <v>Hyderabad</v>
      </c>
      <c r="C1397" s="46" t="str">
        <f aca="false">IFERROR(VLOOKUP(Orders!D1397,Products!$A$2:$F$61,3,FALSE()),"Not Found")</f>
        <v>Home</v>
      </c>
      <c r="D1397" s="46" t="str">
        <f aca="false">IFERROR(VLOOKUP(Orders!C1397,Customers!$A$2:$F$301,5,FALSE()),"Not Found")</f>
        <v>SMB</v>
      </c>
      <c r="E1397" s="46" t="n">
        <f aca="false">IFERROR(VLOOKUP(Orders!C1397,Customers!$A$2:$F$301,3,FALSE()),"Not Found")</f>
        <v>40</v>
      </c>
      <c r="F1397" s="46" t="str">
        <f aca="false">IFERROR(VLOOKUP(Orders!E1397,Sales_Reps!$A$2:$E$31,3,FALSE()),"Not Found")</f>
        <v>West</v>
      </c>
      <c r="G1397" s="46" t="n">
        <f aca="false">IFERROR(VLOOKUP(Orders!D1397,Products!$A$2:$F$61,4,FALSE()),"")</f>
        <v>2459</v>
      </c>
      <c r="H1397" s="47" t="n">
        <f aca="false">IF(G1397="","",(Orders!G1397-G1397)/Orders!G1397)</f>
        <v>0.515944881889764</v>
      </c>
      <c r="I1397" s="46"/>
      <c r="J1397" s="46"/>
      <c r="K1397" s="46"/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</row>
    <row r="1398" customFormat="false" ht="15" hidden="false" customHeight="false" outlineLevel="0" collapsed="false">
      <c r="A1398" s="46" t="str">
        <f aca="false">Orders!A1398</f>
        <v>ORD-01397</v>
      </c>
      <c r="B1398" s="46" t="str">
        <f aca="false">PROPER(TRIM(Orders!K1398))</f>
        <v>Delhi</v>
      </c>
      <c r="C1398" s="46" t="str">
        <f aca="false">IFERROR(VLOOKUP(Orders!D1398,Products!$A$2:$F$61,3,FALSE()),"Not Found")</f>
        <v>Home</v>
      </c>
      <c r="D1398" s="46" t="str">
        <f aca="false">IFERROR(VLOOKUP(Orders!C1398,Customers!$A$2:$F$301,5,FALSE()),"Not Found")</f>
        <v>SMB</v>
      </c>
      <c r="E1398" s="46" t="n">
        <f aca="false">IFERROR(VLOOKUP(Orders!C1398,Customers!$A$2:$F$301,3,FALSE()),"Not Found")</f>
        <v>26</v>
      </c>
      <c r="F1398" s="46" t="str">
        <f aca="false">IFERROR(VLOOKUP(Orders!E1398,Sales_Reps!$A$2:$E$31,3,FALSE()),"Not Found")</f>
        <v>East</v>
      </c>
      <c r="G1398" s="46" t="n">
        <f aca="false">IFERROR(VLOOKUP(Orders!D1398,Products!$A$2:$F$61,4,FALSE()),"")</f>
        <v>464</v>
      </c>
      <c r="H1398" s="47" t="n">
        <f aca="false">IF(G1398="","",(Orders!G1398-G1398)/Orders!G1398)</f>
        <v>0.574311926605505</v>
      </c>
      <c r="I1398" s="46"/>
      <c r="J1398" s="46"/>
      <c r="K1398" s="46"/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</row>
    <row r="1399" customFormat="false" ht="15" hidden="false" customHeight="false" outlineLevel="0" collapsed="false">
      <c r="A1399" s="46" t="str">
        <f aca="false">Orders!A1399</f>
        <v>ORD-01398</v>
      </c>
      <c r="B1399" s="46" t="str">
        <f aca="false">PROPER(TRIM(Orders!K1399))</f>
        <v>Delhi</v>
      </c>
      <c r="C1399" s="46" t="str">
        <f aca="false">IFERROR(VLOOKUP(Orders!D1399,Products!$A$2:$F$61,3,FALSE()),"Not Found")</f>
        <v>Beauty</v>
      </c>
      <c r="D1399" s="46" t="str">
        <f aca="false">IFERROR(VLOOKUP(Orders!C1399,Customers!$A$2:$F$301,5,FALSE()),"Not Found")</f>
        <v>Corporate</v>
      </c>
      <c r="E1399" s="46" t="n">
        <f aca="false">IFERROR(VLOOKUP(Orders!C1399,Customers!$A$2:$F$301,3,FALSE()),"Not Found")</f>
        <v>47</v>
      </c>
      <c r="F1399" s="46" t="str">
        <f aca="false">IFERROR(VLOOKUP(Orders!E1399,Sales_Reps!$A$2:$E$31,3,FALSE()),"Not Found")</f>
        <v>West</v>
      </c>
      <c r="G1399" s="46" t="n">
        <f aca="false">IFERROR(VLOOKUP(Orders!D1399,Products!$A$2:$F$61,4,FALSE()),"")</f>
        <v>2420</v>
      </c>
      <c r="H1399" s="47" t="n">
        <f aca="false">IF(G1399="","",(Orders!G1399-G1399)/Orders!G1399)</f>
        <v>0.298550724637681</v>
      </c>
      <c r="I1399" s="46"/>
      <c r="J1399" s="46"/>
      <c r="K1399" s="46"/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</row>
    <row r="1400" customFormat="false" ht="15" hidden="false" customHeight="false" outlineLevel="0" collapsed="false">
      <c r="A1400" s="46" t="str">
        <f aca="false">Orders!A1400</f>
        <v>ORD-01399</v>
      </c>
      <c r="B1400" s="46" t="str">
        <f aca="false">PROPER(TRIM(Orders!K1400))</f>
        <v>Hyderabad</v>
      </c>
      <c r="C1400" s="46" t="str">
        <f aca="false">IFERROR(VLOOKUP(Orders!D1400,Products!$A$2:$F$61,3,FALSE()),"Not Found")</f>
        <v>Sports</v>
      </c>
      <c r="D1400" s="46" t="str">
        <f aca="false">IFERROR(VLOOKUP(Orders!C1400,Customers!$A$2:$F$301,5,FALSE()),"Not Found")</f>
        <v>Retail</v>
      </c>
      <c r="E1400" s="46" t="n">
        <f aca="false">IFERROR(VLOOKUP(Orders!C1400,Customers!$A$2:$F$301,3,FALSE()),"Not Found")</f>
        <v>53</v>
      </c>
      <c r="F1400" s="46" t="str">
        <f aca="false">IFERROR(VLOOKUP(Orders!E1400,Sales_Reps!$A$2:$E$31,3,FALSE()),"Not Found")</f>
        <v>South</v>
      </c>
      <c r="G1400" s="46" t="n">
        <f aca="false">IFERROR(VLOOKUP(Orders!D1400,Products!$A$2:$F$61,4,FALSE()),"")</f>
        <v>2265</v>
      </c>
      <c r="H1400" s="47" t="n">
        <f aca="false">IF(G1400="","",(Orders!G1400-G1400)/Orders!G1400)</f>
        <v>0.581330868761553</v>
      </c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</row>
    <row r="1401" customFormat="false" ht="15" hidden="false" customHeight="false" outlineLevel="0" collapsed="false">
      <c r="A1401" s="46" t="str">
        <f aca="false">Orders!A1401</f>
        <v>ORD-01400</v>
      </c>
      <c r="B1401" s="46" t="str">
        <f aca="false">PROPER(TRIM(Orders!K1401))</f>
        <v>Hyderabad</v>
      </c>
      <c r="C1401" s="46" t="str">
        <f aca="false">IFERROR(VLOOKUP(Orders!D1401,Products!$A$2:$F$61,3,FALSE()),"Not Found")</f>
        <v>Apparel</v>
      </c>
      <c r="D1401" s="46" t="str">
        <f aca="false">IFERROR(VLOOKUP(Orders!C1401,Customers!$A$2:$F$301,5,FALSE()),"Not Found")</f>
        <v>SMB</v>
      </c>
      <c r="E1401" s="46" t="n">
        <f aca="false">IFERROR(VLOOKUP(Orders!C1401,Customers!$A$2:$F$301,3,FALSE()),"Not Found")</f>
        <v>34</v>
      </c>
      <c r="F1401" s="46" t="str">
        <f aca="false">IFERROR(VLOOKUP(Orders!E1401,Sales_Reps!$A$2:$E$31,3,FALSE()),"Not Found")</f>
        <v>West</v>
      </c>
      <c r="G1401" s="46" t="n">
        <f aca="false">IFERROR(VLOOKUP(Orders!D1401,Products!$A$2:$F$61,4,FALSE()),"")</f>
        <v>1748</v>
      </c>
      <c r="H1401" s="47" t="n">
        <f aca="false">IF(G1401="","",(Orders!G1401-G1401)/Orders!G1401)</f>
        <v>0.493333333333333</v>
      </c>
      <c r="I1401" s="46"/>
      <c r="J1401" s="46"/>
      <c r="K1401" s="46"/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/>
      <c r="AE1401" s="46"/>
      <c r="AF1401" s="46"/>
      <c r="AG1401" s="46"/>
      <c r="AH1401" s="46"/>
      <c r="AI1401" s="46"/>
      <c r="AJ1401" s="46"/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</row>
    <row r="1402" customFormat="false" ht="15" hidden="false" customHeight="false" outlineLevel="0" collapsed="false">
      <c r="A1402" s="46" t="str">
        <f aca="false">Orders!A1402</f>
        <v>ORD-01401</v>
      </c>
      <c r="B1402" s="46" t="str">
        <f aca="false">PROPER(TRIM(Orders!K1402))</f>
        <v>Pune</v>
      </c>
      <c r="C1402" s="46" t="str">
        <f aca="false">IFERROR(VLOOKUP(Orders!D1402,Products!$A$2:$F$61,3,FALSE()),"Not Found")</f>
        <v>Apparel</v>
      </c>
      <c r="D1402" s="46" t="str">
        <f aca="false">IFERROR(VLOOKUP(Orders!C1402,Customers!$A$2:$F$301,5,FALSE()),"Not Found")</f>
        <v>Retail</v>
      </c>
      <c r="E1402" s="46" t="n">
        <f aca="false">IFERROR(VLOOKUP(Orders!C1402,Customers!$A$2:$F$301,3,FALSE()),"Not Found")</f>
        <v>29</v>
      </c>
      <c r="F1402" s="46" t="str">
        <f aca="false">IFERROR(VLOOKUP(Orders!E1402,Sales_Reps!$A$2:$E$31,3,FALSE()),"Not Found")</f>
        <v>West</v>
      </c>
      <c r="G1402" s="46" t="n">
        <f aca="false">IFERROR(VLOOKUP(Orders!D1402,Products!$A$2:$F$61,4,FALSE()),"")</f>
        <v>1886</v>
      </c>
      <c r="H1402" s="47" t="n">
        <f aca="false">IF(G1402="","",(Orders!G1402-G1402)/Orders!G1402)</f>
        <v>0.403164556962025</v>
      </c>
      <c r="I1402" s="46"/>
      <c r="J1402" s="46"/>
      <c r="K1402" s="46"/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46"/>
      <c r="AE1402" s="46"/>
      <c r="AF1402" s="46"/>
      <c r="AG1402" s="46"/>
      <c r="AH1402" s="46"/>
      <c r="AI1402" s="46"/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</row>
    <row r="1403" customFormat="false" ht="15" hidden="false" customHeight="false" outlineLevel="0" collapsed="false">
      <c r="A1403" s="46" t="str">
        <f aca="false">Orders!A1403</f>
        <v>ORD-01402</v>
      </c>
      <c r="B1403" s="46" t="str">
        <f aca="false">PROPER(TRIM(Orders!K1403))</f>
        <v>Bengaluru</v>
      </c>
      <c r="C1403" s="46" t="str">
        <f aca="false">IFERROR(VLOOKUP(Orders!D1403,Products!$A$2:$F$61,3,FALSE()),"Not Found")</f>
        <v>Beauty</v>
      </c>
      <c r="D1403" s="46" t="str">
        <f aca="false">IFERROR(VLOOKUP(Orders!C1403,Customers!$A$2:$F$301,5,FALSE()),"Not Found")</f>
        <v>Corporate</v>
      </c>
      <c r="E1403" s="46" t="n">
        <f aca="false">IFERROR(VLOOKUP(Orders!C1403,Customers!$A$2:$F$301,3,FALSE()),"Not Found")</f>
        <v>57</v>
      </c>
      <c r="F1403" s="46" t="str">
        <f aca="false">IFERROR(VLOOKUP(Orders!E1403,Sales_Reps!$A$2:$E$31,3,FALSE()),"Not Found")</f>
        <v>West</v>
      </c>
      <c r="G1403" s="46" t="n">
        <f aca="false">IFERROR(VLOOKUP(Orders!D1403,Products!$A$2:$F$61,4,FALSE()),"")</f>
        <v>647</v>
      </c>
      <c r="H1403" s="47" t="n">
        <f aca="false">IF(G1403="","",(Orders!G1403-G1403)/Orders!G1403)</f>
        <v>0.57987012987013</v>
      </c>
      <c r="I1403" s="46"/>
      <c r="J1403" s="46"/>
      <c r="K1403" s="46"/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  <c r="AB1403" s="46"/>
      <c r="AC1403" s="46"/>
      <c r="AD1403" s="46"/>
      <c r="AE1403" s="46"/>
      <c r="AF1403" s="46"/>
      <c r="AG1403" s="46"/>
      <c r="AH1403" s="46"/>
      <c r="AI1403" s="46"/>
      <c r="AJ1403" s="46"/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</row>
    <row r="1404" customFormat="false" ht="15" hidden="false" customHeight="false" outlineLevel="0" collapsed="false">
      <c r="A1404" s="46" t="str">
        <f aca="false">Orders!A1404</f>
        <v>ORD-01403</v>
      </c>
      <c r="B1404" s="46" t="str">
        <f aca="false">PROPER(TRIM(Orders!K1404))</f>
        <v>Pune</v>
      </c>
      <c r="C1404" s="46" t="str">
        <f aca="false">IFERROR(VLOOKUP(Orders!D1404,Products!$A$2:$F$61,3,FALSE()),"Not Found")</f>
        <v>Apparel</v>
      </c>
      <c r="D1404" s="46" t="str">
        <f aca="false">IFERROR(VLOOKUP(Orders!C1404,Customers!$A$2:$F$301,5,FALSE()),"Not Found")</f>
        <v>SMB</v>
      </c>
      <c r="E1404" s="46" t="n">
        <f aca="false">IFERROR(VLOOKUP(Orders!C1404,Customers!$A$2:$F$301,3,FALSE()),"Not Found")</f>
        <v>54</v>
      </c>
      <c r="F1404" s="46" t="str">
        <f aca="false">IFERROR(VLOOKUP(Orders!E1404,Sales_Reps!$A$2:$E$31,3,FALSE()),"Not Found")</f>
        <v>East</v>
      </c>
      <c r="G1404" s="46" t="n">
        <f aca="false">IFERROR(VLOOKUP(Orders!D1404,Products!$A$2:$F$61,4,FALSE()),"")</f>
        <v>2611</v>
      </c>
      <c r="H1404" s="47" t="n">
        <f aca="false">IF(G1404="","",(Orders!G1404-G1404)/Orders!G1404)</f>
        <v>0.282692307692308</v>
      </c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</row>
    <row r="1405" customFormat="false" ht="15" hidden="false" customHeight="false" outlineLevel="0" collapsed="false">
      <c r="A1405" s="46" t="str">
        <f aca="false">Orders!A1405</f>
        <v>ORD-01404</v>
      </c>
      <c r="B1405" s="46" t="str">
        <f aca="false">PROPER(TRIM(Orders!K1405))</f>
        <v>Hyderabad</v>
      </c>
      <c r="C1405" s="46" t="str">
        <f aca="false">IFERROR(VLOOKUP(Orders!D1405,Products!$A$2:$F$61,3,FALSE()),"Not Found")</f>
        <v>Sports</v>
      </c>
      <c r="D1405" s="46" t="str">
        <f aca="false">IFERROR(VLOOKUP(Orders!C1405,Customers!$A$2:$F$301,5,FALSE()),"Not Found")</f>
        <v>Retail</v>
      </c>
      <c r="E1405" s="46" t="n">
        <f aca="false">IFERROR(VLOOKUP(Orders!C1405,Customers!$A$2:$F$301,3,FALSE()),"Not Found")</f>
        <v>60</v>
      </c>
      <c r="F1405" s="46" t="str">
        <f aca="false">IFERROR(VLOOKUP(Orders!E1405,Sales_Reps!$A$2:$E$31,3,FALSE()),"Not Found")</f>
        <v>North</v>
      </c>
      <c r="G1405" s="46" t="n">
        <f aca="false">IFERROR(VLOOKUP(Orders!D1405,Products!$A$2:$F$61,4,FALSE()),"")</f>
        <v>1860</v>
      </c>
      <c r="H1405" s="47" t="n">
        <f aca="false">IF(G1405="","",(Orders!G1405-G1405)/Orders!G1405)</f>
        <v>0.507936507936508</v>
      </c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</row>
    <row r="1406" customFormat="false" ht="15" hidden="false" customHeight="false" outlineLevel="0" collapsed="false">
      <c r="A1406" s="46" t="str">
        <f aca="false">Orders!A1406</f>
        <v>ORD-01405</v>
      </c>
      <c r="B1406" s="46" t="str">
        <f aca="false">PROPER(TRIM(Orders!K1406))</f>
        <v>Bengaluru</v>
      </c>
      <c r="C1406" s="46" t="str">
        <f aca="false">IFERROR(VLOOKUP(Orders!D1406,Products!$A$2:$F$61,3,FALSE()),"Not Found")</f>
        <v>Apparel</v>
      </c>
      <c r="D1406" s="46" t="str">
        <f aca="false">IFERROR(VLOOKUP(Orders!C1406,Customers!$A$2:$F$301,5,FALSE()),"Not Found")</f>
        <v>Retail</v>
      </c>
      <c r="E1406" s="46" t="n">
        <f aca="false">IFERROR(VLOOKUP(Orders!C1406,Customers!$A$2:$F$301,3,FALSE()),"Not Found")</f>
        <v>59</v>
      </c>
      <c r="F1406" s="46" t="str">
        <f aca="false">IFERROR(VLOOKUP(Orders!E1406,Sales_Reps!$A$2:$E$31,3,FALSE()),"Not Found")</f>
        <v>West</v>
      </c>
      <c r="G1406" s="46" t="n">
        <f aca="false">IFERROR(VLOOKUP(Orders!D1406,Products!$A$2:$F$61,4,FALSE()),"")</f>
        <v>1962</v>
      </c>
      <c r="H1406" s="47" t="n">
        <f aca="false">IF(G1406="","",(Orders!G1406-G1406)/Orders!G1406)</f>
        <v>0.278676470588235</v>
      </c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</row>
    <row r="1407" customFormat="false" ht="15" hidden="false" customHeight="false" outlineLevel="0" collapsed="false">
      <c r="A1407" s="46" t="str">
        <f aca="false">Orders!A1407</f>
        <v>ORD-01406</v>
      </c>
      <c r="B1407" s="46" t="str">
        <f aca="false">PROPER(TRIM(Orders!K1407))</f>
        <v>Chennai</v>
      </c>
      <c r="C1407" s="46" t="str">
        <f aca="false">IFERROR(VLOOKUP(Orders!D1407,Products!$A$2:$F$61,3,FALSE()),"Not Found")</f>
        <v>Apparel</v>
      </c>
      <c r="D1407" s="46" t="str">
        <f aca="false">IFERROR(VLOOKUP(Orders!C1407,Customers!$A$2:$F$301,5,FALSE()),"Not Found")</f>
        <v>Retail</v>
      </c>
      <c r="E1407" s="46" t="n">
        <f aca="false">IFERROR(VLOOKUP(Orders!C1407,Customers!$A$2:$F$301,3,FALSE()),"Not Found")</f>
        <v>49</v>
      </c>
      <c r="F1407" s="46" t="str">
        <f aca="false">IFERROR(VLOOKUP(Orders!E1407,Sales_Reps!$A$2:$E$31,3,FALSE()),"Not Found")</f>
        <v>North</v>
      </c>
      <c r="G1407" s="46" t="n">
        <f aca="false">IFERROR(VLOOKUP(Orders!D1407,Products!$A$2:$F$61,4,FALSE()),"")</f>
        <v>2509</v>
      </c>
      <c r="H1407" s="47" t="n">
        <f aca="false">IF(G1407="","",(Orders!G1407-G1407)/Orders!G1407)</f>
        <v>0.306906077348066</v>
      </c>
      <c r="I1407" s="46"/>
      <c r="J1407" s="46"/>
      <c r="K1407" s="46"/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/>
      <c r="AE1407" s="46"/>
      <c r="AF1407" s="46"/>
      <c r="AG1407" s="46"/>
      <c r="AH1407" s="46"/>
      <c r="AI1407" s="46"/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</row>
    <row r="1408" customFormat="false" ht="15" hidden="false" customHeight="false" outlineLevel="0" collapsed="false">
      <c r="A1408" s="46" t="str">
        <f aca="false">Orders!A1408</f>
        <v>ORD-01407</v>
      </c>
      <c r="B1408" s="46" t="str">
        <f aca="false">PROPER(TRIM(Orders!K1408))</f>
        <v>Hyderabad</v>
      </c>
      <c r="C1408" s="46" t="str">
        <f aca="false">IFERROR(VLOOKUP(Orders!D1408,Products!$A$2:$F$61,3,FALSE()),"Not Found")</f>
        <v>Apparel</v>
      </c>
      <c r="D1408" s="46" t="str">
        <f aca="false">IFERROR(VLOOKUP(Orders!C1408,Customers!$A$2:$F$301,5,FALSE()),"Not Found")</f>
        <v>Retail</v>
      </c>
      <c r="E1408" s="46" t="n">
        <f aca="false">IFERROR(VLOOKUP(Orders!C1408,Customers!$A$2:$F$301,3,FALSE()),"Not Found")</f>
        <v>61</v>
      </c>
      <c r="F1408" s="46" t="str">
        <f aca="false">IFERROR(VLOOKUP(Orders!E1408,Sales_Reps!$A$2:$E$31,3,FALSE()),"Not Found")</f>
        <v>North</v>
      </c>
      <c r="G1408" s="46" t="n">
        <f aca="false">IFERROR(VLOOKUP(Orders!D1408,Products!$A$2:$F$61,4,FALSE()),"")</f>
        <v>1748</v>
      </c>
      <c r="H1408" s="47" t="n">
        <f aca="false">IF(G1408="","",(Orders!G1408-G1408)/Orders!G1408)</f>
        <v>0.493333333333333</v>
      </c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</row>
    <row r="1409" customFormat="false" ht="15" hidden="false" customHeight="false" outlineLevel="0" collapsed="false">
      <c r="A1409" s="46" t="str">
        <f aca="false">Orders!A1409</f>
        <v>ORD-01408</v>
      </c>
      <c r="B1409" s="46" t="str">
        <f aca="false">PROPER(TRIM(Orders!K1409))</f>
        <v>Delhi</v>
      </c>
      <c r="C1409" s="46" t="str">
        <f aca="false">IFERROR(VLOOKUP(Orders!D1409,Products!$A$2:$F$61,3,FALSE()),"Not Found")</f>
        <v>Apparel</v>
      </c>
      <c r="D1409" s="46" t="str">
        <f aca="false">IFERROR(VLOOKUP(Orders!C1409,Customers!$A$2:$F$301,5,FALSE()),"Not Found")</f>
        <v>SMB</v>
      </c>
      <c r="E1409" s="46" t="n">
        <f aca="false">IFERROR(VLOOKUP(Orders!C1409,Customers!$A$2:$F$301,3,FALSE()),"Not Found")</f>
        <v>29</v>
      </c>
      <c r="F1409" s="46" t="str">
        <f aca="false">IFERROR(VLOOKUP(Orders!E1409,Sales_Reps!$A$2:$E$31,3,FALSE()),"Not Found")</f>
        <v>South</v>
      </c>
      <c r="G1409" s="46" t="n">
        <f aca="false">IFERROR(VLOOKUP(Orders!D1409,Products!$A$2:$F$61,4,FALSE()),"")</f>
        <v>2611</v>
      </c>
      <c r="H1409" s="47" t="n">
        <f aca="false">IF(G1409="","",(Orders!G1409-G1409)/Orders!G1409)</f>
        <v>0.282692307692308</v>
      </c>
      <c r="I1409" s="46"/>
      <c r="J1409" s="46"/>
      <c r="K1409" s="46"/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</row>
    <row r="1410" customFormat="false" ht="15" hidden="false" customHeight="false" outlineLevel="0" collapsed="false">
      <c r="A1410" s="46" t="str">
        <f aca="false">Orders!A1410</f>
        <v>ORD-01409</v>
      </c>
      <c r="B1410" s="46" t="str">
        <f aca="false">PROPER(TRIM(Orders!K1410))</f>
        <v>Mumbai</v>
      </c>
      <c r="C1410" s="46" t="str">
        <f aca="false">IFERROR(VLOOKUP(Orders!D1410,Products!$A$2:$F$61,3,FALSE()),"Not Found")</f>
        <v>Apparel</v>
      </c>
      <c r="D1410" s="46" t="str">
        <f aca="false">IFERROR(VLOOKUP(Orders!C1410,Customers!$A$2:$F$301,5,FALSE()),"Not Found")</f>
        <v>Retail</v>
      </c>
      <c r="E1410" s="46" t="n">
        <f aca="false">IFERROR(VLOOKUP(Orders!C1410,Customers!$A$2:$F$301,3,FALSE()),"Not Found")</f>
        <v>33</v>
      </c>
      <c r="F1410" s="46" t="str">
        <f aca="false">IFERROR(VLOOKUP(Orders!E1410,Sales_Reps!$A$2:$E$31,3,FALSE()),"Not Found")</f>
        <v>East</v>
      </c>
      <c r="G1410" s="46" t="n">
        <f aca="false">IFERROR(VLOOKUP(Orders!D1410,Products!$A$2:$F$61,4,FALSE()),"")</f>
        <v>396</v>
      </c>
      <c r="H1410" s="47" t="n">
        <f aca="false">IF(G1410="","",(Orders!G1410-G1410)/Orders!G1410)</f>
        <v>0.361290322580645</v>
      </c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/>
      <c r="AE1410" s="46"/>
      <c r="AF1410" s="46"/>
      <c r="AG1410" s="46"/>
      <c r="AH1410" s="46"/>
      <c r="AI1410" s="46"/>
      <c r="AJ1410" s="46"/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</row>
    <row r="1411" customFormat="false" ht="15" hidden="false" customHeight="false" outlineLevel="0" collapsed="false">
      <c r="A1411" s="46" t="str">
        <f aca="false">Orders!A1411</f>
        <v>ORD-01410</v>
      </c>
      <c r="B1411" s="46" t="str">
        <f aca="false">PROPER(TRIM(Orders!K1411))</f>
        <v>Delhi</v>
      </c>
      <c r="C1411" s="46" t="str">
        <f aca="false">IFERROR(VLOOKUP(Orders!D1411,Products!$A$2:$F$61,3,FALSE()),"Not Found")</f>
        <v>Sports</v>
      </c>
      <c r="D1411" s="46" t="str">
        <f aca="false">IFERROR(VLOOKUP(Orders!C1411,Customers!$A$2:$F$301,5,FALSE()),"Not Found")</f>
        <v>Retail</v>
      </c>
      <c r="E1411" s="46" t="n">
        <f aca="false">IFERROR(VLOOKUP(Orders!C1411,Customers!$A$2:$F$301,3,FALSE()),"Not Found")</f>
        <v>24</v>
      </c>
      <c r="F1411" s="46" t="str">
        <f aca="false">IFERROR(VLOOKUP(Orders!E1411,Sales_Reps!$A$2:$E$31,3,FALSE()),"Not Found")</f>
        <v>South</v>
      </c>
      <c r="G1411" s="46" t="n">
        <f aca="false">IFERROR(VLOOKUP(Orders!D1411,Products!$A$2:$F$61,4,FALSE()),"")</f>
        <v>1860</v>
      </c>
      <c r="H1411" s="47" t="n">
        <f aca="false">IF(G1411="","",(Orders!G1411-G1411)/Orders!G1411)</f>
        <v>0.507936507936508</v>
      </c>
      <c r="I1411" s="46"/>
      <c r="J1411" s="46"/>
      <c r="K1411" s="46"/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</row>
    <row r="1412" customFormat="false" ht="15" hidden="false" customHeight="false" outlineLevel="0" collapsed="false">
      <c r="A1412" s="46" t="str">
        <f aca="false">Orders!A1412</f>
        <v>ORD-01411</v>
      </c>
      <c r="B1412" s="46" t="str">
        <f aca="false">PROPER(TRIM(Orders!K1412))</f>
        <v>Delhi</v>
      </c>
      <c r="C1412" s="46" t="str">
        <f aca="false">IFERROR(VLOOKUP(Orders!D1412,Products!$A$2:$F$61,3,FALSE()),"Not Found")</f>
        <v>Electronics</v>
      </c>
      <c r="D1412" s="46" t="str">
        <f aca="false">IFERROR(VLOOKUP(Orders!C1412,Customers!$A$2:$F$301,5,FALSE()),"Not Found")</f>
        <v>SMB</v>
      </c>
      <c r="E1412" s="46" t="n">
        <f aca="false">IFERROR(VLOOKUP(Orders!C1412,Customers!$A$2:$F$301,3,FALSE()),"Not Found")</f>
        <v>55</v>
      </c>
      <c r="F1412" s="46" t="str">
        <f aca="false">IFERROR(VLOOKUP(Orders!E1412,Sales_Reps!$A$2:$E$31,3,FALSE()),"Not Found")</f>
        <v>South</v>
      </c>
      <c r="G1412" s="46" t="n">
        <f aca="false">IFERROR(VLOOKUP(Orders!D1412,Products!$A$2:$F$61,4,FALSE()),"")</f>
        <v>1665</v>
      </c>
      <c r="H1412" s="47" t="n">
        <f aca="false">IF(G1412="","",(Orders!G1412-G1412)/Orders!G1412)</f>
        <v>0.533613445378151</v>
      </c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46"/>
      <c r="AE1412" s="46"/>
      <c r="AF1412" s="46"/>
      <c r="AG1412" s="46"/>
      <c r="AH1412" s="46"/>
      <c r="AI1412" s="46"/>
      <c r="AJ1412" s="46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</row>
    <row r="1413" customFormat="false" ht="15" hidden="false" customHeight="false" outlineLevel="0" collapsed="false">
      <c r="A1413" s="46" t="str">
        <f aca="false">Orders!A1413</f>
        <v>ORD-01412</v>
      </c>
      <c r="B1413" s="46" t="str">
        <f aca="false">PROPER(TRIM(Orders!K1413))</f>
        <v>Delhi</v>
      </c>
      <c r="C1413" s="46" t="str">
        <f aca="false">IFERROR(VLOOKUP(Orders!D1413,Products!$A$2:$F$61,3,FALSE()),"Not Found")</f>
        <v>Beauty</v>
      </c>
      <c r="D1413" s="46" t="str">
        <f aca="false">IFERROR(VLOOKUP(Orders!C1413,Customers!$A$2:$F$301,5,FALSE()),"Not Found")</f>
        <v>Retail</v>
      </c>
      <c r="E1413" s="46" t="n">
        <f aca="false">IFERROR(VLOOKUP(Orders!C1413,Customers!$A$2:$F$301,3,FALSE()),"Not Found")</f>
        <v>24</v>
      </c>
      <c r="F1413" s="46" t="str">
        <f aca="false">IFERROR(VLOOKUP(Orders!E1413,Sales_Reps!$A$2:$E$31,3,FALSE()),"Not Found")</f>
        <v>North</v>
      </c>
      <c r="G1413" s="46" t="n">
        <f aca="false">IFERROR(VLOOKUP(Orders!D1413,Products!$A$2:$F$61,4,FALSE()),"")</f>
        <v>1222</v>
      </c>
      <c r="H1413" s="47" t="n">
        <f aca="false">IF(G1413="","",(Orders!G1413-G1413)/Orders!G1413)</f>
        <v>0.259393939393939</v>
      </c>
      <c r="I1413" s="46"/>
      <c r="J1413" s="46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</row>
    <row r="1414" customFormat="false" ht="15" hidden="false" customHeight="false" outlineLevel="0" collapsed="false">
      <c r="A1414" s="46" t="str">
        <f aca="false">Orders!A1414</f>
        <v>ORD-01413</v>
      </c>
      <c r="B1414" s="46" t="str">
        <f aca="false">PROPER(TRIM(Orders!K1414))</f>
        <v>Bengaluru</v>
      </c>
      <c r="C1414" s="46" t="str">
        <f aca="false">IFERROR(VLOOKUP(Orders!D1414,Products!$A$2:$F$61,3,FALSE()),"Not Found")</f>
        <v>Beauty</v>
      </c>
      <c r="D1414" s="46" t="str">
        <f aca="false">IFERROR(VLOOKUP(Orders!C1414,Customers!$A$2:$F$301,5,FALSE()),"Not Found")</f>
        <v>SMB</v>
      </c>
      <c r="E1414" s="46" t="n">
        <f aca="false">IFERROR(VLOOKUP(Orders!C1414,Customers!$A$2:$F$301,3,FALSE()),"Not Found")</f>
        <v>54</v>
      </c>
      <c r="F1414" s="46" t="str">
        <f aca="false">IFERROR(VLOOKUP(Orders!E1414,Sales_Reps!$A$2:$E$31,3,FALSE()),"Not Found")</f>
        <v>South</v>
      </c>
      <c r="G1414" s="46" t="n">
        <f aca="false">IFERROR(VLOOKUP(Orders!D1414,Products!$A$2:$F$61,4,FALSE()),"")</f>
        <v>675</v>
      </c>
      <c r="H1414" s="47" t="n">
        <f aca="false">IF(G1414="","",(Orders!G1414-G1414)/Orders!G1414)</f>
        <v>0.296875</v>
      </c>
      <c r="I1414" s="46"/>
      <c r="J1414" s="46"/>
      <c r="K1414" s="46"/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</row>
    <row r="1415" customFormat="false" ht="15" hidden="false" customHeight="false" outlineLevel="0" collapsed="false">
      <c r="A1415" s="46" t="str">
        <f aca="false">Orders!A1415</f>
        <v>ORD-01414</v>
      </c>
      <c r="B1415" s="46" t="str">
        <f aca="false">PROPER(TRIM(Orders!K1415))</f>
        <v>Mumbai</v>
      </c>
      <c r="C1415" s="46" t="str">
        <f aca="false">IFERROR(VLOOKUP(Orders!D1415,Products!$A$2:$F$61,3,FALSE()),"Not Found")</f>
        <v>Electronics</v>
      </c>
      <c r="D1415" s="46" t="str">
        <f aca="false">IFERROR(VLOOKUP(Orders!C1415,Customers!$A$2:$F$301,5,FALSE()),"Not Found")</f>
        <v>Corporate</v>
      </c>
      <c r="E1415" s="46" t="n">
        <f aca="false">IFERROR(VLOOKUP(Orders!C1415,Customers!$A$2:$F$301,3,FALSE()),"Not Found")</f>
        <v>62</v>
      </c>
      <c r="F1415" s="46" t="str">
        <f aca="false">IFERROR(VLOOKUP(Orders!E1415,Sales_Reps!$A$2:$E$31,3,FALSE()),"Not Found")</f>
        <v>North</v>
      </c>
      <c r="G1415" s="46" t="n">
        <f aca="false">IFERROR(VLOOKUP(Orders!D1415,Products!$A$2:$F$61,4,FALSE()),"")</f>
        <v>128</v>
      </c>
      <c r="H1415" s="47" t="n">
        <f aca="false">IF(G1415="","",(Orders!G1415-G1415)/Orders!G1415)</f>
        <v>0.573333333333333</v>
      </c>
      <c r="I1415" s="46"/>
      <c r="J1415" s="46"/>
      <c r="K1415" s="46"/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</row>
    <row r="1416" customFormat="false" ht="15" hidden="false" customHeight="false" outlineLevel="0" collapsed="false">
      <c r="A1416" s="46" t="str">
        <f aca="false">Orders!A1416</f>
        <v>ORD-01415</v>
      </c>
      <c r="B1416" s="46" t="str">
        <f aca="false">PROPER(TRIM(Orders!K1416))</f>
        <v>Pune</v>
      </c>
      <c r="C1416" s="46" t="str">
        <f aca="false">IFERROR(VLOOKUP(Orders!D1416,Products!$A$2:$F$61,3,FALSE()),"Not Found")</f>
        <v>Grocery</v>
      </c>
      <c r="D1416" s="46" t="str">
        <f aca="false">IFERROR(VLOOKUP(Orders!C1416,Customers!$A$2:$F$301,5,FALSE()),"Not Found")</f>
        <v>Retail</v>
      </c>
      <c r="E1416" s="46" t="n">
        <f aca="false">IFERROR(VLOOKUP(Orders!C1416,Customers!$A$2:$F$301,3,FALSE()),"Not Found")</f>
        <v>57</v>
      </c>
      <c r="F1416" s="46" t="str">
        <f aca="false">IFERROR(VLOOKUP(Orders!E1416,Sales_Reps!$A$2:$E$31,3,FALSE()),"Not Found")</f>
        <v>West</v>
      </c>
      <c r="G1416" s="46" t="n">
        <f aca="false">IFERROR(VLOOKUP(Orders!D1416,Products!$A$2:$F$61,4,FALSE()),"")</f>
        <v>2911</v>
      </c>
      <c r="H1416" s="47" t="n">
        <f aca="false">IF(G1416="","",(Orders!G1416-G1416)/Orders!G1416)</f>
        <v>0.283004926108374</v>
      </c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</row>
    <row r="1417" customFormat="false" ht="15" hidden="false" customHeight="false" outlineLevel="0" collapsed="false">
      <c r="A1417" s="46" t="str">
        <f aca="false">Orders!A1417</f>
        <v>ORD-01416</v>
      </c>
      <c r="B1417" s="46" t="str">
        <f aca="false">PROPER(TRIM(Orders!K1417))</f>
        <v>Bengaluru</v>
      </c>
      <c r="C1417" s="46" t="str">
        <f aca="false">IFERROR(VLOOKUP(Orders!D1417,Products!$A$2:$F$61,3,FALSE()),"Not Found")</f>
        <v>Electronics</v>
      </c>
      <c r="D1417" s="46" t="str">
        <f aca="false">IFERROR(VLOOKUP(Orders!C1417,Customers!$A$2:$F$301,5,FALSE()),"Not Found")</f>
        <v>Retail</v>
      </c>
      <c r="E1417" s="46" t="n">
        <f aca="false">IFERROR(VLOOKUP(Orders!C1417,Customers!$A$2:$F$301,3,FALSE()),"Not Found")</f>
        <v>36</v>
      </c>
      <c r="F1417" s="46" t="str">
        <f aca="false">IFERROR(VLOOKUP(Orders!E1417,Sales_Reps!$A$2:$E$31,3,FALSE()),"Not Found")</f>
        <v>East</v>
      </c>
      <c r="G1417" s="46" t="n">
        <f aca="false">IFERROR(VLOOKUP(Orders!D1417,Products!$A$2:$F$61,4,FALSE()),"")</f>
        <v>2405</v>
      </c>
      <c r="H1417" s="47" t="n">
        <f aca="false">IF(G1417="","",(Orders!G1417-G1417)/Orders!G1417)</f>
        <v>0.548780487804878</v>
      </c>
      <c r="I1417" s="46"/>
      <c r="J1417" s="46"/>
      <c r="K1417" s="46"/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</row>
    <row r="1418" customFormat="false" ht="15" hidden="false" customHeight="false" outlineLevel="0" collapsed="false">
      <c r="A1418" s="46" t="str">
        <f aca="false">Orders!A1418</f>
        <v>ORD-01417</v>
      </c>
      <c r="B1418" s="46" t="str">
        <f aca="false">PROPER(TRIM(Orders!K1418))</f>
        <v>Delhi</v>
      </c>
      <c r="C1418" s="46" t="str">
        <f aca="false">IFERROR(VLOOKUP(Orders!D1418,Products!$A$2:$F$61,3,FALSE()),"Not Found")</f>
        <v>Home</v>
      </c>
      <c r="D1418" s="46" t="str">
        <f aca="false">IFERROR(VLOOKUP(Orders!C1418,Customers!$A$2:$F$301,5,FALSE()),"Not Found")</f>
        <v>Retail</v>
      </c>
      <c r="E1418" s="46" t="n">
        <f aca="false">IFERROR(VLOOKUP(Orders!C1418,Customers!$A$2:$F$301,3,FALSE()),"Not Found")</f>
        <v>44</v>
      </c>
      <c r="F1418" s="46" t="str">
        <f aca="false">IFERROR(VLOOKUP(Orders!E1418,Sales_Reps!$A$2:$E$31,3,FALSE()),"Not Found")</f>
        <v>East</v>
      </c>
      <c r="G1418" s="46" t="n">
        <f aca="false">IFERROR(VLOOKUP(Orders!D1418,Products!$A$2:$F$61,4,FALSE()),"")</f>
        <v>2135</v>
      </c>
      <c r="H1418" s="47" t="n">
        <f aca="false">IF(G1418="","",(Orders!G1418-G1418)/Orders!G1418)</f>
        <v>0.427613941018767</v>
      </c>
      <c r="I1418" s="46"/>
      <c r="J1418" s="46"/>
      <c r="K1418" s="46"/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46"/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</row>
    <row r="1419" customFormat="false" ht="15" hidden="false" customHeight="false" outlineLevel="0" collapsed="false">
      <c r="A1419" s="46" t="str">
        <f aca="false">Orders!A1419</f>
        <v>ORD-01418</v>
      </c>
      <c r="B1419" s="46" t="str">
        <f aca="false">PROPER(TRIM(Orders!K1419))</f>
        <v>Chennai</v>
      </c>
      <c r="C1419" s="46" t="str">
        <f aca="false">IFERROR(VLOOKUP(Orders!D1419,Products!$A$2:$F$61,3,FALSE()),"Not Found")</f>
        <v>Beauty</v>
      </c>
      <c r="D1419" s="46" t="str">
        <f aca="false">IFERROR(VLOOKUP(Orders!C1419,Customers!$A$2:$F$301,5,FALSE()),"Not Found")</f>
        <v>Retail</v>
      </c>
      <c r="E1419" s="46" t="n">
        <f aca="false">IFERROR(VLOOKUP(Orders!C1419,Customers!$A$2:$F$301,3,FALSE()),"Not Found")</f>
        <v>60</v>
      </c>
      <c r="F1419" s="46" t="str">
        <f aca="false">IFERROR(VLOOKUP(Orders!E1419,Sales_Reps!$A$2:$E$31,3,FALSE()),"Not Found")</f>
        <v>West</v>
      </c>
      <c r="G1419" s="46" t="n">
        <f aca="false">IFERROR(VLOOKUP(Orders!D1419,Products!$A$2:$F$61,4,FALSE()),"")</f>
        <v>2617</v>
      </c>
      <c r="H1419" s="47" t="n">
        <f aca="false">IF(G1419="","",(Orders!G1419-G1419)/Orders!G1419)</f>
        <v>0.569572368421053</v>
      </c>
      <c r="I1419" s="46"/>
      <c r="J1419" s="46"/>
      <c r="K1419" s="46"/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/>
      <c r="AD1419" s="46"/>
      <c r="AE1419" s="46"/>
      <c r="AF1419" s="46"/>
      <c r="AG1419" s="46"/>
      <c r="AH1419" s="46"/>
      <c r="AI1419" s="46"/>
      <c r="AJ1419" s="46"/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</row>
    <row r="1420" customFormat="false" ht="15" hidden="false" customHeight="false" outlineLevel="0" collapsed="false">
      <c r="A1420" s="46" t="str">
        <f aca="false">Orders!A1420</f>
        <v>ORD-01419</v>
      </c>
      <c r="B1420" s="46" t="str">
        <f aca="false">PROPER(TRIM(Orders!K1420))</f>
        <v>Mumbai</v>
      </c>
      <c r="C1420" s="46" t="str">
        <f aca="false">IFERROR(VLOOKUP(Orders!D1420,Products!$A$2:$F$61,3,FALSE()),"Not Found")</f>
        <v>Apparel</v>
      </c>
      <c r="D1420" s="46" t="str">
        <f aca="false">IFERROR(VLOOKUP(Orders!C1420,Customers!$A$2:$F$301,5,FALSE()),"Not Found")</f>
        <v>Retail</v>
      </c>
      <c r="E1420" s="46" t="n">
        <f aca="false">IFERROR(VLOOKUP(Orders!C1420,Customers!$A$2:$F$301,3,FALSE()),"Not Found")</f>
        <v>33</v>
      </c>
      <c r="F1420" s="46" t="str">
        <f aca="false">IFERROR(VLOOKUP(Orders!E1420,Sales_Reps!$A$2:$E$31,3,FALSE()),"Not Found")</f>
        <v>West</v>
      </c>
      <c r="G1420" s="46" t="n">
        <f aca="false">IFERROR(VLOOKUP(Orders!D1420,Products!$A$2:$F$61,4,FALSE()),"")</f>
        <v>1962</v>
      </c>
      <c r="H1420" s="47" t="n">
        <f aca="false">IF(G1420="","",(Orders!G1420-G1420)/Orders!G1420)</f>
        <v>0.278676470588235</v>
      </c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46"/>
      <c r="AE1420" s="46"/>
      <c r="AF1420" s="46"/>
      <c r="AG1420" s="46"/>
      <c r="AH1420" s="46"/>
      <c r="AI1420" s="46"/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</row>
    <row r="1421" customFormat="false" ht="15" hidden="false" customHeight="false" outlineLevel="0" collapsed="false">
      <c r="A1421" s="46" t="str">
        <f aca="false">Orders!A1421</f>
        <v>ORD-01420</v>
      </c>
      <c r="B1421" s="46" t="str">
        <f aca="false">PROPER(TRIM(Orders!K1421))</f>
        <v>Mumbai</v>
      </c>
      <c r="C1421" s="46" t="str">
        <f aca="false">IFERROR(VLOOKUP(Orders!D1421,Products!$A$2:$F$61,3,FALSE()),"Not Found")</f>
        <v>Apparel</v>
      </c>
      <c r="D1421" s="46" t="str">
        <f aca="false">IFERROR(VLOOKUP(Orders!C1421,Customers!$A$2:$F$301,5,FALSE()),"Not Found")</f>
        <v>Retail</v>
      </c>
      <c r="E1421" s="46" t="n">
        <f aca="false">IFERROR(VLOOKUP(Orders!C1421,Customers!$A$2:$F$301,3,FALSE()),"Not Found")</f>
        <v>61</v>
      </c>
      <c r="F1421" s="46" t="str">
        <f aca="false">IFERROR(VLOOKUP(Orders!E1421,Sales_Reps!$A$2:$E$31,3,FALSE()),"Not Found")</f>
        <v>East</v>
      </c>
      <c r="G1421" s="46" t="n">
        <f aca="false">IFERROR(VLOOKUP(Orders!D1421,Products!$A$2:$F$61,4,FALSE()),"")</f>
        <v>1748</v>
      </c>
      <c r="H1421" s="47" t="n">
        <f aca="false">IF(G1421="","",(Orders!G1421-G1421)/Orders!G1421)</f>
        <v>0.493333333333333</v>
      </c>
      <c r="I1421" s="46"/>
      <c r="J1421" s="46"/>
      <c r="K1421" s="46"/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  <c r="AC1421" s="46"/>
      <c r="AD1421" s="46"/>
      <c r="AE1421" s="46"/>
      <c r="AF1421" s="46"/>
      <c r="AG1421" s="46"/>
      <c r="AH1421" s="46"/>
      <c r="AI1421" s="46"/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</row>
    <row r="1422" customFormat="false" ht="15" hidden="false" customHeight="false" outlineLevel="0" collapsed="false">
      <c r="A1422" s="46" t="str">
        <f aca="false">Orders!A1422</f>
        <v>ORD-01421</v>
      </c>
      <c r="B1422" s="46" t="str">
        <f aca="false">PROPER(TRIM(Orders!K1422))</f>
        <v>Bengaluru</v>
      </c>
      <c r="C1422" s="46" t="str">
        <f aca="false">IFERROR(VLOOKUP(Orders!D1422,Products!$A$2:$F$61,3,FALSE()),"Not Found")</f>
        <v>Home</v>
      </c>
      <c r="D1422" s="46" t="str">
        <f aca="false">IFERROR(VLOOKUP(Orders!C1422,Customers!$A$2:$F$301,5,FALSE()),"Not Found")</f>
        <v>Retail</v>
      </c>
      <c r="E1422" s="46" t="n">
        <f aca="false">IFERROR(VLOOKUP(Orders!C1422,Customers!$A$2:$F$301,3,FALSE()),"Not Found")</f>
        <v>53</v>
      </c>
      <c r="F1422" s="46" t="str">
        <f aca="false">IFERROR(VLOOKUP(Orders!E1422,Sales_Reps!$A$2:$E$31,3,FALSE()),"Not Found")</f>
        <v>East</v>
      </c>
      <c r="G1422" s="46" t="n">
        <f aca="false">IFERROR(VLOOKUP(Orders!D1422,Products!$A$2:$F$61,4,FALSE()),"")</f>
        <v>464</v>
      </c>
      <c r="H1422" s="47" t="n">
        <f aca="false">IF(G1422="","",(Orders!G1422-G1422)/Orders!G1422)</f>
        <v>0.574311926605505</v>
      </c>
      <c r="I1422" s="46"/>
      <c r="J1422" s="46"/>
      <c r="K1422" s="46"/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</row>
    <row r="1423" customFormat="false" ht="15" hidden="false" customHeight="false" outlineLevel="0" collapsed="false">
      <c r="A1423" s="46" t="str">
        <f aca="false">Orders!A1423</f>
        <v>ORD-01422</v>
      </c>
      <c r="B1423" s="46" t="str">
        <f aca="false">PROPER(TRIM(Orders!K1423))</f>
        <v>Hyderabad</v>
      </c>
      <c r="C1423" s="46" t="str">
        <f aca="false">IFERROR(VLOOKUP(Orders!D1423,Products!$A$2:$F$61,3,FALSE()),"Not Found")</f>
        <v>Electronics</v>
      </c>
      <c r="D1423" s="46" t="str">
        <f aca="false">IFERROR(VLOOKUP(Orders!C1423,Customers!$A$2:$F$301,5,FALSE()),"Not Found")</f>
        <v>Retail</v>
      </c>
      <c r="E1423" s="46" t="n">
        <f aca="false">IFERROR(VLOOKUP(Orders!C1423,Customers!$A$2:$F$301,3,FALSE()),"Not Found")</f>
        <v>38</v>
      </c>
      <c r="F1423" s="46" t="str">
        <f aca="false">IFERROR(VLOOKUP(Orders!E1423,Sales_Reps!$A$2:$E$31,3,FALSE()),"Not Found")</f>
        <v>East</v>
      </c>
      <c r="G1423" s="46" t="n">
        <f aca="false">IFERROR(VLOOKUP(Orders!D1423,Products!$A$2:$F$61,4,FALSE()),"")</f>
        <v>1665</v>
      </c>
      <c r="H1423" s="47" t="n">
        <f aca="false">IF(G1423="","",(Orders!G1423-G1423)/Orders!G1423)</f>
        <v>0.533613445378151</v>
      </c>
      <c r="I1423" s="46"/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/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</row>
    <row r="1424" customFormat="false" ht="15" hidden="false" customHeight="false" outlineLevel="0" collapsed="false">
      <c r="A1424" s="46" t="str">
        <f aca="false">Orders!A1424</f>
        <v>ORD-01423</v>
      </c>
      <c r="B1424" s="46" t="str">
        <f aca="false">PROPER(TRIM(Orders!K1424))</f>
        <v>Delhi</v>
      </c>
      <c r="C1424" s="46" t="str">
        <f aca="false">IFERROR(VLOOKUP(Orders!D1424,Products!$A$2:$F$61,3,FALSE()),"Not Found")</f>
        <v>Apparel</v>
      </c>
      <c r="D1424" s="46" t="str">
        <f aca="false">IFERROR(VLOOKUP(Orders!C1424,Customers!$A$2:$F$301,5,FALSE()),"Not Found")</f>
        <v>SMB</v>
      </c>
      <c r="E1424" s="46" t="n">
        <f aca="false">IFERROR(VLOOKUP(Orders!C1424,Customers!$A$2:$F$301,3,FALSE()),"Not Found")</f>
        <v>55</v>
      </c>
      <c r="F1424" s="46" t="str">
        <f aca="false">IFERROR(VLOOKUP(Orders!E1424,Sales_Reps!$A$2:$E$31,3,FALSE()),"Not Found")</f>
        <v>South</v>
      </c>
      <c r="G1424" s="46" t="n">
        <f aca="false">IFERROR(VLOOKUP(Orders!D1424,Products!$A$2:$F$61,4,FALSE()),"")</f>
        <v>1173</v>
      </c>
      <c r="H1424" s="47" t="n">
        <f aca="false">IF(G1424="","",(Orders!G1424-G1424)/Orders!G1424)</f>
        <v>0.527016129032258</v>
      </c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</row>
    <row r="1425" customFormat="false" ht="15" hidden="false" customHeight="false" outlineLevel="0" collapsed="false">
      <c r="A1425" s="46" t="str">
        <f aca="false">Orders!A1425</f>
        <v>ORD-01424</v>
      </c>
      <c r="B1425" s="46" t="str">
        <f aca="false">PROPER(TRIM(Orders!K1425))</f>
        <v>Hyderabad</v>
      </c>
      <c r="C1425" s="46" t="str">
        <f aca="false">IFERROR(VLOOKUP(Orders!D1425,Products!$A$2:$F$61,3,FALSE()),"Not Found")</f>
        <v>Grocery</v>
      </c>
      <c r="D1425" s="46" t="str">
        <f aca="false">IFERROR(VLOOKUP(Orders!C1425,Customers!$A$2:$F$301,5,FALSE()),"Not Found")</f>
        <v>Retail</v>
      </c>
      <c r="E1425" s="46" t="n">
        <f aca="false">IFERROR(VLOOKUP(Orders!C1425,Customers!$A$2:$F$301,3,FALSE()),"Not Found")</f>
        <v>25</v>
      </c>
      <c r="F1425" s="46" t="str">
        <f aca="false">IFERROR(VLOOKUP(Orders!E1425,Sales_Reps!$A$2:$E$31,3,FALSE()),"Not Found")</f>
        <v>East</v>
      </c>
      <c r="G1425" s="46" t="n">
        <f aca="false">IFERROR(VLOOKUP(Orders!D1425,Products!$A$2:$F$61,4,FALSE()),"")</f>
        <v>2436</v>
      </c>
      <c r="H1425" s="47" t="n">
        <f aca="false">IF(G1425="","",(Orders!G1425-G1425)/Orders!G1425)</f>
        <v>0.355555555555556</v>
      </c>
      <c r="I1425" s="46"/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/>
      <c r="AE1425" s="46"/>
      <c r="AF1425" s="46"/>
      <c r="AG1425" s="46"/>
      <c r="AH1425" s="46"/>
      <c r="AI1425" s="46"/>
      <c r="AJ1425" s="46"/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</row>
    <row r="1426" customFormat="false" ht="15" hidden="false" customHeight="false" outlineLevel="0" collapsed="false">
      <c r="A1426" s="46" t="str">
        <f aca="false">Orders!A1426</f>
        <v>ORD-01425</v>
      </c>
      <c r="B1426" s="46" t="str">
        <f aca="false">PROPER(TRIM(Orders!K1426))</f>
        <v>Delhi</v>
      </c>
      <c r="C1426" s="46" t="str">
        <f aca="false">IFERROR(VLOOKUP(Orders!D1426,Products!$A$2:$F$61,3,FALSE()),"Not Found")</f>
        <v>Grocery</v>
      </c>
      <c r="D1426" s="46" t="str">
        <f aca="false">IFERROR(VLOOKUP(Orders!C1426,Customers!$A$2:$F$301,5,FALSE()),"Not Found")</f>
        <v>SMB</v>
      </c>
      <c r="E1426" s="46" t="n">
        <f aca="false">IFERROR(VLOOKUP(Orders!C1426,Customers!$A$2:$F$301,3,FALSE()),"Not Found")</f>
        <v>28</v>
      </c>
      <c r="F1426" s="46" t="str">
        <f aca="false">IFERROR(VLOOKUP(Orders!E1426,Sales_Reps!$A$2:$E$31,3,FALSE()),"Not Found")</f>
        <v>South</v>
      </c>
      <c r="G1426" s="46" t="n">
        <f aca="false">IFERROR(VLOOKUP(Orders!D1426,Products!$A$2:$F$61,4,FALSE()),"")</f>
        <v>2911</v>
      </c>
      <c r="H1426" s="47" t="n">
        <f aca="false">IF(G1426="","",(Orders!G1426-G1426)/Orders!G1426)</f>
        <v>0.283004926108374</v>
      </c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</row>
    <row r="1427" customFormat="false" ht="15" hidden="false" customHeight="false" outlineLevel="0" collapsed="false">
      <c r="A1427" s="46" t="str">
        <f aca="false">Orders!A1427</f>
        <v>ORD-01426</v>
      </c>
      <c r="B1427" s="46" t="str">
        <f aca="false">PROPER(TRIM(Orders!K1427))</f>
        <v>Pune</v>
      </c>
      <c r="C1427" s="46" t="str">
        <f aca="false">IFERROR(VLOOKUP(Orders!D1427,Products!$A$2:$F$61,3,FALSE()),"Not Found")</f>
        <v>Electronics</v>
      </c>
      <c r="D1427" s="46" t="str">
        <f aca="false">IFERROR(VLOOKUP(Orders!C1427,Customers!$A$2:$F$301,5,FALSE()),"Not Found")</f>
        <v>Corporate</v>
      </c>
      <c r="E1427" s="46" t="n">
        <f aca="false">IFERROR(VLOOKUP(Orders!C1427,Customers!$A$2:$F$301,3,FALSE()),"Not Found")</f>
        <v>40</v>
      </c>
      <c r="F1427" s="46" t="str">
        <f aca="false">IFERROR(VLOOKUP(Orders!E1427,Sales_Reps!$A$2:$E$31,3,FALSE()),"Not Found")</f>
        <v>North</v>
      </c>
      <c r="G1427" s="46" t="n">
        <f aca="false">IFERROR(VLOOKUP(Orders!D1427,Products!$A$2:$F$61,4,FALSE()),"")</f>
        <v>128</v>
      </c>
      <c r="H1427" s="47" t="n">
        <f aca="false">IF(G1427="","",(Orders!G1427-G1427)/Orders!G1427)</f>
        <v>0.573333333333333</v>
      </c>
      <c r="I1427" s="46"/>
      <c r="J1427" s="46"/>
      <c r="K1427" s="46"/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  <c r="AB1427" s="46"/>
      <c r="AC1427" s="46"/>
      <c r="AD1427" s="46"/>
      <c r="AE1427" s="46"/>
      <c r="AF1427" s="46"/>
      <c r="AG1427" s="46"/>
      <c r="AH1427" s="46"/>
      <c r="AI1427" s="46"/>
      <c r="AJ1427" s="46"/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</row>
    <row r="1428" customFormat="false" ht="15" hidden="false" customHeight="false" outlineLevel="0" collapsed="false">
      <c r="A1428" s="46" t="str">
        <f aca="false">Orders!A1428</f>
        <v>ORD-01427</v>
      </c>
      <c r="B1428" s="46" t="str">
        <f aca="false">PROPER(TRIM(Orders!K1428))</f>
        <v>Mumbai</v>
      </c>
      <c r="C1428" s="46" t="str">
        <f aca="false">IFERROR(VLOOKUP(Orders!D1428,Products!$A$2:$F$61,3,FALSE()),"Not Found")</f>
        <v>Home</v>
      </c>
      <c r="D1428" s="46" t="str">
        <f aca="false">IFERROR(VLOOKUP(Orders!C1428,Customers!$A$2:$F$301,5,FALSE()),"Not Found")</f>
        <v>SMB</v>
      </c>
      <c r="E1428" s="46" t="n">
        <f aca="false">IFERROR(VLOOKUP(Orders!C1428,Customers!$A$2:$F$301,3,FALSE()),"Not Found")</f>
        <v>22</v>
      </c>
      <c r="F1428" s="46" t="str">
        <f aca="false">IFERROR(VLOOKUP(Orders!E1428,Sales_Reps!$A$2:$E$31,3,FALSE()),"Not Found")</f>
        <v>North</v>
      </c>
      <c r="G1428" s="46" t="n">
        <f aca="false">IFERROR(VLOOKUP(Orders!D1428,Products!$A$2:$F$61,4,FALSE()),"")</f>
        <v>1556</v>
      </c>
      <c r="H1428" s="47" t="n">
        <f aca="false">IF(G1428="","",(Orders!G1428-G1428)/Orders!G1428)</f>
        <v>0.521230769230769</v>
      </c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</row>
    <row r="1429" customFormat="false" ht="15" hidden="false" customHeight="false" outlineLevel="0" collapsed="false">
      <c r="A1429" s="46" t="str">
        <f aca="false">Orders!A1429</f>
        <v>ORD-01428</v>
      </c>
      <c r="B1429" s="46" t="str">
        <f aca="false">PROPER(TRIM(Orders!K1429))</f>
        <v>Chennai</v>
      </c>
      <c r="C1429" s="46" t="str">
        <f aca="false">IFERROR(VLOOKUP(Orders!D1429,Products!$A$2:$F$61,3,FALSE()),"Not Found")</f>
        <v>Sports</v>
      </c>
      <c r="D1429" s="46" t="str">
        <f aca="false">IFERROR(VLOOKUP(Orders!C1429,Customers!$A$2:$F$301,5,FALSE()),"Not Found")</f>
        <v>Retail</v>
      </c>
      <c r="E1429" s="46" t="n">
        <f aca="false">IFERROR(VLOOKUP(Orders!C1429,Customers!$A$2:$F$301,3,FALSE()),"Not Found")</f>
        <v>36</v>
      </c>
      <c r="F1429" s="46" t="str">
        <f aca="false">IFERROR(VLOOKUP(Orders!E1429,Sales_Reps!$A$2:$E$31,3,FALSE()),"Not Found")</f>
        <v>South</v>
      </c>
      <c r="G1429" s="46" t="n">
        <f aca="false">IFERROR(VLOOKUP(Orders!D1429,Products!$A$2:$F$61,4,FALSE()),"")</f>
        <v>2028</v>
      </c>
      <c r="H1429" s="47" t="n">
        <f aca="false">IF(G1429="","",(Orders!G1429-G1429)/Orders!G1429)</f>
        <v>0.290909090909091</v>
      </c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</row>
    <row r="1430" customFormat="false" ht="15" hidden="false" customHeight="false" outlineLevel="0" collapsed="false">
      <c r="A1430" s="46" t="str">
        <f aca="false">Orders!A1430</f>
        <v>ORD-01429</v>
      </c>
      <c r="B1430" s="46" t="str">
        <f aca="false">PROPER(TRIM(Orders!K1430))</f>
        <v>Delhi</v>
      </c>
      <c r="C1430" s="46" t="str">
        <f aca="false">IFERROR(VLOOKUP(Orders!D1430,Products!$A$2:$F$61,3,FALSE()),"Not Found")</f>
        <v>Electronics</v>
      </c>
      <c r="D1430" s="46" t="str">
        <f aca="false">IFERROR(VLOOKUP(Orders!C1430,Customers!$A$2:$F$301,5,FALSE()),"Not Found")</f>
        <v>Retail</v>
      </c>
      <c r="E1430" s="46" t="n">
        <f aca="false">IFERROR(VLOOKUP(Orders!C1430,Customers!$A$2:$F$301,3,FALSE()),"Not Found")</f>
        <v>24</v>
      </c>
      <c r="F1430" s="46" t="str">
        <f aca="false">IFERROR(VLOOKUP(Orders!E1430,Sales_Reps!$A$2:$E$31,3,FALSE()),"Not Found")</f>
        <v>East</v>
      </c>
      <c r="G1430" s="46" t="n">
        <f aca="false">IFERROR(VLOOKUP(Orders!D1430,Products!$A$2:$F$61,4,FALSE()),"")</f>
        <v>517</v>
      </c>
      <c r="H1430" s="47" t="n">
        <f aca="false">IF(G1430="","",(Orders!G1430-G1430)/Orders!G1430)</f>
        <v>0.576229508196721</v>
      </c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</row>
    <row r="1431" customFormat="false" ht="15" hidden="false" customHeight="false" outlineLevel="0" collapsed="false">
      <c r="A1431" s="46" t="str">
        <f aca="false">Orders!A1431</f>
        <v>ORD-01430</v>
      </c>
      <c r="B1431" s="46" t="str">
        <f aca="false">PROPER(TRIM(Orders!K1431))</f>
        <v>Hyderabad</v>
      </c>
      <c r="C1431" s="46" t="str">
        <f aca="false">IFERROR(VLOOKUP(Orders!D1431,Products!$A$2:$F$61,3,FALSE()),"Not Found")</f>
        <v>Grocery</v>
      </c>
      <c r="D1431" s="46" t="str">
        <f aca="false">IFERROR(VLOOKUP(Orders!C1431,Customers!$A$2:$F$301,5,FALSE()),"Not Found")</f>
        <v>Retail</v>
      </c>
      <c r="E1431" s="46" t="n">
        <f aca="false">IFERROR(VLOOKUP(Orders!C1431,Customers!$A$2:$F$301,3,FALSE()),"Not Found")</f>
        <v>27</v>
      </c>
      <c r="F1431" s="46" t="str">
        <f aca="false">IFERROR(VLOOKUP(Orders!E1431,Sales_Reps!$A$2:$E$31,3,FALSE()),"Not Found")</f>
        <v>South</v>
      </c>
      <c r="G1431" s="46" t="n">
        <f aca="false">IFERROR(VLOOKUP(Orders!D1431,Products!$A$2:$F$61,4,FALSE()),"")</f>
        <v>2436</v>
      </c>
      <c r="H1431" s="47" t="n">
        <f aca="false">IF(G1431="","",(Orders!G1431-G1431)/Orders!G1431)</f>
        <v>0.355555555555556</v>
      </c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  <c r="AB1431" s="46"/>
      <c r="AC1431" s="46"/>
      <c r="AD1431" s="46"/>
      <c r="AE1431" s="46"/>
      <c r="AF1431" s="46"/>
      <c r="AG1431" s="46"/>
      <c r="AH1431" s="46"/>
      <c r="AI1431" s="46"/>
      <c r="AJ1431" s="46"/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</row>
    <row r="1432" customFormat="false" ht="15" hidden="false" customHeight="false" outlineLevel="0" collapsed="false">
      <c r="A1432" s="46" t="str">
        <f aca="false">Orders!A1432</f>
        <v>ORD-01431</v>
      </c>
      <c r="B1432" s="46" t="str">
        <f aca="false">PROPER(TRIM(Orders!K1432))</f>
        <v>Delhi</v>
      </c>
      <c r="C1432" s="46" t="str">
        <f aca="false">IFERROR(VLOOKUP(Orders!D1432,Products!$A$2:$F$61,3,FALSE()),"Not Found")</f>
        <v>Home</v>
      </c>
      <c r="D1432" s="46" t="str">
        <f aca="false">IFERROR(VLOOKUP(Orders!C1432,Customers!$A$2:$F$301,5,FALSE()),"Not Found")</f>
        <v>Retail</v>
      </c>
      <c r="E1432" s="46" t="n">
        <f aca="false">IFERROR(VLOOKUP(Orders!C1432,Customers!$A$2:$F$301,3,FALSE()),"Not Found")</f>
        <v>47</v>
      </c>
      <c r="F1432" s="46" t="str">
        <f aca="false">IFERROR(VLOOKUP(Orders!E1432,Sales_Reps!$A$2:$E$31,3,FALSE()),"Not Found")</f>
        <v>East</v>
      </c>
      <c r="G1432" s="46" t="n">
        <f aca="false">IFERROR(VLOOKUP(Orders!D1432,Products!$A$2:$F$61,4,FALSE()),"")</f>
        <v>2549</v>
      </c>
      <c r="H1432" s="47" t="n">
        <f aca="false">IF(G1432="","",(Orders!G1432-G1432)/Orders!G1432)</f>
        <v>0.535701275045537</v>
      </c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</row>
    <row r="1433" customFormat="false" ht="15" hidden="false" customHeight="false" outlineLevel="0" collapsed="false">
      <c r="A1433" s="46" t="str">
        <f aca="false">Orders!A1433</f>
        <v>ORD-01432</v>
      </c>
      <c r="B1433" s="46" t="str">
        <f aca="false">PROPER(TRIM(Orders!K1433))</f>
        <v>Chennai</v>
      </c>
      <c r="C1433" s="46" t="str">
        <f aca="false">IFERROR(VLOOKUP(Orders!D1433,Products!$A$2:$F$61,3,FALSE()),"Not Found")</f>
        <v>Grocery</v>
      </c>
      <c r="D1433" s="46" t="str">
        <f aca="false">IFERROR(VLOOKUP(Orders!C1433,Customers!$A$2:$F$301,5,FALSE()),"Not Found")</f>
        <v>Corporate</v>
      </c>
      <c r="E1433" s="46" t="n">
        <f aca="false">IFERROR(VLOOKUP(Orders!C1433,Customers!$A$2:$F$301,3,FALSE()),"Not Found")</f>
        <v>54</v>
      </c>
      <c r="F1433" s="46" t="str">
        <f aca="false">IFERROR(VLOOKUP(Orders!E1433,Sales_Reps!$A$2:$E$31,3,FALSE()),"Not Found")</f>
        <v>West</v>
      </c>
      <c r="G1433" s="46" t="n">
        <f aca="false">IFERROR(VLOOKUP(Orders!D1433,Products!$A$2:$F$61,4,FALSE()),"")</f>
        <v>1412</v>
      </c>
      <c r="H1433" s="47" t="n">
        <f aca="false">IF(G1433="","",(Orders!G1433-G1433)/Orders!G1433)</f>
        <v>0.377973568281938</v>
      </c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/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</row>
    <row r="1434" customFormat="false" ht="15" hidden="false" customHeight="false" outlineLevel="0" collapsed="false">
      <c r="A1434" s="46" t="str">
        <f aca="false">Orders!A1434</f>
        <v>ORD-01433</v>
      </c>
      <c r="B1434" s="46" t="str">
        <f aca="false">PROPER(TRIM(Orders!K1434))</f>
        <v>Chennai</v>
      </c>
      <c r="C1434" s="46" t="str">
        <f aca="false">IFERROR(VLOOKUP(Orders!D1434,Products!$A$2:$F$61,3,FALSE()),"Not Found")</f>
        <v>Grocery</v>
      </c>
      <c r="D1434" s="46" t="str">
        <f aca="false">IFERROR(VLOOKUP(Orders!C1434,Customers!$A$2:$F$301,5,FALSE()),"Not Found")</f>
        <v>Corporate</v>
      </c>
      <c r="E1434" s="46" t="n">
        <f aca="false">IFERROR(VLOOKUP(Orders!C1434,Customers!$A$2:$F$301,3,FALSE()),"Not Found")</f>
        <v>24</v>
      </c>
      <c r="F1434" s="46" t="str">
        <f aca="false">IFERROR(VLOOKUP(Orders!E1434,Sales_Reps!$A$2:$E$31,3,FALSE()),"Not Found")</f>
        <v>East</v>
      </c>
      <c r="G1434" s="46" t="n">
        <f aca="false">IFERROR(VLOOKUP(Orders!D1434,Products!$A$2:$F$61,4,FALSE()),"")</f>
        <v>1010</v>
      </c>
      <c r="H1434" s="47" t="n">
        <f aca="false">IF(G1434="","",(Orders!G1434-G1434)/Orders!G1434)</f>
        <v>0.542986425339367</v>
      </c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</row>
    <row r="1435" customFormat="false" ht="15" hidden="false" customHeight="false" outlineLevel="0" collapsed="false">
      <c r="A1435" s="46" t="str">
        <f aca="false">Orders!A1435</f>
        <v>ORD-01434</v>
      </c>
      <c r="B1435" s="46" t="str">
        <f aca="false">PROPER(TRIM(Orders!K1435))</f>
        <v>Pune</v>
      </c>
      <c r="C1435" s="46" t="str">
        <f aca="false">IFERROR(VLOOKUP(Orders!D1435,Products!$A$2:$F$61,3,FALSE()),"Not Found")</f>
        <v>Home</v>
      </c>
      <c r="D1435" s="46" t="str">
        <f aca="false">IFERROR(VLOOKUP(Orders!C1435,Customers!$A$2:$F$301,5,FALSE()),"Not Found")</f>
        <v>Not Found</v>
      </c>
      <c r="E1435" s="46" t="str">
        <f aca="false">IFERROR(VLOOKUP(Orders!C1435,Customers!$A$2:$F$301,3,FALSE()),"Not Found")</f>
        <v>Not Found</v>
      </c>
      <c r="F1435" s="46" t="str">
        <f aca="false">IFERROR(VLOOKUP(Orders!E1435,Sales_Reps!$A$2:$E$31,3,FALSE()),"Not Found")</f>
        <v>South</v>
      </c>
      <c r="G1435" s="46" t="n">
        <f aca="false">IFERROR(VLOOKUP(Orders!D1435,Products!$A$2:$F$61,4,FALSE()),"")</f>
        <v>464</v>
      </c>
      <c r="H1435" s="47" t="n">
        <f aca="false">IF(G1435="","",(Orders!G1435-G1435)/Orders!G1435)</f>
        <v>0.574311926605505</v>
      </c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/>
      <c r="AE1435" s="46"/>
      <c r="AF1435" s="46"/>
      <c r="AG1435" s="46"/>
      <c r="AH1435" s="46"/>
      <c r="AI1435" s="46"/>
      <c r="AJ1435" s="46"/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</row>
    <row r="1436" customFormat="false" ht="15" hidden="false" customHeight="false" outlineLevel="0" collapsed="false">
      <c r="A1436" s="46" t="str">
        <f aca="false">Orders!A1436</f>
        <v>ORD-01435</v>
      </c>
      <c r="B1436" s="46" t="str">
        <f aca="false">PROPER(TRIM(Orders!K1436))</f>
        <v>Bengaluru</v>
      </c>
      <c r="C1436" s="46" t="str">
        <f aca="false">IFERROR(VLOOKUP(Orders!D1436,Products!$A$2:$F$61,3,FALSE()),"Not Found")</f>
        <v>Apparel</v>
      </c>
      <c r="D1436" s="46" t="str">
        <f aca="false">IFERROR(VLOOKUP(Orders!C1436,Customers!$A$2:$F$301,5,FALSE()),"Not Found")</f>
        <v>Corporate</v>
      </c>
      <c r="E1436" s="46" t="n">
        <f aca="false">IFERROR(VLOOKUP(Orders!C1436,Customers!$A$2:$F$301,3,FALSE()),"Not Found")</f>
        <v>41</v>
      </c>
      <c r="F1436" s="46" t="str">
        <f aca="false">IFERROR(VLOOKUP(Orders!E1436,Sales_Reps!$A$2:$E$31,3,FALSE()),"Not Found")</f>
        <v>North</v>
      </c>
      <c r="G1436" s="46" t="n">
        <f aca="false">IFERROR(VLOOKUP(Orders!D1436,Products!$A$2:$F$61,4,FALSE()),"")</f>
        <v>2629</v>
      </c>
      <c r="H1436" s="47" t="n">
        <f aca="false">IF(G1436="","",(Orders!G1436-G1436)/Orders!G1436)</f>
        <v>0.261516853932584</v>
      </c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</row>
    <row r="1437" customFormat="false" ht="15" hidden="false" customHeight="false" outlineLevel="0" collapsed="false">
      <c r="A1437" s="46" t="str">
        <f aca="false">Orders!A1437</f>
        <v>ORD-01436</v>
      </c>
      <c r="B1437" s="46" t="str">
        <f aca="false">PROPER(TRIM(Orders!K1437))</f>
        <v>Pune</v>
      </c>
      <c r="C1437" s="46" t="str">
        <f aca="false">IFERROR(VLOOKUP(Orders!D1437,Products!$A$2:$F$61,3,FALSE()),"Not Found")</f>
        <v>Sports</v>
      </c>
      <c r="D1437" s="46" t="str">
        <f aca="false">IFERROR(VLOOKUP(Orders!C1437,Customers!$A$2:$F$301,5,FALSE()),"Not Found")</f>
        <v>Retail</v>
      </c>
      <c r="E1437" s="46" t="n">
        <f aca="false">IFERROR(VLOOKUP(Orders!C1437,Customers!$A$2:$F$301,3,FALSE()),"Not Found")</f>
        <v>39</v>
      </c>
      <c r="F1437" s="46" t="str">
        <f aca="false">IFERROR(VLOOKUP(Orders!E1437,Sales_Reps!$A$2:$E$31,3,FALSE()),"Not Found")</f>
        <v>West</v>
      </c>
      <c r="G1437" s="46" t="n">
        <f aca="false">IFERROR(VLOOKUP(Orders!D1437,Products!$A$2:$F$61,4,FALSE()),"")</f>
        <v>516</v>
      </c>
      <c r="H1437" s="47" t="n">
        <f aca="false">IF(G1437="","",(Orders!G1437-G1437)/Orders!G1437)</f>
        <v>0.489108910891089</v>
      </c>
      <c r="I1437" s="46"/>
      <c r="J1437" s="46"/>
      <c r="K1437" s="46"/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/>
      <c r="AE1437" s="46"/>
      <c r="AF1437" s="46"/>
      <c r="AG1437" s="46"/>
      <c r="AH1437" s="46"/>
      <c r="AI1437" s="46"/>
      <c r="AJ1437" s="46"/>
      <c r="AK1437" s="46"/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</row>
    <row r="1438" customFormat="false" ht="15" hidden="false" customHeight="false" outlineLevel="0" collapsed="false">
      <c r="A1438" s="46" t="str">
        <f aca="false">Orders!A1438</f>
        <v>ORD-01437</v>
      </c>
      <c r="B1438" s="46" t="str">
        <f aca="false">PROPER(TRIM(Orders!K1438))</f>
        <v>Mumbai</v>
      </c>
      <c r="C1438" s="46" t="str">
        <f aca="false">IFERROR(VLOOKUP(Orders!D1438,Products!$A$2:$F$61,3,FALSE()),"Not Found")</f>
        <v>Home</v>
      </c>
      <c r="D1438" s="46" t="str">
        <f aca="false">IFERROR(VLOOKUP(Orders!C1438,Customers!$A$2:$F$301,5,FALSE()),"Not Found")</f>
        <v>Corporate</v>
      </c>
      <c r="E1438" s="46" t="n">
        <f aca="false">IFERROR(VLOOKUP(Orders!C1438,Customers!$A$2:$F$301,3,FALSE()),"Not Found")</f>
        <v>51</v>
      </c>
      <c r="F1438" s="46" t="str">
        <f aca="false">IFERROR(VLOOKUP(Orders!E1438,Sales_Reps!$A$2:$E$31,3,FALSE()),"Not Found")</f>
        <v>South</v>
      </c>
      <c r="G1438" s="46" t="n">
        <f aca="false">IFERROR(VLOOKUP(Orders!D1438,Products!$A$2:$F$61,4,FALSE()),"")</f>
        <v>1143</v>
      </c>
      <c r="H1438" s="47" t="n">
        <f aca="false">IF(G1438="","",(Orders!G1438-G1438)/Orders!G1438)</f>
        <v>0.436945812807882</v>
      </c>
      <c r="I1438" s="46"/>
      <c r="J1438" s="46"/>
      <c r="K1438" s="46"/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</row>
    <row r="1439" customFormat="false" ht="15" hidden="false" customHeight="false" outlineLevel="0" collapsed="false">
      <c r="A1439" s="46" t="str">
        <f aca="false">Orders!A1439</f>
        <v>ORD-01438</v>
      </c>
      <c r="B1439" s="46" t="str">
        <f aca="false">PROPER(TRIM(Orders!K1439))</f>
        <v>Delhi</v>
      </c>
      <c r="C1439" s="46" t="str">
        <f aca="false">IFERROR(VLOOKUP(Orders!D1439,Products!$A$2:$F$61,3,FALSE()),"Not Found")</f>
        <v>Electronics</v>
      </c>
      <c r="D1439" s="46" t="str">
        <f aca="false">IFERROR(VLOOKUP(Orders!C1439,Customers!$A$2:$F$301,5,FALSE()),"Not Found")</f>
        <v>Retail</v>
      </c>
      <c r="E1439" s="46" t="n">
        <f aca="false">IFERROR(VLOOKUP(Orders!C1439,Customers!$A$2:$F$301,3,FALSE()),"Not Found")</f>
        <v>41</v>
      </c>
      <c r="F1439" s="46" t="str">
        <f aca="false">IFERROR(VLOOKUP(Orders!E1439,Sales_Reps!$A$2:$E$31,3,FALSE()),"Not Found")</f>
        <v>South</v>
      </c>
      <c r="G1439" s="46" t="n">
        <f aca="false">IFERROR(VLOOKUP(Orders!D1439,Products!$A$2:$F$61,4,FALSE()),"")</f>
        <v>2405</v>
      </c>
      <c r="H1439" s="47" t="n">
        <f aca="false">IF(G1439="","",(Orders!G1439-G1439)/Orders!G1439)</f>
        <v>0.548780487804878</v>
      </c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  <c r="AB1439" s="46"/>
      <c r="AC1439" s="46"/>
      <c r="AD1439" s="46"/>
      <c r="AE1439" s="46"/>
      <c r="AF1439" s="46"/>
      <c r="AG1439" s="46"/>
      <c r="AH1439" s="46"/>
      <c r="AI1439" s="46"/>
      <c r="AJ1439" s="46"/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</row>
    <row r="1440" customFormat="false" ht="15" hidden="false" customHeight="false" outlineLevel="0" collapsed="false">
      <c r="A1440" s="46" t="str">
        <f aca="false">Orders!A1440</f>
        <v>ORD-01439</v>
      </c>
      <c r="B1440" s="46" t="str">
        <f aca="false">PROPER(TRIM(Orders!K1440))</f>
        <v>Bengaluru</v>
      </c>
      <c r="C1440" s="46" t="str">
        <f aca="false">IFERROR(VLOOKUP(Orders!D1440,Products!$A$2:$F$61,3,FALSE()),"Not Found")</f>
        <v>Electronics</v>
      </c>
      <c r="D1440" s="46" t="str">
        <f aca="false">IFERROR(VLOOKUP(Orders!C1440,Customers!$A$2:$F$301,5,FALSE()),"Not Found")</f>
        <v>Retail</v>
      </c>
      <c r="E1440" s="46" t="n">
        <f aca="false">IFERROR(VLOOKUP(Orders!C1440,Customers!$A$2:$F$301,3,FALSE()),"Not Found")</f>
        <v>42</v>
      </c>
      <c r="F1440" s="46" t="str">
        <f aca="false">IFERROR(VLOOKUP(Orders!E1440,Sales_Reps!$A$2:$E$31,3,FALSE()),"Not Found")</f>
        <v>North</v>
      </c>
      <c r="G1440" s="46" t="n">
        <f aca="false">IFERROR(VLOOKUP(Orders!D1440,Products!$A$2:$F$61,4,FALSE()),"")</f>
        <v>1149</v>
      </c>
      <c r="H1440" s="47" t="n">
        <f aca="false">IF(G1440="","",(Orders!G1440-G1440)/Orders!G1440)</f>
        <v>0.564772727272727</v>
      </c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</row>
    <row r="1441" customFormat="false" ht="15" hidden="false" customHeight="false" outlineLevel="0" collapsed="false">
      <c r="A1441" s="46" t="str">
        <f aca="false">Orders!A1441</f>
        <v>ORD-01440</v>
      </c>
      <c r="B1441" s="46" t="str">
        <f aca="false">PROPER(TRIM(Orders!K1441))</f>
        <v>Mumbai</v>
      </c>
      <c r="C1441" s="46" t="str">
        <f aca="false">IFERROR(VLOOKUP(Orders!D1441,Products!$A$2:$F$61,3,FALSE()),"Not Found")</f>
        <v>Electronics</v>
      </c>
      <c r="D1441" s="46" t="str">
        <f aca="false">IFERROR(VLOOKUP(Orders!C1441,Customers!$A$2:$F$301,5,FALSE()),"Not Found")</f>
        <v>SMB</v>
      </c>
      <c r="E1441" s="46" t="n">
        <f aca="false">IFERROR(VLOOKUP(Orders!C1441,Customers!$A$2:$F$301,3,FALSE()),"Not Found")</f>
        <v>22</v>
      </c>
      <c r="F1441" s="46" t="str">
        <f aca="false">IFERROR(VLOOKUP(Orders!E1441,Sales_Reps!$A$2:$E$31,3,FALSE()),"Not Found")</f>
        <v>South</v>
      </c>
      <c r="G1441" s="46" t="n">
        <f aca="false">IFERROR(VLOOKUP(Orders!D1441,Products!$A$2:$F$61,4,FALSE()),"")</f>
        <v>1259</v>
      </c>
      <c r="H1441" s="47" t="n">
        <f aca="false">IF(G1441="","",(Orders!G1441-G1441)/Orders!G1441)</f>
        <v>0.526691729323308</v>
      </c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  <c r="AE1441" s="46"/>
      <c r="AF1441" s="46"/>
      <c r="AG1441" s="46"/>
      <c r="AH1441" s="46"/>
      <c r="AI1441" s="46"/>
      <c r="AJ1441" s="46"/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</row>
    <row r="1442" customFormat="false" ht="15" hidden="false" customHeight="false" outlineLevel="0" collapsed="false">
      <c r="A1442" s="46" t="str">
        <f aca="false">Orders!A1442</f>
        <v>ORD-01441</v>
      </c>
      <c r="B1442" s="46" t="str">
        <f aca="false">PROPER(TRIM(Orders!K1442))</f>
        <v>Mumbai</v>
      </c>
      <c r="C1442" s="46" t="str">
        <f aca="false">IFERROR(VLOOKUP(Orders!D1442,Products!$A$2:$F$61,3,FALSE()),"Not Found")</f>
        <v>Home</v>
      </c>
      <c r="D1442" s="46" t="str">
        <f aca="false">IFERROR(VLOOKUP(Orders!C1442,Customers!$A$2:$F$301,5,FALSE()),"Not Found")</f>
        <v>SMB</v>
      </c>
      <c r="E1442" s="46" t="n">
        <f aca="false">IFERROR(VLOOKUP(Orders!C1442,Customers!$A$2:$F$301,3,FALSE()),"Not Found")</f>
        <v>53</v>
      </c>
      <c r="F1442" s="46" t="str">
        <f aca="false">IFERROR(VLOOKUP(Orders!E1442,Sales_Reps!$A$2:$E$31,3,FALSE()),"Not Found")</f>
        <v>East</v>
      </c>
      <c r="G1442" s="46" t="n">
        <f aca="false">IFERROR(VLOOKUP(Orders!D1442,Products!$A$2:$F$61,4,FALSE()),"")</f>
        <v>1556</v>
      </c>
      <c r="H1442" s="47" t="n">
        <f aca="false">IF(G1442="","",(Orders!G1442-G1442)/Orders!G1442)</f>
        <v>0.521230769230769</v>
      </c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</row>
    <row r="1443" customFormat="false" ht="15" hidden="false" customHeight="false" outlineLevel="0" collapsed="false">
      <c r="A1443" s="46" t="str">
        <f aca="false">Orders!A1443</f>
        <v>ORD-01442</v>
      </c>
      <c r="B1443" s="46" t="str">
        <f aca="false">PROPER(TRIM(Orders!K1443))</f>
        <v>Pune</v>
      </c>
      <c r="C1443" s="46" t="str">
        <f aca="false">IFERROR(VLOOKUP(Orders!D1443,Products!$A$2:$F$61,3,FALSE()),"Not Found")</f>
        <v>Grocery</v>
      </c>
      <c r="D1443" s="46" t="str">
        <f aca="false">IFERROR(VLOOKUP(Orders!C1443,Customers!$A$2:$F$301,5,FALSE()),"Not Found")</f>
        <v>Retail</v>
      </c>
      <c r="E1443" s="46" t="n">
        <f aca="false">IFERROR(VLOOKUP(Orders!C1443,Customers!$A$2:$F$301,3,FALSE()),"Not Found")</f>
        <v>25</v>
      </c>
      <c r="F1443" s="46" t="str">
        <f aca="false">IFERROR(VLOOKUP(Orders!E1443,Sales_Reps!$A$2:$E$31,3,FALSE()),"Not Found")</f>
        <v>North</v>
      </c>
      <c r="G1443" s="46" t="n">
        <f aca="false">IFERROR(VLOOKUP(Orders!D1443,Products!$A$2:$F$61,4,FALSE()),"")</f>
        <v>1010</v>
      </c>
      <c r="H1443" s="47" t="n">
        <f aca="false">IF(G1443="","",(Orders!G1443-G1443)/Orders!G1443)</f>
        <v>0.542986425339367</v>
      </c>
      <c r="I1443" s="46"/>
      <c r="J1443" s="46"/>
      <c r="K1443" s="46"/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</row>
    <row r="1444" customFormat="false" ht="15" hidden="false" customHeight="false" outlineLevel="0" collapsed="false">
      <c r="A1444" s="46" t="str">
        <f aca="false">Orders!A1444</f>
        <v>ORD-01443</v>
      </c>
      <c r="B1444" s="46" t="str">
        <f aca="false">PROPER(TRIM(Orders!K1444))</f>
        <v>Pune</v>
      </c>
      <c r="C1444" s="46" t="str">
        <f aca="false">IFERROR(VLOOKUP(Orders!D1444,Products!$A$2:$F$61,3,FALSE()),"Not Found")</f>
        <v>Home</v>
      </c>
      <c r="D1444" s="46" t="str">
        <f aca="false">IFERROR(VLOOKUP(Orders!C1444,Customers!$A$2:$F$301,5,FALSE()),"Not Found")</f>
        <v>Retail</v>
      </c>
      <c r="E1444" s="46" t="n">
        <f aca="false">IFERROR(VLOOKUP(Orders!C1444,Customers!$A$2:$F$301,3,FALSE()),"Not Found")</f>
        <v>57</v>
      </c>
      <c r="F1444" s="46" t="str">
        <f aca="false">IFERROR(VLOOKUP(Orders!E1444,Sales_Reps!$A$2:$E$31,3,FALSE()),"Not Found")</f>
        <v>East</v>
      </c>
      <c r="G1444" s="46" t="n">
        <f aca="false">IFERROR(VLOOKUP(Orders!D1444,Products!$A$2:$F$61,4,FALSE()),"")</f>
        <v>288</v>
      </c>
      <c r="H1444" s="47" t="n">
        <f aca="false">IF(G1444="","",(Orders!G1444-G1444)/Orders!G1444)</f>
        <v>0.221621621621622</v>
      </c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  <c r="AB1444" s="46"/>
      <c r="AC1444" s="46"/>
      <c r="AD1444" s="46"/>
      <c r="AE1444" s="46"/>
      <c r="AF1444" s="46"/>
      <c r="AG1444" s="46"/>
      <c r="AH1444" s="46"/>
      <c r="AI1444" s="46"/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</row>
    <row r="1445" customFormat="false" ht="15" hidden="false" customHeight="false" outlineLevel="0" collapsed="false">
      <c r="A1445" s="46" t="str">
        <f aca="false">Orders!A1445</f>
        <v>ORD-01444</v>
      </c>
      <c r="B1445" s="46" t="str">
        <f aca="false">PROPER(TRIM(Orders!K1445))</f>
        <v>Chennai</v>
      </c>
      <c r="C1445" s="46" t="str">
        <f aca="false">IFERROR(VLOOKUP(Orders!D1445,Products!$A$2:$F$61,3,FALSE()),"Not Found")</f>
        <v>Sports</v>
      </c>
      <c r="D1445" s="46" t="str">
        <f aca="false">IFERROR(VLOOKUP(Orders!C1445,Customers!$A$2:$F$301,5,FALSE()),"Not Found")</f>
        <v>Retail</v>
      </c>
      <c r="E1445" s="46" t="n">
        <f aca="false">IFERROR(VLOOKUP(Orders!C1445,Customers!$A$2:$F$301,3,FALSE()),"Not Found")</f>
        <v>24</v>
      </c>
      <c r="F1445" s="46" t="str">
        <f aca="false">IFERROR(VLOOKUP(Orders!E1445,Sales_Reps!$A$2:$E$31,3,FALSE()),"Not Found")</f>
        <v>East</v>
      </c>
      <c r="G1445" s="46" t="n">
        <f aca="false">IFERROR(VLOOKUP(Orders!D1445,Products!$A$2:$F$61,4,FALSE()),"")</f>
        <v>1860</v>
      </c>
      <c r="H1445" s="47" t="n">
        <f aca="false">IF(G1445="","",(Orders!G1445-G1445)/Orders!G1445)</f>
        <v>0.507936507936508</v>
      </c>
      <c r="I1445" s="46"/>
      <c r="J1445" s="46"/>
      <c r="K1445" s="46"/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/>
      <c r="AE1445" s="46"/>
      <c r="AF1445" s="46"/>
      <c r="AG1445" s="46"/>
      <c r="AH1445" s="46"/>
      <c r="AI1445" s="46"/>
      <c r="AJ1445" s="46"/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</row>
    <row r="1446" customFormat="false" ht="15" hidden="false" customHeight="false" outlineLevel="0" collapsed="false">
      <c r="A1446" s="46" t="str">
        <f aca="false">Orders!A1446</f>
        <v>ORD-01445</v>
      </c>
      <c r="B1446" s="46" t="str">
        <f aca="false">PROPER(TRIM(Orders!K1446))</f>
        <v>Hyderabad</v>
      </c>
      <c r="C1446" s="46" t="str">
        <f aca="false">IFERROR(VLOOKUP(Orders!D1446,Products!$A$2:$F$61,3,FALSE()),"Not Found")</f>
        <v>Sports</v>
      </c>
      <c r="D1446" s="46" t="str">
        <f aca="false">IFERROR(VLOOKUP(Orders!C1446,Customers!$A$2:$F$301,5,FALSE()),"Not Found")</f>
        <v>Retail</v>
      </c>
      <c r="E1446" s="46" t="n">
        <f aca="false">IFERROR(VLOOKUP(Orders!C1446,Customers!$A$2:$F$301,3,FALSE()),"Not Found")</f>
        <v>22</v>
      </c>
      <c r="F1446" s="46" t="str">
        <f aca="false">IFERROR(VLOOKUP(Orders!E1446,Sales_Reps!$A$2:$E$31,3,FALSE()),"Not Found")</f>
        <v>North</v>
      </c>
      <c r="G1446" s="46" t="n">
        <f aca="false">IFERROR(VLOOKUP(Orders!D1446,Products!$A$2:$F$61,4,FALSE()),"")</f>
        <v>516</v>
      </c>
      <c r="H1446" s="47" t="n">
        <f aca="false">IF(G1446="","",(Orders!G1446-G1446)/Orders!G1446)</f>
        <v>0.489108910891089</v>
      </c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/>
      <c r="AE1446" s="46"/>
      <c r="AF1446" s="46"/>
      <c r="AG1446" s="46"/>
      <c r="AH1446" s="46"/>
      <c r="AI1446" s="46"/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</row>
    <row r="1447" customFormat="false" ht="15" hidden="false" customHeight="false" outlineLevel="0" collapsed="false">
      <c r="A1447" s="46" t="str">
        <f aca="false">Orders!A1447</f>
        <v>ORD-01446</v>
      </c>
      <c r="B1447" s="46" t="str">
        <f aca="false">PROPER(TRIM(Orders!K1447))</f>
        <v>Bengaluru</v>
      </c>
      <c r="C1447" s="46" t="str">
        <f aca="false">IFERROR(VLOOKUP(Orders!D1447,Products!$A$2:$F$61,3,FALSE()),"Not Found")</f>
        <v>Apparel</v>
      </c>
      <c r="D1447" s="46" t="str">
        <f aca="false">IFERROR(VLOOKUP(Orders!C1447,Customers!$A$2:$F$301,5,FALSE()),"Not Found")</f>
        <v>Retail</v>
      </c>
      <c r="E1447" s="46" t="n">
        <f aca="false">IFERROR(VLOOKUP(Orders!C1447,Customers!$A$2:$F$301,3,FALSE()),"Not Found")</f>
        <v>61</v>
      </c>
      <c r="F1447" s="46" t="str">
        <f aca="false">IFERROR(VLOOKUP(Orders!E1447,Sales_Reps!$A$2:$E$31,3,FALSE()),"Not Found")</f>
        <v>South</v>
      </c>
      <c r="G1447" s="46" t="n">
        <f aca="false">IFERROR(VLOOKUP(Orders!D1447,Products!$A$2:$F$61,4,FALSE()),"")</f>
        <v>391</v>
      </c>
      <c r="H1447" s="47" t="n">
        <f aca="false">IF(G1447="","",(Orders!G1447-G1447)/Orders!G1447)</f>
        <v>0.523170731707317</v>
      </c>
      <c r="I1447" s="46"/>
      <c r="J1447" s="46"/>
      <c r="K1447" s="46"/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/>
      <c r="AE1447" s="46"/>
      <c r="AF1447" s="46"/>
      <c r="AG1447" s="46"/>
      <c r="AH1447" s="46"/>
      <c r="AI1447" s="46"/>
      <c r="AJ1447" s="46"/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</row>
    <row r="1448" customFormat="false" ht="15" hidden="false" customHeight="false" outlineLevel="0" collapsed="false">
      <c r="A1448" s="46" t="str">
        <f aca="false">Orders!A1448</f>
        <v>ORD-01447</v>
      </c>
      <c r="B1448" s="46" t="str">
        <f aca="false">PROPER(TRIM(Orders!K1448))</f>
        <v>Pune</v>
      </c>
      <c r="C1448" s="46" t="str">
        <f aca="false">IFERROR(VLOOKUP(Orders!D1448,Products!$A$2:$F$61,3,FALSE()),"Not Found")</f>
        <v>Grocery</v>
      </c>
      <c r="D1448" s="46" t="str">
        <f aca="false">IFERROR(VLOOKUP(Orders!C1448,Customers!$A$2:$F$301,5,FALSE()),"Not Found")</f>
        <v>SMB</v>
      </c>
      <c r="E1448" s="46" t="n">
        <f aca="false">IFERROR(VLOOKUP(Orders!C1448,Customers!$A$2:$F$301,3,FALSE()),"Not Found")</f>
        <v>29</v>
      </c>
      <c r="F1448" s="46" t="str">
        <f aca="false">IFERROR(VLOOKUP(Orders!E1448,Sales_Reps!$A$2:$E$31,3,FALSE()),"Not Found")</f>
        <v>South</v>
      </c>
      <c r="G1448" s="46" t="n">
        <f aca="false">IFERROR(VLOOKUP(Orders!D1448,Products!$A$2:$F$61,4,FALSE()),"")</f>
        <v>2214</v>
      </c>
      <c r="H1448" s="47" t="n">
        <f aca="false">IF(G1448="","",(Orders!G1448-G1448)/Orders!G1448)</f>
        <v>0.395081967213115</v>
      </c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</row>
    <row r="1449" customFormat="false" ht="15" hidden="false" customHeight="false" outlineLevel="0" collapsed="false">
      <c r="A1449" s="46" t="str">
        <f aca="false">Orders!A1449</f>
        <v>ORD-01448</v>
      </c>
      <c r="B1449" s="46" t="str">
        <f aca="false">PROPER(TRIM(Orders!K1449))</f>
        <v>Chennai</v>
      </c>
      <c r="C1449" s="46" t="str">
        <f aca="false">IFERROR(VLOOKUP(Orders!D1449,Products!$A$2:$F$61,3,FALSE()),"Not Found")</f>
        <v>Grocery</v>
      </c>
      <c r="D1449" s="46" t="str">
        <f aca="false">IFERROR(VLOOKUP(Orders!C1449,Customers!$A$2:$F$301,5,FALSE()),"Not Found")</f>
        <v>Retail</v>
      </c>
      <c r="E1449" s="46" t="n">
        <f aca="false">IFERROR(VLOOKUP(Orders!C1449,Customers!$A$2:$F$301,3,FALSE()),"Not Found")</f>
        <v>37</v>
      </c>
      <c r="F1449" s="46" t="str">
        <f aca="false">IFERROR(VLOOKUP(Orders!E1449,Sales_Reps!$A$2:$E$31,3,FALSE()),"Not Found")</f>
        <v>East</v>
      </c>
      <c r="G1449" s="46" t="n">
        <f aca="false">IFERROR(VLOOKUP(Orders!D1449,Products!$A$2:$F$61,4,FALSE()),"")</f>
        <v>1412</v>
      </c>
      <c r="H1449" s="47" t="n">
        <f aca="false">IF(G1449="","",(Orders!G1449-G1449)/Orders!G1449)</f>
        <v>0.377973568281938</v>
      </c>
      <c r="I1449" s="46"/>
      <c r="J1449" s="46"/>
      <c r="K1449" s="46"/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  <c r="AB1449" s="46"/>
      <c r="AC1449" s="46"/>
      <c r="AD1449" s="46"/>
      <c r="AE1449" s="46"/>
      <c r="AF1449" s="46"/>
      <c r="AG1449" s="46"/>
      <c r="AH1449" s="46"/>
      <c r="AI1449" s="46"/>
      <c r="AJ1449" s="46"/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</row>
    <row r="1450" customFormat="false" ht="15" hidden="false" customHeight="false" outlineLevel="0" collapsed="false">
      <c r="A1450" s="46" t="str">
        <f aca="false">Orders!A1450</f>
        <v>ORD-01449</v>
      </c>
      <c r="B1450" s="46" t="str">
        <f aca="false">PROPER(TRIM(Orders!K1450))</f>
        <v>Mumbai</v>
      </c>
      <c r="C1450" s="46" t="str">
        <f aca="false">IFERROR(VLOOKUP(Orders!D1450,Products!$A$2:$F$61,3,FALSE()),"Not Found")</f>
        <v>Beauty</v>
      </c>
      <c r="D1450" s="46" t="str">
        <f aca="false">IFERROR(VLOOKUP(Orders!C1450,Customers!$A$2:$F$301,5,FALSE()),"Not Found")</f>
        <v>Retail</v>
      </c>
      <c r="E1450" s="46" t="n">
        <f aca="false">IFERROR(VLOOKUP(Orders!C1450,Customers!$A$2:$F$301,3,FALSE()),"Not Found")</f>
        <v>41</v>
      </c>
      <c r="F1450" s="46" t="str">
        <f aca="false">IFERROR(VLOOKUP(Orders!E1450,Sales_Reps!$A$2:$E$31,3,FALSE()),"Not Found")</f>
        <v>East</v>
      </c>
      <c r="G1450" s="46" t="n">
        <f aca="false">IFERROR(VLOOKUP(Orders!D1450,Products!$A$2:$F$61,4,FALSE()),"")</f>
        <v>675</v>
      </c>
      <c r="H1450" s="47" t="n">
        <f aca="false">IF(G1450="","",(Orders!G1450-G1450)/Orders!G1450)</f>
        <v>0.296875</v>
      </c>
      <c r="I1450" s="46"/>
      <c r="J1450" s="46"/>
      <c r="K1450" s="46"/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</row>
    <row r="1451" customFormat="false" ht="15" hidden="false" customHeight="false" outlineLevel="0" collapsed="false">
      <c r="A1451" s="46" t="str">
        <f aca="false">Orders!A1451</f>
        <v>ORD-01450</v>
      </c>
      <c r="B1451" s="46" t="str">
        <f aca="false">PROPER(TRIM(Orders!K1451))</f>
        <v>Pune</v>
      </c>
      <c r="C1451" s="46" t="str">
        <f aca="false">IFERROR(VLOOKUP(Orders!D1451,Products!$A$2:$F$61,3,FALSE()),"Not Found")</f>
        <v>Home</v>
      </c>
      <c r="D1451" s="46" t="str">
        <f aca="false">IFERROR(VLOOKUP(Orders!C1451,Customers!$A$2:$F$301,5,FALSE()),"Not Found")</f>
        <v>SMB</v>
      </c>
      <c r="E1451" s="46" t="n">
        <f aca="false">IFERROR(VLOOKUP(Orders!C1451,Customers!$A$2:$F$301,3,FALSE()),"Not Found")</f>
        <v>53</v>
      </c>
      <c r="F1451" s="46" t="str">
        <f aca="false">IFERROR(VLOOKUP(Orders!E1451,Sales_Reps!$A$2:$E$31,3,FALSE()),"Not Found")</f>
        <v>West</v>
      </c>
      <c r="G1451" s="46" t="n">
        <f aca="false">IFERROR(VLOOKUP(Orders!D1451,Products!$A$2:$F$61,4,FALSE()),"")</f>
        <v>1143</v>
      </c>
      <c r="H1451" s="47" t="n">
        <f aca="false">IF(G1451="","",(Orders!G1451-G1451)/Orders!G1451)</f>
        <v>0.436945812807882</v>
      </c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/>
      <c r="AD1451" s="46"/>
      <c r="AE1451" s="46"/>
      <c r="AF1451" s="46"/>
      <c r="AG1451" s="46"/>
      <c r="AH1451" s="46"/>
      <c r="AI1451" s="46"/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</row>
    <row r="1452" customFormat="false" ht="15" hidden="false" customHeight="false" outlineLevel="0" collapsed="false">
      <c r="A1452" s="46" t="str">
        <f aca="false">Orders!A1452</f>
        <v>ORD-01451</v>
      </c>
      <c r="B1452" s="46" t="str">
        <f aca="false">PROPER(TRIM(Orders!K1452))</f>
        <v>Bengaluru</v>
      </c>
      <c r="C1452" s="46" t="str">
        <f aca="false">IFERROR(VLOOKUP(Orders!D1452,Products!$A$2:$F$61,3,FALSE()),"Not Found")</f>
        <v>Grocery</v>
      </c>
      <c r="D1452" s="46" t="str">
        <f aca="false">IFERROR(VLOOKUP(Orders!C1452,Customers!$A$2:$F$301,5,FALSE()),"Not Found")</f>
        <v>SMB</v>
      </c>
      <c r="E1452" s="46" t="n">
        <f aca="false">IFERROR(VLOOKUP(Orders!C1452,Customers!$A$2:$F$301,3,FALSE()),"Not Found")</f>
        <v>49</v>
      </c>
      <c r="F1452" s="46" t="str">
        <f aca="false">IFERROR(VLOOKUP(Orders!E1452,Sales_Reps!$A$2:$E$31,3,FALSE()),"Not Found")</f>
        <v>North</v>
      </c>
      <c r="G1452" s="46" t="n">
        <f aca="false">IFERROR(VLOOKUP(Orders!D1452,Products!$A$2:$F$61,4,FALSE()),"")</f>
        <v>1182</v>
      </c>
      <c r="H1452" s="47" t="n">
        <f aca="false">IF(G1452="","",(Orders!G1452-G1452)/Orders!G1452)</f>
        <v>0.503361344537815</v>
      </c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</row>
    <row r="1453" customFormat="false" ht="15" hidden="false" customHeight="false" outlineLevel="0" collapsed="false">
      <c r="A1453" s="46" t="str">
        <f aca="false">Orders!A1453</f>
        <v>ORD-01452</v>
      </c>
      <c r="B1453" s="46" t="str">
        <f aca="false">PROPER(TRIM(Orders!K1453))</f>
        <v>Chennai</v>
      </c>
      <c r="C1453" s="46" t="str">
        <f aca="false">IFERROR(VLOOKUP(Orders!D1453,Products!$A$2:$F$61,3,FALSE()),"Not Found")</f>
        <v>Beauty</v>
      </c>
      <c r="D1453" s="46" t="str">
        <f aca="false">IFERROR(VLOOKUP(Orders!C1453,Customers!$A$2:$F$301,5,FALSE()),"Not Found")</f>
        <v>SMB</v>
      </c>
      <c r="E1453" s="46" t="n">
        <f aca="false">IFERROR(VLOOKUP(Orders!C1453,Customers!$A$2:$F$301,3,FALSE()),"Not Found")</f>
        <v>51</v>
      </c>
      <c r="F1453" s="46" t="str">
        <f aca="false">IFERROR(VLOOKUP(Orders!E1453,Sales_Reps!$A$2:$E$31,3,FALSE()),"Not Found")</f>
        <v>South</v>
      </c>
      <c r="G1453" s="46" t="n">
        <f aca="false">IFERROR(VLOOKUP(Orders!D1453,Products!$A$2:$F$61,4,FALSE()),"")</f>
        <v>2420</v>
      </c>
      <c r="H1453" s="47" t="n">
        <f aca="false">IF(G1453="","",(Orders!G1453-G1453)/Orders!G1453)</f>
        <v>0.298550724637681</v>
      </c>
      <c r="I1453" s="46"/>
      <c r="J1453" s="46"/>
      <c r="K1453" s="46"/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/>
      <c r="AE1453" s="46"/>
      <c r="AF1453" s="46"/>
      <c r="AG1453" s="46"/>
      <c r="AH1453" s="46"/>
      <c r="AI1453" s="46"/>
      <c r="AJ1453" s="46"/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</row>
    <row r="1454" customFormat="false" ht="15" hidden="false" customHeight="false" outlineLevel="0" collapsed="false">
      <c r="A1454" s="46" t="str">
        <f aca="false">Orders!A1454</f>
        <v>ORD-01453</v>
      </c>
      <c r="B1454" s="46" t="str">
        <f aca="false">PROPER(TRIM(Orders!K1454))</f>
        <v>Bengaluru</v>
      </c>
      <c r="C1454" s="46" t="str">
        <f aca="false">IFERROR(VLOOKUP(Orders!D1454,Products!$A$2:$F$61,3,FALSE()),"Not Found")</f>
        <v>Beauty</v>
      </c>
      <c r="D1454" s="46" t="str">
        <f aca="false">IFERROR(VLOOKUP(Orders!C1454,Customers!$A$2:$F$301,5,FALSE()),"Not Found")</f>
        <v>Retail</v>
      </c>
      <c r="E1454" s="46" t="n">
        <f aca="false">IFERROR(VLOOKUP(Orders!C1454,Customers!$A$2:$F$301,3,FALSE()),"Not Found")</f>
        <v>53</v>
      </c>
      <c r="F1454" s="46" t="str">
        <f aca="false">IFERROR(VLOOKUP(Orders!E1454,Sales_Reps!$A$2:$E$31,3,FALSE()),"Not Found")</f>
        <v>East</v>
      </c>
      <c r="G1454" s="46" t="n">
        <f aca="false">IFERROR(VLOOKUP(Orders!D1454,Products!$A$2:$F$61,4,FALSE()),"")</f>
        <v>675</v>
      </c>
      <c r="H1454" s="47" t="n">
        <f aca="false">IF(G1454="","",(Orders!G1454-G1454)/Orders!G1454)</f>
        <v>0.296875</v>
      </c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</row>
    <row r="1455" customFormat="false" ht="15" hidden="false" customHeight="false" outlineLevel="0" collapsed="false">
      <c r="A1455" s="46" t="str">
        <f aca="false">Orders!A1455</f>
        <v>ORD-01454</v>
      </c>
      <c r="B1455" s="46" t="str">
        <f aca="false">PROPER(TRIM(Orders!K1455))</f>
        <v>Delhi</v>
      </c>
      <c r="C1455" s="46" t="str">
        <f aca="false">IFERROR(VLOOKUP(Orders!D1455,Products!$A$2:$F$61,3,FALSE()),"Not Found")</f>
        <v>Apparel</v>
      </c>
      <c r="D1455" s="46" t="str">
        <f aca="false">IFERROR(VLOOKUP(Orders!C1455,Customers!$A$2:$F$301,5,FALSE()),"Not Found")</f>
        <v>Retail</v>
      </c>
      <c r="E1455" s="46" t="n">
        <f aca="false">IFERROR(VLOOKUP(Orders!C1455,Customers!$A$2:$F$301,3,FALSE()),"Not Found")</f>
        <v>63</v>
      </c>
      <c r="F1455" s="46" t="str">
        <f aca="false">IFERROR(VLOOKUP(Orders!E1455,Sales_Reps!$A$2:$E$31,3,FALSE()),"Not Found")</f>
        <v>South</v>
      </c>
      <c r="G1455" s="46" t="n">
        <f aca="false">IFERROR(VLOOKUP(Orders!D1455,Products!$A$2:$F$61,4,FALSE()),"")</f>
        <v>2629</v>
      </c>
      <c r="H1455" s="47" t="n">
        <f aca="false">IF(G1455="","",(Orders!G1455-G1455)/Orders!G1455)</f>
        <v>0.261516853932584</v>
      </c>
      <c r="I1455" s="46"/>
      <c r="J1455" s="46"/>
      <c r="K1455" s="46"/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</row>
    <row r="1456" customFormat="false" ht="15" hidden="false" customHeight="false" outlineLevel="0" collapsed="false">
      <c r="A1456" s="46" t="str">
        <f aca="false">Orders!A1456</f>
        <v>ORD-01455</v>
      </c>
      <c r="B1456" s="46" t="str">
        <f aca="false">PROPER(TRIM(Orders!K1456))</f>
        <v>Delhi</v>
      </c>
      <c r="C1456" s="46" t="str">
        <f aca="false">IFERROR(VLOOKUP(Orders!D1456,Products!$A$2:$F$61,3,FALSE()),"Not Found")</f>
        <v>Apparel</v>
      </c>
      <c r="D1456" s="46" t="str">
        <f aca="false">IFERROR(VLOOKUP(Orders!C1456,Customers!$A$2:$F$301,5,FALSE()),"Not Found")</f>
        <v>Retail</v>
      </c>
      <c r="E1456" s="46" t="n">
        <f aca="false">IFERROR(VLOOKUP(Orders!C1456,Customers!$A$2:$F$301,3,FALSE()),"Not Found")</f>
        <v>53</v>
      </c>
      <c r="F1456" s="46" t="str">
        <f aca="false">IFERROR(VLOOKUP(Orders!E1456,Sales_Reps!$A$2:$E$31,3,FALSE()),"Not Found")</f>
        <v>South</v>
      </c>
      <c r="G1456" s="46" t="n">
        <f aca="false">IFERROR(VLOOKUP(Orders!D1456,Products!$A$2:$F$61,4,FALSE()),"")</f>
        <v>1962</v>
      </c>
      <c r="H1456" s="47" t="n">
        <f aca="false">IF(G1456="","",(Orders!G1456-G1456)/Orders!G1456)</f>
        <v>0.278676470588235</v>
      </c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</row>
    <row r="1457" customFormat="false" ht="15" hidden="false" customHeight="false" outlineLevel="0" collapsed="false">
      <c r="A1457" s="46" t="str">
        <f aca="false">Orders!A1457</f>
        <v>ORD-01456</v>
      </c>
      <c r="B1457" s="46" t="str">
        <f aca="false">PROPER(TRIM(Orders!K1457))</f>
        <v>Hyderabad</v>
      </c>
      <c r="C1457" s="46" t="str">
        <f aca="false">IFERROR(VLOOKUP(Orders!D1457,Products!$A$2:$F$61,3,FALSE()),"Not Found")</f>
        <v>Electronics</v>
      </c>
      <c r="D1457" s="46" t="str">
        <f aca="false">IFERROR(VLOOKUP(Orders!C1457,Customers!$A$2:$F$301,5,FALSE()),"Not Found")</f>
        <v>SMB</v>
      </c>
      <c r="E1457" s="46" t="n">
        <f aca="false">IFERROR(VLOOKUP(Orders!C1457,Customers!$A$2:$F$301,3,FALSE()),"Not Found")</f>
        <v>29</v>
      </c>
      <c r="F1457" s="46" t="str">
        <f aca="false">IFERROR(VLOOKUP(Orders!E1457,Sales_Reps!$A$2:$E$31,3,FALSE()),"Not Found")</f>
        <v>West</v>
      </c>
      <c r="G1457" s="46" t="n">
        <f aca="false">IFERROR(VLOOKUP(Orders!D1457,Products!$A$2:$F$61,4,FALSE()),"")</f>
        <v>517</v>
      </c>
      <c r="H1457" s="47" t="n">
        <f aca="false">IF(G1457="","",(Orders!G1457-G1457)/Orders!G1457)</f>
        <v>0.576229508196721</v>
      </c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46"/>
      <c r="AE1457" s="46"/>
      <c r="AF1457" s="46"/>
      <c r="AG1457" s="46"/>
      <c r="AH1457" s="46"/>
      <c r="AI1457" s="46"/>
      <c r="AJ1457" s="46"/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</row>
    <row r="1458" customFormat="false" ht="15" hidden="false" customHeight="false" outlineLevel="0" collapsed="false">
      <c r="A1458" s="46" t="str">
        <f aca="false">Orders!A1458</f>
        <v>ORD-01457</v>
      </c>
      <c r="B1458" s="46" t="str">
        <f aca="false">PROPER(TRIM(Orders!K1458))</f>
        <v>Hyderabad</v>
      </c>
      <c r="C1458" s="46" t="str">
        <f aca="false">IFERROR(VLOOKUP(Orders!D1458,Products!$A$2:$F$61,3,FALSE()),"Not Found")</f>
        <v>Home</v>
      </c>
      <c r="D1458" s="46" t="str">
        <f aca="false">IFERROR(VLOOKUP(Orders!C1458,Customers!$A$2:$F$301,5,FALSE()),"Not Found")</f>
        <v>Retail</v>
      </c>
      <c r="E1458" s="46" t="n">
        <f aca="false">IFERROR(VLOOKUP(Orders!C1458,Customers!$A$2:$F$301,3,FALSE()),"Not Found")</f>
        <v>27</v>
      </c>
      <c r="F1458" s="46" t="str">
        <f aca="false">IFERROR(VLOOKUP(Orders!E1458,Sales_Reps!$A$2:$E$31,3,FALSE()),"Not Found")</f>
        <v>West</v>
      </c>
      <c r="G1458" s="46" t="n">
        <f aca="false">IFERROR(VLOOKUP(Orders!D1458,Products!$A$2:$F$61,4,FALSE()),"")</f>
        <v>464</v>
      </c>
      <c r="H1458" s="47" t="n">
        <f aca="false">IF(G1458="","",(Orders!G1458-G1458)/Orders!G1458)</f>
        <v>0.574311926605505</v>
      </c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</row>
    <row r="1459" customFormat="false" ht="15" hidden="false" customHeight="false" outlineLevel="0" collapsed="false">
      <c r="A1459" s="46" t="str">
        <f aca="false">Orders!A1459</f>
        <v>ORD-01458</v>
      </c>
      <c r="B1459" s="46" t="str">
        <f aca="false">PROPER(TRIM(Orders!K1459))</f>
        <v>Mumbai</v>
      </c>
      <c r="C1459" s="46" t="str">
        <f aca="false">IFERROR(VLOOKUP(Orders!D1459,Products!$A$2:$F$61,3,FALSE()),"Not Found")</f>
        <v>Home</v>
      </c>
      <c r="D1459" s="46" t="str">
        <f aca="false">IFERROR(VLOOKUP(Orders!C1459,Customers!$A$2:$F$301,5,FALSE()),"Not Found")</f>
        <v>SMB</v>
      </c>
      <c r="E1459" s="46" t="n">
        <f aca="false">IFERROR(VLOOKUP(Orders!C1459,Customers!$A$2:$F$301,3,FALSE()),"Not Found")</f>
        <v>54</v>
      </c>
      <c r="F1459" s="46" t="str">
        <f aca="false">IFERROR(VLOOKUP(Orders!E1459,Sales_Reps!$A$2:$E$31,3,FALSE()),"Not Found")</f>
        <v>West</v>
      </c>
      <c r="G1459" s="46" t="n">
        <f aca="false">IFERROR(VLOOKUP(Orders!D1459,Products!$A$2:$F$61,4,FALSE()),"")</f>
        <v>288</v>
      </c>
      <c r="H1459" s="47" t="n">
        <f aca="false">IF(G1459="","",(Orders!G1459-G1459)/Orders!G1459)</f>
        <v>0.221621621621622</v>
      </c>
      <c r="I1459" s="46"/>
      <c r="J1459" s="46"/>
      <c r="K1459" s="46"/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46"/>
      <c r="AE1459" s="46"/>
      <c r="AF1459" s="46"/>
      <c r="AG1459" s="46"/>
      <c r="AH1459" s="46"/>
      <c r="AI1459" s="46"/>
      <c r="AJ1459" s="46"/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</row>
    <row r="1460" customFormat="false" ht="15" hidden="false" customHeight="false" outlineLevel="0" collapsed="false">
      <c r="A1460" s="46" t="str">
        <f aca="false">Orders!A1460</f>
        <v>ORD-01459</v>
      </c>
      <c r="B1460" s="46" t="str">
        <f aca="false">PROPER(TRIM(Orders!K1460))</f>
        <v>Mumbai</v>
      </c>
      <c r="C1460" s="46" t="str">
        <f aca="false">IFERROR(VLOOKUP(Orders!D1460,Products!$A$2:$F$61,3,FALSE()),"Not Found")</f>
        <v>Sports</v>
      </c>
      <c r="D1460" s="46" t="str">
        <f aca="false">IFERROR(VLOOKUP(Orders!C1460,Customers!$A$2:$F$301,5,FALSE()),"Not Found")</f>
        <v>SMB</v>
      </c>
      <c r="E1460" s="46" t="n">
        <f aca="false">IFERROR(VLOOKUP(Orders!C1460,Customers!$A$2:$F$301,3,FALSE()),"Not Found")</f>
        <v>43</v>
      </c>
      <c r="F1460" s="46" t="str">
        <f aca="false">IFERROR(VLOOKUP(Orders!E1460,Sales_Reps!$A$2:$E$31,3,FALSE()),"Not Found")</f>
        <v>North</v>
      </c>
      <c r="G1460" s="46" t="n">
        <f aca="false">IFERROR(VLOOKUP(Orders!D1460,Products!$A$2:$F$61,4,FALSE()),"")</f>
        <v>2028</v>
      </c>
      <c r="H1460" s="47" t="n">
        <f aca="false">IF(G1460="","",(Orders!G1460-G1460)/Orders!G1460)</f>
        <v>0.290909090909091</v>
      </c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/>
      <c r="AE1460" s="46"/>
      <c r="AF1460" s="46"/>
      <c r="AG1460" s="46"/>
      <c r="AH1460" s="46"/>
      <c r="AI1460" s="46"/>
      <c r="AJ1460" s="46"/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</row>
    <row r="1461" customFormat="false" ht="15" hidden="false" customHeight="false" outlineLevel="0" collapsed="false">
      <c r="A1461" s="46" t="str">
        <f aca="false">Orders!A1461</f>
        <v>ORD-01460</v>
      </c>
      <c r="B1461" s="46" t="str">
        <f aca="false">PROPER(TRIM(Orders!K1461))</f>
        <v>Bengaluru</v>
      </c>
      <c r="C1461" s="46" t="str">
        <f aca="false">IFERROR(VLOOKUP(Orders!D1461,Products!$A$2:$F$61,3,FALSE()),"Not Found")</f>
        <v>Grocery</v>
      </c>
      <c r="D1461" s="46" t="str">
        <f aca="false">IFERROR(VLOOKUP(Orders!C1461,Customers!$A$2:$F$301,5,FALSE()),"Not Found")</f>
        <v>Corporate</v>
      </c>
      <c r="E1461" s="46" t="n">
        <f aca="false">IFERROR(VLOOKUP(Orders!C1461,Customers!$A$2:$F$301,3,FALSE()),"Not Found")</f>
        <v>26</v>
      </c>
      <c r="F1461" s="46" t="str">
        <f aca="false">IFERROR(VLOOKUP(Orders!E1461,Sales_Reps!$A$2:$E$31,3,FALSE()),"Not Found")</f>
        <v>West</v>
      </c>
      <c r="G1461" s="46" t="n">
        <f aca="false">IFERROR(VLOOKUP(Orders!D1461,Products!$A$2:$F$61,4,FALSE()),"")</f>
        <v>1010</v>
      </c>
      <c r="H1461" s="47" t="n">
        <f aca="false">IF(G1461="","",(Orders!G1461-G1461)/Orders!G1461)</f>
        <v>0.542986425339367</v>
      </c>
      <c r="I1461" s="46"/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46"/>
      <c r="AE1461" s="46"/>
      <c r="AF1461" s="46"/>
      <c r="AG1461" s="46"/>
      <c r="AH1461" s="46"/>
      <c r="AI1461" s="46"/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</row>
    <row r="1462" customFormat="false" ht="15" hidden="false" customHeight="false" outlineLevel="0" collapsed="false">
      <c r="A1462" s="46" t="str">
        <f aca="false">Orders!A1462</f>
        <v>ORD-01461</v>
      </c>
      <c r="B1462" s="46" t="str">
        <f aca="false">PROPER(TRIM(Orders!K1462))</f>
        <v>Pune</v>
      </c>
      <c r="C1462" s="46" t="str">
        <f aca="false">IFERROR(VLOOKUP(Orders!D1462,Products!$A$2:$F$61,3,FALSE()),"Not Found")</f>
        <v>Grocery</v>
      </c>
      <c r="D1462" s="46" t="str">
        <f aca="false">IFERROR(VLOOKUP(Orders!C1462,Customers!$A$2:$F$301,5,FALSE()),"Not Found")</f>
        <v>SMB</v>
      </c>
      <c r="E1462" s="46" t="n">
        <f aca="false">IFERROR(VLOOKUP(Orders!C1462,Customers!$A$2:$F$301,3,FALSE()),"Not Found")</f>
        <v>24</v>
      </c>
      <c r="F1462" s="46" t="str">
        <f aca="false">IFERROR(VLOOKUP(Orders!E1462,Sales_Reps!$A$2:$E$31,3,FALSE()),"Not Found")</f>
        <v>West</v>
      </c>
      <c r="G1462" s="46" t="n">
        <f aca="false">IFERROR(VLOOKUP(Orders!D1462,Products!$A$2:$F$61,4,FALSE()),"")</f>
        <v>434</v>
      </c>
      <c r="H1462" s="47" t="n">
        <f aca="false">IF(G1462="","",(Orders!G1462-G1462)/Orders!G1462)</f>
        <v>0.552577319587629</v>
      </c>
      <c r="I1462" s="46"/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/>
      <c r="AD1462" s="46"/>
      <c r="AE1462" s="46"/>
      <c r="AF1462" s="46"/>
      <c r="AG1462" s="46"/>
      <c r="AH1462" s="46"/>
      <c r="AI1462" s="46"/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</row>
    <row r="1463" customFormat="false" ht="15" hidden="false" customHeight="false" outlineLevel="0" collapsed="false">
      <c r="A1463" s="46" t="str">
        <f aca="false">Orders!A1463</f>
        <v>ORD-01462</v>
      </c>
      <c r="B1463" s="46" t="str">
        <f aca="false">PROPER(TRIM(Orders!K1463))</f>
        <v>Bengaluru</v>
      </c>
      <c r="C1463" s="46" t="str">
        <f aca="false">IFERROR(VLOOKUP(Orders!D1463,Products!$A$2:$F$61,3,FALSE()),"Not Found")</f>
        <v>Apparel</v>
      </c>
      <c r="D1463" s="46" t="str">
        <f aca="false">IFERROR(VLOOKUP(Orders!C1463,Customers!$A$2:$F$301,5,FALSE()),"Not Found")</f>
        <v>Retail</v>
      </c>
      <c r="E1463" s="46" t="n">
        <f aca="false">IFERROR(VLOOKUP(Orders!C1463,Customers!$A$2:$F$301,3,FALSE()),"Not Found")</f>
        <v>27</v>
      </c>
      <c r="F1463" s="46" t="str">
        <f aca="false">IFERROR(VLOOKUP(Orders!E1463,Sales_Reps!$A$2:$E$31,3,FALSE()),"Not Found")</f>
        <v>East</v>
      </c>
      <c r="G1463" s="46" t="n">
        <f aca="false">IFERROR(VLOOKUP(Orders!D1463,Products!$A$2:$F$61,4,FALSE()),"")</f>
        <v>2629</v>
      </c>
      <c r="H1463" s="47" t="n">
        <f aca="false">IF(G1463="","",(Orders!G1463-G1463)/Orders!G1463)</f>
        <v>0.261516853932584</v>
      </c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</row>
    <row r="1464" customFormat="false" ht="15" hidden="false" customHeight="false" outlineLevel="0" collapsed="false">
      <c r="A1464" s="46" t="str">
        <f aca="false">Orders!A1464</f>
        <v>ORD-01463</v>
      </c>
      <c r="B1464" s="46" t="str">
        <f aca="false">PROPER(TRIM(Orders!K1464))</f>
        <v>Hyderabad</v>
      </c>
      <c r="C1464" s="46" t="str">
        <f aca="false">IFERROR(VLOOKUP(Orders!D1464,Products!$A$2:$F$61,3,FALSE()),"Not Found")</f>
        <v>Home</v>
      </c>
      <c r="D1464" s="46" t="str">
        <f aca="false">IFERROR(VLOOKUP(Orders!C1464,Customers!$A$2:$F$301,5,FALSE()),"Not Found")</f>
        <v>Corporate</v>
      </c>
      <c r="E1464" s="46" t="n">
        <f aca="false">IFERROR(VLOOKUP(Orders!C1464,Customers!$A$2:$F$301,3,FALSE()),"Not Found")</f>
        <v>56</v>
      </c>
      <c r="F1464" s="46" t="str">
        <f aca="false">IFERROR(VLOOKUP(Orders!E1464,Sales_Reps!$A$2:$E$31,3,FALSE()),"Not Found")</f>
        <v>East</v>
      </c>
      <c r="G1464" s="46" t="n">
        <f aca="false">IFERROR(VLOOKUP(Orders!D1464,Products!$A$2:$F$61,4,FALSE()),"")</f>
        <v>519</v>
      </c>
      <c r="H1464" s="47" t="n">
        <f aca="false">IF(G1464="","",(Orders!G1464-G1464)/Orders!G1464)</f>
        <v>0.519444444444445</v>
      </c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46"/>
      <c r="AE1464" s="46"/>
      <c r="AF1464" s="46"/>
      <c r="AG1464" s="46"/>
      <c r="AH1464" s="46"/>
      <c r="AI1464" s="46"/>
      <c r="AJ1464" s="46"/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</row>
    <row r="1465" customFormat="false" ht="15" hidden="false" customHeight="false" outlineLevel="0" collapsed="false">
      <c r="A1465" s="46" t="str">
        <f aca="false">Orders!A1465</f>
        <v>ORD-01464</v>
      </c>
      <c r="B1465" s="46" t="str">
        <f aca="false">PROPER(TRIM(Orders!K1465))</f>
        <v>Pune</v>
      </c>
      <c r="C1465" s="46" t="str">
        <f aca="false">IFERROR(VLOOKUP(Orders!D1465,Products!$A$2:$F$61,3,FALSE()),"Not Found")</f>
        <v>Electronics</v>
      </c>
      <c r="D1465" s="46" t="str">
        <f aca="false">IFERROR(VLOOKUP(Orders!C1465,Customers!$A$2:$F$301,5,FALSE()),"Not Found")</f>
        <v>Retail</v>
      </c>
      <c r="E1465" s="46" t="n">
        <f aca="false">IFERROR(VLOOKUP(Orders!C1465,Customers!$A$2:$F$301,3,FALSE()),"Not Found")</f>
        <v>59</v>
      </c>
      <c r="F1465" s="46" t="str">
        <f aca="false">IFERROR(VLOOKUP(Orders!E1465,Sales_Reps!$A$2:$E$31,3,FALSE()),"Not Found")</f>
        <v>South</v>
      </c>
      <c r="G1465" s="46" t="n">
        <f aca="false">IFERROR(VLOOKUP(Orders!D1465,Products!$A$2:$F$61,4,FALSE()),"")</f>
        <v>517</v>
      </c>
      <c r="H1465" s="47" t="n">
        <f aca="false">IF(G1465="","",(Orders!G1465-G1465)/Orders!G1465)</f>
        <v>0.576229508196721</v>
      </c>
      <c r="I1465" s="46"/>
      <c r="J1465" s="46"/>
      <c r="K1465" s="46"/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  <c r="AB1465" s="46"/>
      <c r="AC1465" s="46"/>
      <c r="AD1465" s="46"/>
      <c r="AE1465" s="46"/>
      <c r="AF1465" s="46"/>
      <c r="AG1465" s="46"/>
      <c r="AH1465" s="46"/>
      <c r="AI1465" s="46"/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</row>
    <row r="1466" customFormat="false" ht="15" hidden="false" customHeight="false" outlineLevel="0" collapsed="false">
      <c r="A1466" s="46" t="str">
        <f aca="false">Orders!A1466</f>
        <v>ORD-01465</v>
      </c>
      <c r="B1466" s="46" t="str">
        <f aca="false">PROPER(TRIM(Orders!K1466))</f>
        <v>Pune</v>
      </c>
      <c r="C1466" s="46" t="str">
        <f aca="false">IFERROR(VLOOKUP(Orders!D1466,Products!$A$2:$F$61,3,FALSE()),"Not Found")</f>
        <v>Home</v>
      </c>
      <c r="D1466" s="46" t="str">
        <f aca="false">IFERROR(VLOOKUP(Orders!C1466,Customers!$A$2:$F$301,5,FALSE()),"Not Found")</f>
        <v>Not Found</v>
      </c>
      <c r="E1466" s="46" t="str">
        <f aca="false">IFERROR(VLOOKUP(Orders!C1466,Customers!$A$2:$F$301,3,FALSE()),"Not Found")</f>
        <v>Not Found</v>
      </c>
      <c r="F1466" s="46" t="str">
        <f aca="false">IFERROR(VLOOKUP(Orders!E1466,Sales_Reps!$A$2:$E$31,3,FALSE()),"Not Found")</f>
        <v>South</v>
      </c>
      <c r="G1466" s="46" t="n">
        <f aca="false">IFERROR(VLOOKUP(Orders!D1466,Products!$A$2:$F$61,4,FALSE()),"")</f>
        <v>2135</v>
      </c>
      <c r="H1466" s="47" t="n">
        <f aca="false">IF(G1466="","",(Orders!G1466-G1466)/Orders!G1466)</f>
        <v>0.427613941018767</v>
      </c>
      <c r="I1466" s="46"/>
      <c r="J1466" s="46"/>
      <c r="K1466" s="46"/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/>
      <c r="AD1466" s="46"/>
      <c r="AE1466" s="46"/>
      <c r="AF1466" s="46"/>
      <c r="AG1466" s="46"/>
      <c r="AH1466" s="46"/>
      <c r="AI1466" s="46"/>
      <c r="AJ1466" s="46"/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</row>
    <row r="1467" customFormat="false" ht="15" hidden="false" customHeight="false" outlineLevel="0" collapsed="false">
      <c r="A1467" s="46" t="str">
        <f aca="false">Orders!A1467</f>
        <v>ORD-01466</v>
      </c>
      <c r="B1467" s="46" t="str">
        <f aca="false">PROPER(TRIM(Orders!K1467))</f>
        <v>Chennai</v>
      </c>
      <c r="C1467" s="46" t="str">
        <f aca="false">IFERROR(VLOOKUP(Orders!D1467,Products!$A$2:$F$61,3,FALSE()),"Not Found")</f>
        <v>Electronics</v>
      </c>
      <c r="D1467" s="46" t="str">
        <f aca="false">IFERROR(VLOOKUP(Orders!C1467,Customers!$A$2:$F$301,5,FALSE()),"Not Found")</f>
        <v>SMB</v>
      </c>
      <c r="E1467" s="46" t="n">
        <f aca="false">IFERROR(VLOOKUP(Orders!C1467,Customers!$A$2:$F$301,3,FALSE()),"Not Found")</f>
        <v>52</v>
      </c>
      <c r="F1467" s="46" t="str">
        <f aca="false">IFERROR(VLOOKUP(Orders!E1467,Sales_Reps!$A$2:$E$31,3,FALSE()),"Not Found")</f>
        <v>North</v>
      </c>
      <c r="G1467" s="46" t="n">
        <f aca="false">IFERROR(VLOOKUP(Orders!D1467,Products!$A$2:$F$61,4,FALSE()),"")</f>
        <v>861</v>
      </c>
      <c r="H1467" s="47" t="n">
        <f aca="false">IF(G1467="","",(Orders!G1467-G1467)/Orders!G1467)</f>
        <v>0.397902097902098</v>
      </c>
      <c r="I1467" s="46"/>
      <c r="J1467" s="46"/>
      <c r="K1467" s="46"/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  <c r="AB1467" s="46"/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</row>
    <row r="1468" customFormat="false" ht="15" hidden="false" customHeight="false" outlineLevel="0" collapsed="false">
      <c r="A1468" s="46" t="str">
        <f aca="false">Orders!A1468</f>
        <v>ORD-01467</v>
      </c>
      <c r="B1468" s="46" t="str">
        <f aca="false">PROPER(TRIM(Orders!K1468))</f>
        <v>Hyderabad</v>
      </c>
      <c r="C1468" s="46" t="str">
        <f aca="false">IFERROR(VLOOKUP(Orders!D1468,Products!$A$2:$F$61,3,FALSE()),"Not Found")</f>
        <v>Beauty</v>
      </c>
      <c r="D1468" s="46" t="str">
        <f aca="false">IFERROR(VLOOKUP(Orders!C1468,Customers!$A$2:$F$301,5,FALSE()),"Not Found")</f>
        <v>Corporate</v>
      </c>
      <c r="E1468" s="46" t="n">
        <f aca="false">IFERROR(VLOOKUP(Orders!C1468,Customers!$A$2:$F$301,3,FALSE()),"Not Found")</f>
        <v>56</v>
      </c>
      <c r="F1468" s="46" t="str">
        <f aca="false">IFERROR(VLOOKUP(Orders!E1468,Sales_Reps!$A$2:$E$31,3,FALSE()),"Not Found")</f>
        <v>East</v>
      </c>
      <c r="G1468" s="46" t="n">
        <f aca="false">IFERROR(VLOOKUP(Orders!D1468,Products!$A$2:$F$61,4,FALSE()),"")</f>
        <v>2617</v>
      </c>
      <c r="H1468" s="47" t="n">
        <f aca="false">IF(G1468="","",(Orders!G1468-G1468)/Orders!G1468)</f>
        <v>0.569572368421053</v>
      </c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</row>
    <row r="1469" customFormat="false" ht="15" hidden="false" customHeight="false" outlineLevel="0" collapsed="false">
      <c r="A1469" s="46" t="str">
        <f aca="false">Orders!A1469</f>
        <v>ORD-01468</v>
      </c>
      <c r="B1469" s="46" t="str">
        <f aca="false">PROPER(TRIM(Orders!K1469))</f>
        <v>Chennai</v>
      </c>
      <c r="C1469" s="46" t="str">
        <f aca="false">IFERROR(VLOOKUP(Orders!D1469,Products!$A$2:$F$61,3,FALSE()),"Not Found")</f>
        <v>Beauty</v>
      </c>
      <c r="D1469" s="46" t="str">
        <f aca="false">IFERROR(VLOOKUP(Orders!C1469,Customers!$A$2:$F$301,5,FALSE()),"Not Found")</f>
        <v>Retail</v>
      </c>
      <c r="E1469" s="46" t="n">
        <f aca="false">IFERROR(VLOOKUP(Orders!C1469,Customers!$A$2:$F$301,3,FALSE()),"Not Found")</f>
        <v>26</v>
      </c>
      <c r="F1469" s="46" t="str">
        <f aca="false">IFERROR(VLOOKUP(Orders!E1469,Sales_Reps!$A$2:$E$31,3,FALSE()),"Not Found")</f>
        <v>South</v>
      </c>
      <c r="G1469" s="46" t="n">
        <f aca="false">IFERROR(VLOOKUP(Orders!D1469,Products!$A$2:$F$61,4,FALSE()),"")</f>
        <v>2237</v>
      </c>
      <c r="H1469" s="47" t="n">
        <f aca="false">IF(G1469="","",(Orders!G1469-G1469)/Orders!G1469)</f>
        <v>0.561372549019608</v>
      </c>
      <c r="I1469" s="46"/>
      <c r="J1469" s="46"/>
      <c r="K1469" s="46"/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</row>
    <row r="1470" customFormat="false" ht="15" hidden="false" customHeight="false" outlineLevel="0" collapsed="false">
      <c r="A1470" s="46" t="str">
        <f aca="false">Orders!A1470</f>
        <v>ORD-01469</v>
      </c>
      <c r="B1470" s="46" t="str">
        <f aca="false">PROPER(TRIM(Orders!K1470))</f>
        <v>Mumbai</v>
      </c>
      <c r="C1470" s="46" t="str">
        <f aca="false">IFERROR(VLOOKUP(Orders!D1470,Products!$A$2:$F$61,3,FALSE()),"Not Found")</f>
        <v>Apparel</v>
      </c>
      <c r="D1470" s="46" t="str">
        <f aca="false">IFERROR(VLOOKUP(Orders!C1470,Customers!$A$2:$F$301,5,FALSE()),"Not Found")</f>
        <v>SMB</v>
      </c>
      <c r="E1470" s="46" t="n">
        <f aca="false">IFERROR(VLOOKUP(Orders!C1470,Customers!$A$2:$F$301,3,FALSE()),"Not Found")</f>
        <v>43</v>
      </c>
      <c r="F1470" s="46" t="str">
        <f aca="false">IFERROR(VLOOKUP(Orders!E1470,Sales_Reps!$A$2:$E$31,3,FALSE()),"Not Found")</f>
        <v>South</v>
      </c>
      <c r="G1470" s="46" t="n">
        <f aca="false">IFERROR(VLOOKUP(Orders!D1470,Products!$A$2:$F$61,4,FALSE()),"")</f>
        <v>1748</v>
      </c>
      <c r="H1470" s="47" t="n">
        <f aca="false">IF(G1470="","",(Orders!G1470-G1470)/Orders!G1470)</f>
        <v>0.493333333333333</v>
      </c>
      <c r="I1470" s="46"/>
      <c r="J1470" s="46"/>
      <c r="K1470" s="46"/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46"/>
      <c r="AE1470" s="46"/>
      <c r="AF1470" s="46"/>
      <c r="AG1470" s="46"/>
      <c r="AH1470" s="46"/>
      <c r="AI1470" s="46"/>
      <c r="AJ1470" s="46"/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</row>
    <row r="1471" customFormat="false" ht="15" hidden="false" customHeight="false" outlineLevel="0" collapsed="false">
      <c r="A1471" s="46" t="str">
        <f aca="false">Orders!A1471</f>
        <v>ORD-01470</v>
      </c>
      <c r="B1471" s="46" t="str">
        <f aca="false">PROPER(TRIM(Orders!K1471))</f>
        <v>Hyderabad</v>
      </c>
      <c r="C1471" s="46" t="str">
        <f aca="false">IFERROR(VLOOKUP(Orders!D1471,Products!$A$2:$F$61,3,FALSE()),"Not Found")</f>
        <v>Electronics</v>
      </c>
      <c r="D1471" s="46" t="str">
        <f aca="false">IFERROR(VLOOKUP(Orders!C1471,Customers!$A$2:$F$301,5,FALSE()),"Not Found")</f>
        <v>Retail</v>
      </c>
      <c r="E1471" s="46" t="n">
        <f aca="false">IFERROR(VLOOKUP(Orders!C1471,Customers!$A$2:$F$301,3,FALSE()),"Not Found")</f>
        <v>44</v>
      </c>
      <c r="F1471" s="46" t="str">
        <f aca="false">IFERROR(VLOOKUP(Orders!E1471,Sales_Reps!$A$2:$E$31,3,FALSE()),"Not Found")</f>
        <v>North</v>
      </c>
      <c r="G1471" s="46" t="n">
        <f aca="false">IFERROR(VLOOKUP(Orders!D1471,Products!$A$2:$F$61,4,FALSE()),"")</f>
        <v>1665</v>
      </c>
      <c r="H1471" s="47" t="n">
        <f aca="false">IF(G1471="","",(Orders!G1471-G1471)/Orders!G1471)</f>
        <v>0.533613445378151</v>
      </c>
      <c r="I1471" s="46"/>
      <c r="J1471" s="46"/>
      <c r="K1471" s="46"/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</row>
    <row r="1472" customFormat="false" ht="15" hidden="false" customHeight="false" outlineLevel="0" collapsed="false">
      <c r="A1472" s="46" t="str">
        <f aca="false">Orders!A1472</f>
        <v>ORD-01471</v>
      </c>
      <c r="B1472" s="46" t="str">
        <f aca="false">PROPER(TRIM(Orders!K1472))</f>
        <v>Chennai</v>
      </c>
      <c r="C1472" s="46" t="str">
        <f aca="false">IFERROR(VLOOKUP(Orders!D1472,Products!$A$2:$F$61,3,FALSE()),"Not Found")</f>
        <v>Home</v>
      </c>
      <c r="D1472" s="46" t="str">
        <f aca="false">IFERROR(VLOOKUP(Orders!C1472,Customers!$A$2:$F$301,5,FALSE()),"Not Found")</f>
        <v>Retail</v>
      </c>
      <c r="E1472" s="46" t="n">
        <f aca="false">IFERROR(VLOOKUP(Orders!C1472,Customers!$A$2:$F$301,3,FALSE()),"Not Found")</f>
        <v>38</v>
      </c>
      <c r="F1472" s="46" t="str">
        <f aca="false">IFERROR(VLOOKUP(Orders!E1472,Sales_Reps!$A$2:$E$31,3,FALSE()),"Not Found")</f>
        <v>East</v>
      </c>
      <c r="G1472" s="46" t="n">
        <f aca="false">IFERROR(VLOOKUP(Orders!D1472,Products!$A$2:$F$61,4,FALSE()),"")</f>
        <v>2135</v>
      </c>
      <c r="H1472" s="47" t="n">
        <f aca="false">IF(G1472="","",(Orders!G1472-G1472)/Orders!G1472)</f>
        <v>0.427613941018767</v>
      </c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</row>
    <row r="1473" customFormat="false" ht="15" hidden="false" customHeight="false" outlineLevel="0" collapsed="false">
      <c r="A1473" s="46" t="str">
        <f aca="false">Orders!A1473</f>
        <v>ORD-01472</v>
      </c>
      <c r="B1473" s="46" t="str">
        <f aca="false">PROPER(TRIM(Orders!K1473))</f>
        <v>Bengaluru</v>
      </c>
      <c r="C1473" s="46" t="str">
        <f aca="false">IFERROR(VLOOKUP(Orders!D1473,Products!$A$2:$F$61,3,FALSE()),"Not Found")</f>
        <v>Sports</v>
      </c>
      <c r="D1473" s="46" t="str">
        <f aca="false">IFERROR(VLOOKUP(Orders!C1473,Customers!$A$2:$F$301,5,FALSE()),"Not Found")</f>
        <v>Corporate</v>
      </c>
      <c r="E1473" s="46" t="n">
        <f aca="false">IFERROR(VLOOKUP(Orders!C1473,Customers!$A$2:$F$301,3,FALSE()),"Not Found")</f>
        <v>55</v>
      </c>
      <c r="F1473" s="46" t="str">
        <f aca="false">IFERROR(VLOOKUP(Orders!E1473,Sales_Reps!$A$2:$E$31,3,FALSE()),"Not Found")</f>
        <v>East</v>
      </c>
      <c r="G1473" s="46" t="n">
        <f aca="false">IFERROR(VLOOKUP(Orders!D1473,Products!$A$2:$F$61,4,FALSE()),"")</f>
        <v>1860</v>
      </c>
      <c r="H1473" s="47" t="n">
        <f aca="false">IF(G1473="","",(Orders!G1473-G1473)/Orders!G1473)</f>
        <v>0.507936507936508</v>
      </c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</row>
    <row r="1474" customFormat="false" ht="15" hidden="false" customHeight="false" outlineLevel="0" collapsed="false">
      <c r="A1474" s="46" t="str">
        <f aca="false">Orders!A1474</f>
        <v>ORD-01473</v>
      </c>
      <c r="B1474" s="46" t="str">
        <f aca="false">PROPER(TRIM(Orders!K1474))</f>
        <v>Bengaluru</v>
      </c>
      <c r="C1474" s="46" t="str">
        <f aca="false">IFERROR(VLOOKUP(Orders!D1474,Products!$A$2:$F$61,3,FALSE()),"Not Found")</f>
        <v>Apparel</v>
      </c>
      <c r="D1474" s="46" t="str">
        <f aca="false">IFERROR(VLOOKUP(Orders!C1474,Customers!$A$2:$F$301,5,FALSE()),"Not Found")</f>
        <v>SMB</v>
      </c>
      <c r="E1474" s="46" t="n">
        <f aca="false">IFERROR(VLOOKUP(Orders!C1474,Customers!$A$2:$F$301,3,FALSE()),"Not Found")</f>
        <v>42</v>
      </c>
      <c r="F1474" s="46" t="str">
        <f aca="false">IFERROR(VLOOKUP(Orders!E1474,Sales_Reps!$A$2:$E$31,3,FALSE()),"Not Found")</f>
        <v>South</v>
      </c>
      <c r="G1474" s="46" t="n">
        <f aca="false">IFERROR(VLOOKUP(Orders!D1474,Products!$A$2:$F$61,4,FALSE()),"")</f>
        <v>1075</v>
      </c>
      <c r="H1474" s="47" t="n">
        <f aca="false">IF(G1474="","",(Orders!G1474-G1474)/Orders!G1474)</f>
        <v>0.571713147410359</v>
      </c>
      <c r="I1474" s="46"/>
      <c r="J1474" s="46"/>
      <c r="K1474" s="46"/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46"/>
      <c r="AE1474" s="46"/>
      <c r="AF1474" s="46"/>
      <c r="AG1474" s="46"/>
      <c r="AH1474" s="46"/>
      <c r="AI1474" s="46"/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</row>
    <row r="1475" customFormat="false" ht="15" hidden="false" customHeight="false" outlineLevel="0" collapsed="false">
      <c r="A1475" s="46" t="str">
        <f aca="false">Orders!A1475</f>
        <v>ORD-01474</v>
      </c>
      <c r="B1475" s="46" t="str">
        <f aca="false">PROPER(TRIM(Orders!K1475))</f>
        <v>Delhi</v>
      </c>
      <c r="C1475" s="46" t="str">
        <f aca="false">IFERROR(VLOOKUP(Orders!D1475,Products!$A$2:$F$61,3,FALSE()),"Not Found")</f>
        <v>Home</v>
      </c>
      <c r="D1475" s="46" t="str">
        <f aca="false">IFERROR(VLOOKUP(Orders!C1475,Customers!$A$2:$F$301,5,FALSE()),"Not Found")</f>
        <v>Retail</v>
      </c>
      <c r="E1475" s="46" t="n">
        <f aca="false">IFERROR(VLOOKUP(Orders!C1475,Customers!$A$2:$F$301,3,FALSE()),"Not Found")</f>
        <v>63</v>
      </c>
      <c r="F1475" s="46" t="str">
        <f aca="false">IFERROR(VLOOKUP(Orders!E1475,Sales_Reps!$A$2:$E$31,3,FALSE()),"Not Found")</f>
        <v>North</v>
      </c>
      <c r="G1475" s="46" t="n">
        <f aca="false">IFERROR(VLOOKUP(Orders!D1475,Products!$A$2:$F$61,4,FALSE()),"")</f>
        <v>329</v>
      </c>
      <c r="H1475" s="47" t="n">
        <f aca="false">IF(G1475="","",(Orders!G1475-G1475)/Orders!G1475)</f>
        <v>0.501515151515152</v>
      </c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46"/>
      <c r="AE1475" s="46"/>
      <c r="AF1475" s="46"/>
      <c r="AG1475" s="46"/>
      <c r="AH1475" s="46"/>
      <c r="AI1475" s="46"/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</row>
    <row r="1476" customFormat="false" ht="15" hidden="false" customHeight="false" outlineLevel="0" collapsed="false">
      <c r="A1476" s="46" t="str">
        <f aca="false">Orders!A1476</f>
        <v>ORD-01475</v>
      </c>
      <c r="B1476" s="46" t="str">
        <f aca="false">PROPER(TRIM(Orders!K1476))</f>
        <v>Mumbai</v>
      </c>
      <c r="C1476" s="46" t="str">
        <f aca="false">IFERROR(VLOOKUP(Orders!D1476,Products!$A$2:$F$61,3,FALSE()),"Not Found")</f>
        <v>Apparel</v>
      </c>
      <c r="D1476" s="46" t="str">
        <f aca="false">IFERROR(VLOOKUP(Orders!C1476,Customers!$A$2:$F$301,5,FALSE()),"Not Found")</f>
        <v>Retail</v>
      </c>
      <c r="E1476" s="46" t="n">
        <f aca="false">IFERROR(VLOOKUP(Orders!C1476,Customers!$A$2:$F$301,3,FALSE()),"Not Found")</f>
        <v>33</v>
      </c>
      <c r="F1476" s="46" t="str">
        <f aca="false">IFERROR(VLOOKUP(Orders!E1476,Sales_Reps!$A$2:$E$31,3,FALSE()),"Not Found")</f>
        <v>West</v>
      </c>
      <c r="G1476" s="46" t="n">
        <f aca="false">IFERROR(VLOOKUP(Orders!D1476,Products!$A$2:$F$61,4,FALSE()),"")</f>
        <v>2611</v>
      </c>
      <c r="H1476" s="47" t="n">
        <f aca="false">IF(G1476="","",(Orders!G1476-G1476)/Orders!G1476)</f>
        <v>0.282692307692308</v>
      </c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/>
      <c r="AE1476" s="46"/>
      <c r="AF1476" s="46"/>
      <c r="AG1476" s="46"/>
      <c r="AH1476" s="46"/>
      <c r="AI1476" s="46"/>
      <c r="AJ1476" s="46"/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</row>
    <row r="1477" customFormat="false" ht="15" hidden="false" customHeight="false" outlineLevel="0" collapsed="false">
      <c r="A1477" s="46" t="str">
        <f aca="false">Orders!A1477</f>
        <v>ORD-01476</v>
      </c>
      <c r="B1477" s="46" t="str">
        <f aca="false">PROPER(TRIM(Orders!K1477))</f>
        <v>Chennai</v>
      </c>
      <c r="C1477" s="46" t="str">
        <f aca="false">IFERROR(VLOOKUP(Orders!D1477,Products!$A$2:$F$61,3,FALSE()),"Not Found")</f>
        <v>Sports</v>
      </c>
      <c r="D1477" s="46" t="str">
        <f aca="false">IFERROR(VLOOKUP(Orders!C1477,Customers!$A$2:$F$301,5,FALSE()),"Not Found")</f>
        <v>Corporate</v>
      </c>
      <c r="E1477" s="46" t="n">
        <f aca="false">IFERROR(VLOOKUP(Orders!C1477,Customers!$A$2:$F$301,3,FALSE()),"Not Found")</f>
        <v>52</v>
      </c>
      <c r="F1477" s="46" t="str">
        <f aca="false">IFERROR(VLOOKUP(Orders!E1477,Sales_Reps!$A$2:$E$31,3,FALSE()),"Not Found")</f>
        <v>East</v>
      </c>
      <c r="G1477" s="46" t="n">
        <f aca="false">IFERROR(VLOOKUP(Orders!D1477,Products!$A$2:$F$61,4,FALSE()),"")</f>
        <v>2265</v>
      </c>
      <c r="H1477" s="47" t="n">
        <f aca="false">IF(G1477="","",(Orders!G1477-G1477)/Orders!G1477)</f>
        <v>0.581330868761553</v>
      </c>
      <c r="I1477" s="46"/>
      <c r="J1477" s="46"/>
      <c r="K1477" s="46"/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/>
      <c r="AZ1477" s="46"/>
    </row>
    <row r="1478" customFormat="false" ht="15" hidden="false" customHeight="false" outlineLevel="0" collapsed="false">
      <c r="A1478" s="46" t="str">
        <f aca="false">Orders!A1478</f>
        <v>ORD-01477</v>
      </c>
      <c r="B1478" s="46" t="str">
        <f aca="false">PROPER(TRIM(Orders!K1478))</f>
        <v>Mumbai</v>
      </c>
      <c r="C1478" s="46" t="str">
        <f aca="false">IFERROR(VLOOKUP(Orders!D1478,Products!$A$2:$F$61,3,FALSE()),"Not Found")</f>
        <v>Sports</v>
      </c>
      <c r="D1478" s="46" t="str">
        <f aca="false">IFERROR(VLOOKUP(Orders!C1478,Customers!$A$2:$F$301,5,FALSE()),"Not Found")</f>
        <v>Retail</v>
      </c>
      <c r="E1478" s="46" t="n">
        <f aca="false">IFERROR(VLOOKUP(Orders!C1478,Customers!$A$2:$F$301,3,FALSE()),"Not Found")</f>
        <v>40</v>
      </c>
      <c r="F1478" s="46" t="str">
        <f aca="false">IFERROR(VLOOKUP(Orders!E1478,Sales_Reps!$A$2:$E$31,3,FALSE()),"Not Found")</f>
        <v>North</v>
      </c>
      <c r="G1478" s="46" t="n">
        <f aca="false">IFERROR(VLOOKUP(Orders!D1478,Products!$A$2:$F$61,4,FALSE()),"")</f>
        <v>974</v>
      </c>
      <c r="H1478" s="47" t="n">
        <f aca="false">IF(G1478="","",(Orders!G1478-G1478)/Orders!G1478)</f>
        <v>0.594166666666667</v>
      </c>
      <c r="I1478" s="46"/>
      <c r="J1478" s="46"/>
      <c r="K1478" s="46"/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46"/>
      <c r="AE1478" s="46"/>
      <c r="AF1478" s="46"/>
      <c r="AG1478" s="46"/>
      <c r="AH1478" s="46"/>
      <c r="AI1478" s="46"/>
      <c r="AJ1478" s="46"/>
      <c r="AK1478" s="46"/>
      <c r="AL1478" s="46"/>
      <c r="AM1478" s="46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/>
      <c r="AZ1478" s="46"/>
    </row>
    <row r="1479" customFormat="false" ht="15" hidden="false" customHeight="false" outlineLevel="0" collapsed="false">
      <c r="A1479" s="46" t="str">
        <f aca="false">Orders!A1479</f>
        <v>ORD-01478</v>
      </c>
      <c r="B1479" s="46" t="str">
        <f aca="false">PROPER(TRIM(Orders!K1479))</f>
        <v>Chennai</v>
      </c>
      <c r="C1479" s="46" t="str">
        <f aca="false">IFERROR(VLOOKUP(Orders!D1479,Products!$A$2:$F$61,3,FALSE()),"Not Found")</f>
        <v>Home</v>
      </c>
      <c r="D1479" s="46" t="str">
        <f aca="false">IFERROR(VLOOKUP(Orders!C1479,Customers!$A$2:$F$301,5,FALSE()),"Not Found")</f>
        <v>Corporate</v>
      </c>
      <c r="E1479" s="46" t="n">
        <f aca="false">IFERROR(VLOOKUP(Orders!C1479,Customers!$A$2:$F$301,3,FALSE()),"Not Found")</f>
        <v>35</v>
      </c>
      <c r="F1479" s="46" t="str">
        <f aca="false">IFERROR(VLOOKUP(Orders!E1479,Sales_Reps!$A$2:$E$31,3,FALSE()),"Not Found")</f>
        <v>West</v>
      </c>
      <c r="G1479" s="46" t="n">
        <f aca="false">IFERROR(VLOOKUP(Orders!D1479,Products!$A$2:$F$61,4,FALSE()),"")</f>
        <v>2549</v>
      </c>
      <c r="H1479" s="47" t="n">
        <f aca="false">IF(G1479="","",(Orders!G1479-G1479)/Orders!G1479)</f>
        <v>0.535701275045537</v>
      </c>
      <c r="I1479" s="46"/>
      <c r="J1479" s="46"/>
      <c r="K1479" s="46"/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/>
      <c r="AZ1479" s="46"/>
    </row>
    <row r="1480" customFormat="false" ht="15" hidden="false" customHeight="false" outlineLevel="0" collapsed="false">
      <c r="A1480" s="46" t="str">
        <f aca="false">Orders!A1480</f>
        <v>ORD-01479</v>
      </c>
      <c r="B1480" s="46" t="str">
        <f aca="false">PROPER(TRIM(Orders!K1480))</f>
        <v>Pune</v>
      </c>
      <c r="C1480" s="46" t="str">
        <f aca="false">IFERROR(VLOOKUP(Orders!D1480,Products!$A$2:$F$61,3,FALSE()),"Not Found")</f>
        <v>Beauty</v>
      </c>
      <c r="D1480" s="46" t="str">
        <f aca="false">IFERROR(VLOOKUP(Orders!C1480,Customers!$A$2:$F$301,5,FALSE()),"Not Found")</f>
        <v>Retail</v>
      </c>
      <c r="E1480" s="46" t="n">
        <f aca="false">IFERROR(VLOOKUP(Orders!C1480,Customers!$A$2:$F$301,3,FALSE()),"Not Found")</f>
        <v>42</v>
      </c>
      <c r="F1480" s="46" t="str">
        <f aca="false">IFERROR(VLOOKUP(Orders!E1480,Sales_Reps!$A$2:$E$31,3,FALSE()),"Not Found")</f>
        <v>South</v>
      </c>
      <c r="G1480" s="46" t="n">
        <f aca="false">IFERROR(VLOOKUP(Orders!D1480,Products!$A$2:$F$61,4,FALSE()),"")</f>
        <v>647</v>
      </c>
      <c r="H1480" s="47" t="n">
        <f aca="false">IF(G1480="","",(Orders!G1480-G1480)/Orders!G1480)</f>
        <v>0.57987012987013</v>
      </c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  <c r="AB1480" s="46"/>
      <c r="AC1480" s="46"/>
      <c r="AD1480" s="46"/>
      <c r="AE1480" s="46"/>
      <c r="AF1480" s="46"/>
      <c r="AG1480" s="46"/>
      <c r="AH1480" s="46"/>
      <c r="AI1480" s="46"/>
      <c r="AJ1480" s="46"/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/>
      <c r="AZ1480" s="46"/>
    </row>
    <row r="1481" customFormat="false" ht="15" hidden="false" customHeight="false" outlineLevel="0" collapsed="false">
      <c r="A1481" s="46" t="str">
        <f aca="false">Orders!A1481</f>
        <v>ORD-01480</v>
      </c>
      <c r="B1481" s="46" t="str">
        <f aca="false">PROPER(TRIM(Orders!K1481))</f>
        <v>Hyderabad</v>
      </c>
      <c r="C1481" s="46" t="str">
        <f aca="false">IFERROR(VLOOKUP(Orders!D1481,Products!$A$2:$F$61,3,FALSE()),"Not Found")</f>
        <v>Electronics</v>
      </c>
      <c r="D1481" s="46" t="str">
        <f aca="false">IFERROR(VLOOKUP(Orders!C1481,Customers!$A$2:$F$301,5,FALSE()),"Not Found")</f>
        <v>Retail</v>
      </c>
      <c r="E1481" s="46" t="n">
        <f aca="false">IFERROR(VLOOKUP(Orders!C1481,Customers!$A$2:$F$301,3,FALSE()),"Not Found")</f>
        <v>31</v>
      </c>
      <c r="F1481" s="46" t="str">
        <f aca="false">IFERROR(VLOOKUP(Orders!E1481,Sales_Reps!$A$2:$E$31,3,FALSE()),"Not Found")</f>
        <v>North</v>
      </c>
      <c r="G1481" s="46" t="n">
        <f aca="false">IFERROR(VLOOKUP(Orders!D1481,Products!$A$2:$F$61,4,FALSE()),"")</f>
        <v>2405</v>
      </c>
      <c r="H1481" s="47" t="n">
        <f aca="false">IF(G1481="","",(Orders!G1481-G1481)/Orders!G1481)</f>
        <v>0.548780487804878</v>
      </c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</row>
    <row r="1482" customFormat="false" ht="15" hidden="false" customHeight="false" outlineLevel="0" collapsed="false">
      <c r="A1482" s="46" t="str">
        <f aca="false">Orders!A1482</f>
        <v>ORD-01481</v>
      </c>
      <c r="B1482" s="46" t="str">
        <f aca="false">PROPER(TRIM(Orders!K1482))</f>
        <v>Hyderabad</v>
      </c>
      <c r="C1482" s="46" t="str">
        <f aca="false">IFERROR(VLOOKUP(Orders!D1482,Products!$A$2:$F$61,3,FALSE()),"Not Found")</f>
        <v>Sports</v>
      </c>
      <c r="D1482" s="46" t="str">
        <f aca="false">IFERROR(VLOOKUP(Orders!C1482,Customers!$A$2:$F$301,5,FALSE()),"Not Found")</f>
        <v>Corporate</v>
      </c>
      <c r="E1482" s="46" t="n">
        <f aca="false">IFERROR(VLOOKUP(Orders!C1482,Customers!$A$2:$F$301,3,FALSE()),"Not Found")</f>
        <v>60</v>
      </c>
      <c r="F1482" s="46" t="str">
        <f aca="false">IFERROR(VLOOKUP(Orders!E1482,Sales_Reps!$A$2:$E$31,3,FALSE()),"Not Found")</f>
        <v>South</v>
      </c>
      <c r="G1482" s="46" t="n">
        <f aca="false">IFERROR(VLOOKUP(Orders!D1482,Products!$A$2:$F$61,4,FALSE()),"")</f>
        <v>2028</v>
      </c>
      <c r="H1482" s="47" t="n">
        <f aca="false">IF(G1482="","",(Orders!G1482-G1482)/Orders!G1482)</f>
        <v>0.290909090909091</v>
      </c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/>
      <c r="AZ1482" s="46"/>
    </row>
    <row r="1483" customFormat="false" ht="15" hidden="false" customHeight="false" outlineLevel="0" collapsed="false">
      <c r="A1483" s="46" t="str">
        <f aca="false">Orders!A1483</f>
        <v>ORD-01482</v>
      </c>
      <c r="B1483" s="46" t="str">
        <f aca="false">PROPER(TRIM(Orders!K1483))</f>
        <v>Mumbai</v>
      </c>
      <c r="C1483" s="46" t="str">
        <f aca="false">IFERROR(VLOOKUP(Orders!D1483,Products!$A$2:$F$61,3,FALSE()),"Not Found")</f>
        <v>Beauty</v>
      </c>
      <c r="D1483" s="46" t="str">
        <f aca="false">IFERROR(VLOOKUP(Orders!C1483,Customers!$A$2:$F$301,5,FALSE()),"Not Found")</f>
        <v>Retail</v>
      </c>
      <c r="E1483" s="46" t="n">
        <f aca="false">IFERROR(VLOOKUP(Orders!C1483,Customers!$A$2:$F$301,3,FALSE()),"Not Found")</f>
        <v>52</v>
      </c>
      <c r="F1483" s="46" t="str">
        <f aca="false">IFERROR(VLOOKUP(Orders!E1483,Sales_Reps!$A$2:$E$31,3,FALSE()),"Not Found")</f>
        <v>North</v>
      </c>
      <c r="G1483" s="46" t="n">
        <f aca="false">IFERROR(VLOOKUP(Orders!D1483,Products!$A$2:$F$61,4,FALSE()),"")</f>
        <v>2768</v>
      </c>
      <c r="H1483" s="47" t="n">
        <f aca="false">IF(G1483="","",(Orders!G1483-G1483)/Orders!G1483)</f>
        <v>0.432786885245902</v>
      </c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/>
      <c r="AE1483" s="46"/>
      <c r="AF1483" s="46"/>
      <c r="AG1483" s="46"/>
      <c r="AH1483" s="46"/>
      <c r="AI1483" s="46"/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/>
      <c r="AZ1483" s="46"/>
    </row>
    <row r="1484" customFormat="false" ht="15" hidden="false" customHeight="false" outlineLevel="0" collapsed="false">
      <c r="A1484" s="46" t="str">
        <f aca="false">Orders!A1484</f>
        <v>ORD-01483</v>
      </c>
      <c r="B1484" s="46" t="str">
        <f aca="false">PROPER(TRIM(Orders!K1484))</f>
        <v>Delhi</v>
      </c>
      <c r="C1484" s="46" t="str">
        <f aca="false">IFERROR(VLOOKUP(Orders!D1484,Products!$A$2:$F$61,3,FALSE()),"Not Found")</f>
        <v>Apparel</v>
      </c>
      <c r="D1484" s="46" t="str">
        <f aca="false">IFERROR(VLOOKUP(Orders!C1484,Customers!$A$2:$F$301,5,FALSE()),"Not Found")</f>
        <v>SMB</v>
      </c>
      <c r="E1484" s="46" t="n">
        <f aca="false">IFERROR(VLOOKUP(Orders!C1484,Customers!$A$2:$F$301,3,FALSE()),"Not Found")</f>
        <v>59</v>
      </c>
      <c r="F1484" s="46" t="str">
        <f aca="false">IFERROR(VLOOKUP(Orders!E1484,Sales_Reps!$A$2:$E$31,3,FALSE()),"Not Found")</f>
        <v>North</v>
      </c>
      <c r="G1484" s="46" t="n">
        <f aca="false">IFERROR(VLOOKUP(Orders!D1484,Products!$A$2:$F$61,4,FALSE()),"")</f>
        <v>1075</v>
      </c>
      <c r="H1484" s="47" t="n">
        <f aca="false">IF(G1484="","",(Orders!G1484-G1484)/Orders!G1484)</f>
        <v>0.571713147410359</v>
      </c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</row>
    <row r="1485" customFormat="false" ht="15" hidden="false" customHeight="false" outlineLevel="0" collapsed="false">
      <c r="A1485" s="46" t="str">
        <f aca="false">Orders!A1485</f>
        <v>ORD-01484</v>
      </c>
      <c r="B1485" s="46" t="str">
        <f aca="false">PROPER(TRIM(Orders!K1485))</f>
        <v>Pune</v>
      </c>
      <c r="C1485" s="46" t="str">
        <f aca="false">IFERROR(VLOOKUP(Orders!D1485,Products!$A$2:$F$61,3,FALSE()),"Not Found")</f>
        <v>Electronics</v>
      </c>
      <c r="D1485" s="46" t="str">
        <f aca="false">IFERROR(VLOOKUP(Orders!C1485,Customers!$A$2:$F$301,5,FALSE()),"Not Found")</f>
        <v>Not Found</v>
      </c>
      <c r="E1485" s="46" t="str">
        <f aca="false">IFERROR(VLOOKUP(Orders!C1485,Customers!$A$2:$F$301,3,FALSE()),"Not Found")</f>
        <v>Not Found</v>
      </c>
      <c r="F1485" s="46" t="str">
        <f aca="false">IFERROR(VLOOKUP(Orders!E1485,Sales_Reps!$A$2:$E$31,3,FALSE()),"Not Found")</f>
        <v>East</v>
      </c>
      <c r="G1485" s="46" t="n">
        <f aca="false">IFERROR(VLOOKUP(Orders!D1485,Products!$A$2:$F$61,4,FALSE()),"")</f>
        <v>2865</v>
      </c>
      <c r="H1485" s="47" t="n">
        <f aca="false">IF(G1485="","",(Orders!G1485-G1485)/Orders!G1485)</f>
        <v>0.278337531486146</v>
      </c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/>
      <c r="AZ1485" s="46"/>
    </row>
    <row r="1486" customFormat="false" ht="15" hidden="false" customHeight="false" outlineLevel="0" collapsed="false">
      <c r="A1486" s="46" t="str">
        <f aca="false">Orders!A1486</f>
        <v>ORD-01485</v>
      </c>
      <c r="B1486" s="46" t="str">
        <f aca="false">PROPER(TRIM(Orders!K1486))</f>
        <v>Mumbai</v>
      </c>
      <c r="C1486" s="46" t="str">
        <f aca="false">IFERROR(VLOOKUP(Orders!D1486,Products!$A$2:$F$61,3,FALSE()),"Not Found")</f>
        <v>Sports</v>
      </c>
      <c r="D1486" s="46" t="str">
        <f aca="false">IFERROR(VLOOKUP(Orders!C1486,Customers!$A$2:$F$301,5,FALSE()),"Not Found")</f>
        <v>Retail</v>
      </c>
      <c r="E1486" s="46" t="n">
        <f aca="false">IFERROR(VLOOKUP(Orders!C1486,Customers!$A$2:$F$301,3,FALSE()),"Not Found")</f>
        <v>44</v>
      </c>
      <c r="F1486" s="46" t="str">
        <f aca="false">IFERROR(VLOOKUP(Orders!E1486,Sales_Reps!$A$2:$E$31,3,FALSE()),"Not Found")</f>
        <v>West</v>
      </c>
      <c r="G1486" s="46" t="n">
        <f aca="false">IFERROR(VLOOKUP(Orders!D1486,Products!$A$2:$F$61,4,FALSE()),"")</f>
        <v>302</v>
      </c>
      <c r="H1486" s="47" t="n">
        <f aca="false">IF(G1486="","",(Orders!G1486-G1486)/Orders!G1486)</f>
        <v>0.357446808510638</v>
      </c>
      <c r="I1486" s="46"/>
      <c r="J1486" s="46"/>
      <c r="K1486" s="46"/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46"/>
      <c r="AY1486" s="46"/>
      <c r="AZ1486" s="46"/>
    </row>
    <row r="1487" customFormat="false" ht="15" hidden="false" customHeight="false" outlineLevel="0" collapsed="false">
      <c r="A1487" s="46" t="str">
        <f aca="false">Orders!A1487</f>
        <v>ORD-01486</v>
      </c>
      <c r="B1487" s="46" t="str">
        <f aca="false">PROPER(TRIM(Orders!K1487))</f>
        <v>Hyderabad</v>
      </c>
      <c r="C1487" s="46" t="str">
        <f aca="false">IFERROR(VLOOKUP(Orders!D1487,Products!$A$2:$F$61,3,FALSE()),"Not Found")</f>
        <v>Electronics</v>
      </c>
      <c r="D1487" s="46" t="str">
        <f aca="false">IFERROR(VLOOKUP(Orders!C1487,Customers!$A$2:$F$301,5,FALSE()),"Not Found")</f>
        <v>Retail</v>
      </c>
      <c r="E1487" s="46" t="n">
        <f aca="false">IFERROR(VLOOKUP(Orders!C1487,Customers!$A$2:$F$301,3,FALSE()),"Not Found")</f>
        <v>29</v>
      </c>
      <c r="F1487" s="46" t="str">
        <f aca="false">IFERROR(VLOOKUP(Orders!E1487,Sales_Reps!$A$2:$E$31,3,FALSE()),"Not Found")</f>
        <v>West</v>
      </c>
      <c r="G1487" s="46" t="n">
        <f aca="false">IFERROR(VLOOKUP(Orders!D1487,Products!$A$2:$F$61,4,FALSE()),"")</f>
        <v>2405</v>
      </c>
      <c r="H1487" s="47" t="n">
        <f aca="false">IF(G1487="","",(Orders!G1487-G1487)/Orders!G1487)</f>
        <v>0.548780487804878</v>
      </c>
      <c r="I1487" s="46"/>
      <c r="J1487" s="46"/>
      <c r="K1487" s="46"/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/>
      <c r="AE1487" s="46"/>
      <c r="AF1487" s="46"/>
      <c r="AG1487" s="46"/>
      <c r="AH1487" s="46"/>
      <c r="AI1487" s="46"/>
      <c r="AJ1487" s="46"/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46"/>
      <c r="AY1487" s="46"/>
      <c r="AZ1487" s="46"/>
    </row>
    <row r="1488" customFormat="false" ht="15" hidden="false" customHeight="false" outlineLevel="0" collapsed="false">
      <c r="A1488" s="46" t="str">
        <f aca="false">Orders!A1488</f>
        <v>ORD-01487</v>
      </c>
      <c r="B1488" s="46" t="str">
        <f aca="false">PROPER(TRIM(Orders!K1488))</f>
        <v>Bengaluru</v>
      </c>
      <c r="C1488" s="46" t="str">
        <f aca="false">IFERROR(VLOOKUP(Orders!D1488,Products!$A$2:$F$61,3,FALSE()),"Not Found")</f>
        <v>Home</v>
      </c>
      <c r="D1488" s="46" t="str">
        <f aca="false">IFERROR(VLOOKUP(Orders!C1488,Customers!$A$2:$F$301,5,FALSE()),"Not Found")</f>
        <v>SMB</v>
      </c>
      <c r="E1488" s="46" t="n">
        <f aca="false">IFERROR(VLOOKUP(Orders!C1488,Customers!$A$2:$F$301,3,FALSE()),"Not Found")</f>
        <v>46</v>
      </c>
      <c r="F1488" s="46" t="str">
        <f aca="false">IFERROR(VLOOKUP(Orders!E1488,Sales_Reps!$A$2:$E$31,3,FALSE()),"Not Found")</f>
        <v>South</v>
      </c>
      <c r="G1488" s="46" t="n">
        <f aca="false">IFERROR(VLOOKUP(Orders!D1488,Products!$A$2:$F$61,4,FALSE()),"")</f>
        <v>464</v>
      </c>
      <c r="H1488" s="47" t="n">
        <f aca="false">IF(G1488="","",(Orders!G1488-G1488)/Orders!G1488)</f>
        <v>0.574311926605505</v>
      </c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46"/>
      <c r="AE1488" s="46"/>
      <c r="AF1488" s="46"/>
      <c r="AG1488" s="46"/>
      <c r="AH1488" s="46"/>
      <c r="AI1488" s="46"/>
      <c r="AJ1488" s="46"/>
      <c r="AK1488" s="46"/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46"/>
      <c r="AY1488" s="46"/>
      <c r="AZ1488" s="46"/>
    </row>
    <row r="1489" customFormat="false" ht="15" hidden="false" customHeight="false" outlineLevel="0" collapsed="false">
      <c r="A1489" s="46" t="str">
        <f aca="false">Orders!A1489</f>
        <v>ORD-01488</v>
      </c>
      <c r="B1489" s="46" t="str">
        <f aca="false">PROPER(TRIM(Orders!K1489))</f>
        <v>Pune</v>
      </c>
      <c r="C1489" s="46" t="str">
        <f aca="false">IFERROR(VLOOKUP(Orders!D1489,Products!$A$2:$F$61,3,FALSE()),"Not Found")</f>
        <v>Sports</v>
      </c>
      <c r="D1489" s="46" t="str">
        <f aca="false">IFERROR(VLOOKUP(Orders!C1489,Customers!$A$2:$F$301,5,FALSE()),"Not Found")</f>
        <v>SMB</v>
      </c>
      <c r="E1489" s="46" t="n">
        <f aca="false">IFERROR(VLOOKUP(Orders!C1489,Customers!$A$2:$F$301,3,FALSE()),"Not Found")</f>
        <v>30</v>
      </c>
      <c r="F1489" s="46" t="str">
        <f aca="false">IFERROR(VLOOKUP(Orders!E1489,Sales_Reps!$A$2:$E$31,3,FALSE()),"Not Found")</f>
        <v>South</v>
      </c>
      <c r="G1489" s="46" t="n">
        <f aca="false">IFERROR(VLOOKUP(Orders!D1489,Products!$A$2:$F$61,4,FALSE()),"")</f>
        <v>516</v>
      </c>
      <c r="H1489" s="47" t="n">
        <f aca="false">IF(G1489="","",(Orders!G1489-G1489)/Orders!G1489)</f>
        <v>0.489108910891089</v>
      </c>
      <c r="I1489" s="46"/>
      <c r="J1489" s="46"/>
      <c r="K1489" s="46"/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/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46"/>
      <c r="AY1489" s="46"/>
      <c r="AZ1489" s="46"/>
    </row>
    <row r="1490" customFormat="false" ht="15" hidden="false" customHeight="false" outlineLevel="0" collapsed="false">
      <c r="A1490" s="46" t="str">
        <f aca="false">Orders!A1490</f>
        <v>ORD-01489</v>
      </c>
      <c r="B1490" s="46" t="str">
        <f aca="false">PROPER(TRIM(Orders!K1490))</f>
        <v>Pune</v>
      </c>
      <c r="C1490" s="46" t="str">
        <f aca="false">IFERROR(VLOOKUP(Orders!D1490,Products!$A$2:$F$61,3,FALSE()),"Not Found")</f>
        <v>Electronics</v>
      </c>
      <c r="D1490" s="46" t="str">
        <f aca="false">IFERROR(VLOOKUP(Orders!C1490,Customers!$A$2:$F$301,5,FALSE()),"Not Found")</f>
        <v>Corporate</v>
      </c>
      <c r="E1490" s="46" t="n">
        <f aca="false">IFERROR(VLOOKUP(Orders!C1490,Customers!$A$2:$F$301,3,FALSE()),"Not Found")</f>
        <v>40</v>
      </c>
      <c r="F1490" s="46" t="str">
        <f aca="false">IFERROR(VLOOKUP(Orders!E1490,Sales_Reps!$A$2:$E$31,3,FALSE()),"Not Found")</f>
        <v>South</v>
      </c>
      <c r="G1490" s="46" t="n">
        <f aca="false">IFERROR(VLOOKUP(Orders!D1490,Products!$A$2:$F$61,4,FALSE()),"")</f>
        <v>1559</v>
      </c>
      <c r="H1490" s="47" t="n">
        <f aca="false">IF(G1490="","",(Orders!G1490-G1490)/Orders!G1490)</f>
        <v>0.597157622739018</v>
      </c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</row>
    <row r="1491" customFormat="false" ht="15" hidden="false" customHeight="false" outlineLevel="0" collapsed="false">
      <c r="A1491" s="46" t="str">
        <f aca="false">Orders!A1491</f>
        <v>ORD-01490</v>
      </c>
      <c r="B1491" s="46" t="str">
        <f aca="false">PROPER(TRIM(Orders!K1491))</f>
        <v>Hyderabad</v>
      </c>
      <c r="C1491" s="46" t="str">
        <f aca="false">IFERROR(VLOOKUP(Orders!D1491,Products!$A$2:$F$61,3,FALSE()),"Not Found")</f>
        <v>Electronics</v>
      </c>
      <c r="D1491" s="46" t="str">
        <f aca="false">IFERROR(VLOOKUP(Orders!C1491,Customers!$A$2:$F$301,5,FALSE()),"Not Found")</f>
        <v>Retail</v>
      </c>
      <c r="E1491" s="46" t="n">
        <f aca="false">IFERROR(VLOOKUP(Orders!C1491,Customers!$A$2:$F$301,3,FALSE()),"Not Found")</f>
        <v>41</v>
      </c>
      <c r="F1491" s="46" t="str">
        <f aca="false">IFERROR(VLOOKUP(Orders!E1491,Sales_Reps!$A$2:$E$31,3,FALSE()),"Not Found")</f>
        <v>South</v>
      </c>
      <c r="G1491" s="46" t="n">
        <f aca="false">IFERROR(VLOOKUP(Orders!D1491,Products!$A$2:$F$61,4,FALSE()),"")</f>
        <v>1259</v>
      </c>
      <c r="H1491" s="47" t="n">
        <f aca="false">IF(G1491="","",(Orders!G1491-G1491)/Orders!G1491)</f>
        <v>0.526691729323308</v>
      </c>
      <c r="I1491" s="46"/>
      <c r="J1491" s="46"/>
      <c r="K1491" s="46"/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/>
      <c r="AD1491" s="46"/>
      <c r="AE1491" s="46"/>
      <c r="AF1491" s="46"/>
      <c r="AG1491" s="46"/>
      <c r="AH1491" s="46"/>
      <c r="AI1491" s="46"/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</row>
    <row r="1492" customFormat="false" ht="15" hidden="false" customHeight="false" outlineLevel="0" collapsed="false">
      <c r="A1492" s="46" t="str">
        <f aca="false">Orders!A1492</f>
        <v>ORD-01491</v>
      </c>
      <c r="B1492" s="46" t="str">
        <f aca="false">PROPER(TRIM(Orders!K1492))</f>
        <v>Mumbai</v>
      </c>
      <c r="C1492" s="46" t="str">
        <f aca="false">IFERROR(VLOOKUP(Orders!D1492,Products!$A$2:$F$61,3,FALSE()),"Not Found")</f>
        <v>Electronics</v>
      </c>
      <c r="D1492" s="46" t="str">
        <f aca="false">IFERROR(VLOOKUP(Orders!C1492,Customers!$A$2:$F$301,5,FALSE()),"Not Found")</f>
        <v>Corporate</v>
      </c>
      <c r="E1492" s="46" t="n">
        <f aca="false">IFERROR(VLOOKUP(Orders!C1492,Customers!$A$2:$F$301,3,FALSE()),"Not Found")</f>
        <v>55</v>
      </c>
      <c r="F1492" s="46" t="str">
        <f aca="false">IFERROR(VLOOKUP(Orders!E1492,Sales_Reps!$A$2:$E$31,3,FALSE()),"Not Found")</f>
        <v>East</v>
      </c>
      <c r="G1492" s="46" t="n">
        <f aca="false">IFERROR(VLOOKUP(Orders!D1492,Products!$A$2:$F$61,4,FALSE()),"")</f>
        <v>861</v>
      </c>
      <c r="H1492" s="47" t="n">
        <f aca="false">IF(G1492="","",(Orders!G1492-G1492)/Orders!G1492)</f>
        <v>0.397902097902098</v>
      </c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46"/>
      <c r="AE1492" s="46"/>
      <c r="AF1492" s="46"/>
      <c r="AG1492" s="46"/>
      <c r="AH1492" s="46"/>
      <c r="AI1492" s="46"/>
      <c r="AJ1492" s="46"/>
      <c r="AK1492" s="46"/>
      <c r="AL1492" s="46"/>
      <c r="AM1492" s="46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</row>
    <row r="1493" customFormat="false" ht="15" hidden="false" customHeight="false" outlineLevel="0" collapsed="false">
      <c r="A1493" s="46" t="str">
        <f aca="false">Orders!A1493</f>
        <v>ORD-01492</v>
      </c>
      <c r="B1493" s="46" t="str">
        <f aca="false">PROPER(TRIM(Orders!K1493))</f>
        <v>Bengaluru</v>
      </c>
      <c r="C1493" s="46" t="str">
        <f aca="false">IFERROR(VLOOKUP(Orders!D1493,Products!$A$2:$F$61,3,FALSE()),"Not Found")</f>
        <v>Beauty</v>
      </c>
      <c r="D1493" s="46" t="str">
        <f aca="false">IFERROR(VLOOKUP(Orders!C1493,Customers!$A$2:$F$301,5,FALSE()),"Not Found")</f>
        <v>Corporate</v>
      </c>
      <c r="E1493" s="46" t="n">
        <f aca="false">IFERROR(VLOOKUP(Orders!C1493,Customers!$A$2:$F$301,3,FALSE()),"Not Found")</f>
        <v>36</v>
      </c>
      <c r="F1493" s="46" t="str">
        <f aca="false">IFERROR(VLOOKUP(Orders!E1493,Sales_Reps!$A$2:$E$31,3,FALSE()),"Not Found")</f>
        <v>East</v>
      </c>
      <c r="G1493" s="46" t="n">
        <f aca="false">IFERROR(VLOOKUP(Orders!D1493,Products!$A$2:$F$61,4,FALSE()),"")</f>
        <v>2768</v>
      </c>
      <c r="H1493" s="47" t="n">
        <f aca="false">IF(G1493="","",(Orders!G1493-G1493)/Orders!G1493)</f>
        <v>0.432786885245902</v>
      </c>
      <c r="I1493" s="46"/>
      <c r="J1493" s="46"/>
      <c r="K1493" s="46"/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/>
      <c r="AE1493" s="46"/>
      <c r="AF1493" s="46"/>
      <c r="AG1493" s="46"/>
      <c r="AH1493" s="46"/>
      <c r="AI1493" s="46"/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</row>
    <row r="1494" customFormat="false" ht="15" hidden="false" customHeight="false" outlineLevel="0" collapsed="false">
      <c r="A1494" s="46" t="str">
        <f aca="false">Orders!A1494</f>
        <v>ORD-01493</v>
      </c>
      <c r="B1494" s="46" t="str">
        <f aca="false">PROPER(TRIM(Orders!K1494))</f>
        <v>Bengaluru</v>
      </c>
      <c r="C1494" s="46" t="str">
        <f aca="false">IFERROR(VLOOKUP(Orders!D1494,Products!$A$2:$F$61,3,FALSE()),"Not Found")</f>
        <v>Sports</v>
      </c>
      <c r="D1494" s="46" t="str">
        <f aca="false">IFERROR(VLOOKUP(Orders!C1494,Customers!$A$2:$F$301,5,FALSE()),"Not Found")</f>
        <v>Retail</v>
      </c>
      <c r="E1494" s="46" t="n">
        <f aca="false">IFERROR(VLOOKUP(Orders!C1494,Customers!$A$2:$F$301,3,FALSE()),"Not Found")</f>
        <v>55</v>
      </c>
      <c r="F1494" s="46" t="str">
        <f aca="false">IFERROR(VLOOKUP(Orders!E1494,Sales_Reps!$A$2:$E$31,3,FALSE()),"Not Found")</f>
        <v>North</v>
      </c>
      <c r="G1494" s="46" t="n">
        <f aca="false">IFERROR(VLOOKUP(Orders!D1494,Products!$A$2:$F$61,4,FALSE()),"")</f>
        <v>147</v>
      </c>
      <c r="H1494" s="47" t="n">
        <f aca="false">IF(G1494="","",(Orders!G1494-G1494)/Orders!G1494)</f>
        <v>0.226315789473684</v>
      </c>
      <c r="I1494" s="46"/>
      <c r="J1494" s="46"/>
      <c r="K1494" s="46"/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46"/>
      <c r="AE1494" s="46"/>
      <c r="AF1494" s="46"/>
      <c r="AG1494" s="46"/>
      <c r="AH1494" s="46"/>
      <c r="AI1494" s="46"/>
      <c r="AJ1494" s="46"/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</row>
    <row r="1495" customFormat="false" ht="15" hidden="false" customHeight="false" outlineLevel="0" collapsed="false">
      <c r="A1495" s="46" t="str">
        <f aca="false">Orders!A1495</f>
        <v>ORD-01494</v>
      </c>
      <c r="B1495" s="46" t="str">
        <f aca="false">PROPER(TRIM(Orders!K1495))</f>
        <v>Delhi</v>
      </c>
      <c r="C1495" s="46" t="str">
        <f aca="false">IFERROR(VLOOKUP(Orders!D1495,Products!$A$2:$F$61,3,FALSE()),"Not Found")</f>
        <v>Beauty</v>
      </c>
      <c r="D1495" s="46" t="str">
        <f aca="false">IFERROR(VLOOKUP(Orders!C1495,Customers!$A$2:$F$301,5,FALSE()),"Not Found")</f>
        <v>Corporate</v>
      </c>
      <c r="E1495" s="46" t="n">
        <f aca="false">IFERROR(VLOOKUP(Orders!C1495,Customers!$A$2:$F$301,3,FALSE()),"Not Found")</f>
        <v>31</v>
      </c>
      <c r="F1495" s="46" t="str">
        <f aca="false">IFERROR(VLOOKUP(Orders!E1495,Sales_Reps!$A$2:$E$31,3,FALSE()),"Not Found")</f>
        <v>East</v>
      </c>
      <c r="G1495" s="46" t="n">
        <f aca="false">IFERROR(VLOOKUP(Orders!D1495,Products!$A$2:$F$61,4,FALSE()),"")</f>
        <v>1626</v>
      </c>
      <c r="H1495" s="47" t="n">
        <f aca="false">IF(G1495="","",(Orders!G1495-G1495)/Orders!G1495)</f>
        <v>0.46158940397351</v>
      </c>
      <c r="I1495" s="46"/>
      <c r="J1495" s="46"/>
      <c r="K1495" s="46"/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</row>
    <row r="1496" customFormat="false" ht="15" hidden="false" customHeight="false" outlineLevel="0" collapsed="false">
      <c r="A1496" s="46" t="str">
        <f aca="false">Orders!A1496</f>
        <v>ORD-01495</v>
      </c>
      <c r="B1496" s="46" t="str">
        <f aca="false">PROPER(TRIM(Orders!K1496))</f>
        <v>Bengaluru</v>
      </c>
      <c r="C1496" s="46" t="str">
        <f aca="false">IFERROR(VLOOKUP(Orders!D1496,Products!$A$2:$F$61,3,FALSE()),"Not Found")</f>
        <v>Beauty</v>
      </c>
      <c r="D1496" s="46" t="str">
        <f aca="false">IFERROR(VLOOKUP(Orders!C1496,Customers!$A$2:$F$301,5,FALSE()),"Not Found")</f>
        <v>Corporate</v>
      </c>
      <c r="E1496" s="46" t="n">
        <f aca="false">IFERROR(VLOOKUP(Orders!C1496,Customers!$A$2:$F$301,3,FALSE()),"Not Found")</f>
        <v>57</v>
      </c>
      <c r="F1496" s="46" t="str">
        <f aca="false">IFERROR(VLOOKUP(Orders!E1496,Sales_Reps!$A$2:$E$31,3,FALSE()),"Not Found")</f>
        <v>East</v>
      </c>
      <c r="G1496" s="46" t="n">
        <f aca="false">IFERROR(VLOOKUP(Orders!D1496,Products!$A$2:$F$61,4,FALSE()),"")</f>
        <v>2768</v>
      </c>
      <c r="H1496" s="47" t="n">
        <f aca="false">IF(G1496="","",(Orders!G1496-G1496)/Orders!G1496)</f>
        <v>0.432786885245902</v>
      </c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46"/>
      <c r="AE1496" s="46"/>
      <c r="AF1496" s="46"/>
      <c r="AG1496" s="46"/>
      <c r="AH1496" s="46"/>
      <c r="AI1496" s="46"/>
      <c r="AJ1496" s="46"/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</row>
    <row r="1497" customFormat="false" ht="15" hidden="false" customHeight="false" outlineLevel="0" collapsed="false">
      <c r="A1497" s="46" t="str">
        <f aca="false">Orders!A1497</f>
        <v>ORD-01496</v>
      </c>
      <c r="B1497" s="46" t="str">
        <f aca="false">PROPER(TRIM(Orders!K1497))</f>
        <v>Bengaluru</v>
      </c>
      <c r="C1497" s="46" t="str">
        <f aca="false">IFERROR(VLOOKUP(Orders!D1497,Products!$A$2:$F$61,3,FALSE()),"Not Found")</f>
        <v>Sports</v>
      </c>
      <c r="D1497" s="46" t="str">
        <f aca="false">IFERROR(VLOOKUP(Orders!C1497,Customers!$A$2:$F$301,5,FALSE()),"Not Found")</f>
        <v>Corporate</v>
      </c>
      <c r="E1497" s="46" t="n">
        <f aca="false">IFERROR(VLOOKUP(Orders!C1497,Customers!$A$2:$F$301,3,FALSE()),"Not Found")</f>
        <v>41</v>
      </c>
      <c r="F1497" s="46" t="str">
        <f aca="false">IFERROR(VLOOKUP(Orders!E1497,Sales_Reps!$A$2:$E$31,3,FALSE()),"Not Found")</f>
        <v>West</v>
      </c>
      <c r="G1497" s="46" t="n">
        <f aca="false">IFERROR(VLOOKUP(Orders!D1497,Products!$A$2:$F$61,4,FALSE()),"")</f>
        <v>974</v>
      </c>
      <c r="H1497" s="47" t="n">
        <f aca="false">IF(G1497="","",(Orders!G1497-G1497)/Orders!G1497)</f>
        <v>0.594166666666667</v>
      </c>
      <c r="I1497" s="46"/>
      <c r="J1497" s="46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</row>
    <row r="1498" customFormat="false" ht="15" hidden="false" customHeight="false" outlineLevel="0" collapsed="false">
      <c r="A1498" s="46" t="str">
        <f aca="false">Orders!A1498</f>
        <v>ORD-01497</v>
      </c>
      <c r="B1498" s="46" t="str">
        <f aca="false">PROPER(TRIM(Orders!K1498))</f>
        <v>Mumbai</v>
      </c>
      <c r="C1498" s="46" t="str">
        <f aca="false">IFERROR(VLOOKUP(Orders!D1498,Products!$A$2:$F$61,3,FALSE()),"Not Found")</f>
        <v>Beauty</v>
      </c>
      <c r="D1498" s="46" t="str">
        <f aca="false">IFERROR(VLOOKUP(Orders!C1498,Customers!$A$2:$F$301,5,FALSE()),"Not Found")</f>
        <v>Retail</v>
      </c>
      <c r="E1498" s="46" t="n">
        <f aca="false">IFERROR(VLOOKUP(Orders!C1498,Customers!$A$2:$F$301,3,FALSE()),"Not Found")</f>
        <v>65</v>
      </c>
      <c r="F1498" s="46" t="str">
        <f aca="false">IFERROR(VLOOKUP(Orders!E1498,Sales_Reps!$A$2:$E$31,3,FALSE()),"Not Found")</f>
        <v>North</v>
      </c>
      <c r="G1498" s="46" t="n">
        <f aca="false">IFERROR(VLOOKUP(Orders!D1498,Products!$A$2:$F$61,4,FALSE()),"")</f>
        <v>2617</v>
      </c>
      <c r="H1498" s="47" t="n">
        <f aca="false">IF(G1498="","",(Orders!G1498-G1498)/Orders!G1498)</f>
        <v>0.569572368421053</v>
      </c>
      <c r="I1498" s="46"/>
      <c r="J1498" s="46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/>
      <c r="AD1498" s="46"/>
      <c r="AE1498" s="46"/>
      <c r="AF1498" s="46"/>
      <c r="AG1498" s="46"/>
      <c r="AH1498" s="46"/>
      <c r="AI1498" s="46"/>
      <c r="AJ1498" s="46"/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</row>
    <row r="1499" customFormat="false" ht="15" hidden="false" customHeight="false" outlineLevel="0" collapsed="false">
      <c r="A1499" s="46" t="str">
        <f aca="false">Orders!A1499</f>
        <v>ORD-01498</v>
      </c>
      <c r="B1499" s="46" t="str">
        <f aca="false">PROPER(TRIM(Orders!K1499))</f>
        <v>Chennai</v>
      </c>
      <c r="C1499" s="46" t="str">
        <f aca="false">IFERROR(VLOOKUP(Orders!D1499,Products!$A$2:$F$61,3,FALSE()),"Not Found")</f>
        <v>Grocery</v>
      </c>
      <c r="D1499" s="46" t="str">
        <f aca="false">IFERROR(VLOOKUP(Orders!C1499,Customers!$A$2:$F$301,5,FALSE()),"Not Found")</f>
        <v>Retail</v>
      </c>
      <c r="E1499" s="46" t="n">
        <f aca="false">IFERROR(VLOOKUP(Orders!C1499,Customers!$A$2:$F$301,3,FALSE()),"Not Found")</f>
        <v>32</v>
      </c>
      <c r="F1499" s="46" t="str">
        <f aca="false">IFERROR(VLOOKUP(Orders!E1499,Sales_Reps!$A$2:$E$31,3,FALSE()),"Not Found")</f>
        <v>East</v>
      </c>
      <c r="G1499" s="46" t="n">
        <f aca="false">IFERROR(VLOOKUP(Orders!D1499,Products!$A$2:$F$61,4,FALSE()),"")</f>
        <v>1182</v>
      </c>
      <c r="H1499" s="47" t="n">
        <f aca="false">IF(G1499="","",(Orders!G1499-G1499)/Orders!G1499)</f>
        <v>0.503361344537815</v>
      </c>
      <c r="I1499" s="46"/>
      <c r="J1499" s="46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</row>
    <row r="1500" customFormat="false" ht="15" hidden="false" customHeight="false" outlineLevel="0" collapsed="false">
      <c r="A1500" s="46" t="str">
        <f aca="false">Orders!A1500</f>
        <v>ORD-01499</v>
      </c>
      <c r="B1500" s="46" t="str">
        <f aca="false">PROPER(TRIM(Orders!K1500))</f>
        <v>Chennai</v>
      </c>
      <c r="C1500" s="46" t="str">
        <f aca="false">IFERROR(VLOOKUP(Orders!D1500,Products!$A$2:$F$61,3,FALSE()),"Not Found")</f>
        <v>Beauty</v>
      </c>
      <c r="D1500" s="46" t="str">
        <f aca="false">IFERROR(VLOOKUP(Orders!C1500,Customers!$A$2:$F$301,5,FALSE()),"Not Found")</f>
        <v>SMB</v>
      </c>
      <c r="E1500" s="46" t="n">
        <f aca="false">IFERROR(VLOOKUP(Orders!C1500,Customers!$A$2:$F$301,3,FALSE()),"Not Found")</f>
        <v>62</v>
      </c>
      <c r="F1500" s="46" t="str">
        <f aca="false">IFERROR(VLOOKUP(Orders!E1500,Sales_Reps!$A$2:$E$31,3,FALSE()),"Not Found")</f>
        <v>North</v>
      </c>
      <c r="G1500" s="46" t="n">
        <f aca="false">IFERROR(VLOOKUP(Orders!D1500,Products!$A$2:$F$61,4,FALSE()),"")</f>
        <v>647</v>
      </c>
      <c r="H1500" s="47" t="n">
        <f aca="false">IF(G1500="","",(Orders!G1500-G1500)/Orders!G1500)</f>
        <v>0.57987012987013</v>
      </c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</row>
    <row r="1501" customFormat="false" ht="15" hidden="false" customHeight="false" outlineLevel="0" collapsed="false">
      <c r="A1501" s="46" t="str">
        <f aca="false">Orders!A1501</f>
        <v>ORD-01500</v>
      </c>
      <c r="B1501" s="46" t="str">
        <f aca="false">PROPER(TRIM(Orders!K1501))</f>
        <v>Chennai</v>
      </c>
      <c r="C1501" s="46" t="str">
        <f aca="false">IFERROR(VLOOKUP(Orders!D1501,Products!$A$2:$F$61,3,FALSE()),"Not Found")</f>
        <v>Electronics</v>
      </c>
      <c r="D1501" s="46" t="str">
        <f aca="false">IFERROR(VLOOKUP(Orders!C1501,Customers!$A$2:$F$301,5,FALSE()),"Not Found")</f>
        <v>Retail</v>
      </c>
      <c r="E1501" s="46" t="n">
        <f aca="false">IFERROR(VLOOKUP(Orders!C1501,Customers!$A$2:$F$301,3,FALSE()),"Not Found")</f>
        <v>49</v>
      </c>
      <c r="F1501" s="46" t="str">
        <f aca="false">IFERROR(VLOOKUP(Orders!E1501,Sales_Reps!$A$2:$E$31,3,FALSE()),"Not Found")</f>
        <v>West</v>
      </c>
      <c r="G1501" s="46" t="n">
        <f aca="false">IFERROR(VLOOKUP(Orders!D1501,Products!$A$2:$F$61,4,FALSE()),"")</f>
        <v>1559</v>
      </c>
      <c r="H1501" s="47" t="n">
        <f aca="false">IF(G1501="","",(Orders!G1501-G1501)/Orders!G1501)</f>
        <v>0.597157622739018</v>
      </c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</row>
    <row r="1502" customFormat="false" ht="15" hidden="false" customHeight="false" outlineLevel="0" collapsed="false">
      <c r="A1502" s="46" t="str">
        <f aca="false">Orders!A1502</f>
        <v>ORD-01501</v>
      </c>
      <c r="B1502" s="46" t="str">
        <f aca="false">PROPER(TRIM(Orders!K1502))</f>
        <v>Pune</v>
      </c>
      <c r="C1502" s="46" t="str">
        <f aca="false">IFERROR(VLOOKUP(Orders!D1502,Products!$A$2:$F$61,3,FALSE()),"Not Found")</f>
        <v>Home</v>
      </c>
      <c r="D1502" s="46" t="str">
        <f aca="false">IFERROR(VLOOKUP(Orders!C1502,Customers!$A$2:$F$301,5,FALSE()),"Not Found")</f>
        <v>Corporate</v>
      </c>
      <c r="E1502" s="46" t="n">
        <f aca="false">IFERROR(VLOOKUP(Orders!C1502,Customers!$A$2:$F$301,3,FALSE()),"Not Found")</f>
        <v>40</v>
      </c>
      <c r="F1502" s="46" t="str">
        <f aca="false">IFERROR(VLOOKUP(Orders!E1502,Sales_Reps!$A$2:$E$31,3,FALSE()),"Not Found")</f>
        <v>East</v>
      </c>
      <c r="G1502" s="46" t="n">
        <f aca="false">IFERROR(VLOOKUP(Orders!D1502,Products!$A$2:$F$61,4,FALSE()),"")</f>
        <v>288</v>
      </c>
      <c r="H1502" s="47" t="n">
        <f aca="false">IF(G1502="","",(Orders!G1502-G1502)/Orders!G1502)</f>
        <v>0.221621621621622</v>
      </c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</row>
    <row r="1503" customFormat="false" ht="15" hidden="false" customHeight="false" outlineLevel="0" collapsed="false">
      <c r="A1503" s="46" t="str">
        <f aca="false">Orders!A1503</f>
        <v>ORD-01502</v>
      </c>
      <c r="B1503" s="46" t="str">
        <f aca="false">PROPER(TRIM(Orders!K1503))</f>
        <v>Mumbai</v>
      </c>
      <c r="C1503" s="46" t="str">
        <f aca="false">IFERROR(VLOOKUP(Orders!D1503,Products!$A$2:$F$61,3,FALSE()),"Not Found")</f>
        <v>Sports</v>
      </c>
      <c r="D1503" s="46" t="str">
        <f aca="false">IFERROR(VLOOKUP(Orders!C1503,Customers!$A$2:$F$301,5,FALSE()),"Not Found")</f>
        <v>Retail</v>
      </c>
      <c r="E1503" s="46" t="n">
        <f aca="false">IFERROR(VLOOKUP(Orders!C1503,Customers!$A$2:$F$301,3,FALSE()),"Not Found")</f>
        <v>42</v>
      </c>
      <c r="F1503" s="46" t="str">
        <f aca="false">IFERROR(VLOOKUP(Orders!E1503,Sales_Reps!$A$2:$E$31,3,FALSE()),"Not Found")</f>
        <v>West</v>
      </c>
      <c r="G1503" s="46" t="n">
        <f aca="false">IFERROR(VLOOKUP(Orders!D1503,Products!$A$2:$F$61,4,FALSE()),"")</f>
        <v>147</v>
      </c>
      <c r="H1503" s="47" t="n">
        <f aca="false">IF(G1503="","",(Orders!G1503-G1503)/Orders!G1503)</f>
        <v>0.226315789473684</v>
      </c>
      <c r="I1503" s="46"/>
      <c r="J1503" s="46"/>
      <c r="K1503" s="46"/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</row>
    <row r="1504" customFormat="false" ht="15" hidden="false" customHeight="false" outlineLevel="0" collapsed="false">
      <c r="A1504" s="46" t="str">
        <f aca="false">Orders!A1504</f>
        <v>ORD-01503</v>
      </c>
      <c r="B1504" s="46" t="str">
        <f aca="false">PROPER(TRIM(Orders!K1504))</f>
        <v>Chennai</v>
      </c>
      <c r="C1504" s="46" t="str">
        <f aca="false">IFERROR(VLOOKUP(Orders!D1504,Products!$A$2:$F$61,3,FALSE()),"Not Found")</f>
        <v>Electronics</v>
      </c>
      <c r="D1504" s="46" t="str">
        <f aca="false">IFERROR(VLOOKUP(Orders!C1504,Customers!$A$2:$F$301,5,FALSE()),"Not Found")</f>
        <v>Retail</v>
      </c>
      <c r="E1504" s="46" t="n">
        <f aca="false">IFERROR(VLOOKUP(Orders!C1504,Customers!$A$2:$F$301,3,FALSE()),"Not Found")</f>
        <v>39</v>
      </c>
      <c r="F1504" s="46" t="str">
        <f aca="false">IFERROR(VLOOKUP(Orders!E1504,Sales_Reps!$A$2:$E$31,3,FALSE()),"Not Found")</f>
        <v>South</v>
      </c>
      <c r="G1504" s="46" t="n">
        <f aca="false">IFERROR(VLOOKUP(Orders!D1504,Products!$A$2:$F$61,4,FALSE()),"")</f>
        <v>861</v>
      </c>
      <c r="H1504" s="47" t="n">
        <f aca="false">IF(G1504="","",(Orders!G1504-G1504)/Orders!G1504)</f>
        <v>0.397902097902098</v>
      </c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6"/>
      <c r="AB1504" s="46"/>
      <c r="AC1504" s="46"/>
      <c r="AD1504" s="46"/>
      <c r="AE1504" s="46"/>
      <c r="AF1504" s="46"/>
      <c r="AG1504" s="46"/>
      <c r="AH1504" s="46"/>
      <c r="AI1504" s="46"/>
      <c r="AJ1504" s="46"/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</row>
    <row r="1505" customFormat="false" ht="15" hidden="false" customHeight="false" outlineLevel="0" collapsed="false">
      <c r="A1505" s="46" t="str">
        <f aca="false">Orders!A1505</f>
        <v>ORD-01504</v>
      </c>
      <c r="B1505" s="46" t="str">
        <f aca="false">PROPER(TRIM(Orders!K1505))</f>
        <v>Chennai</v>
      </c>
      <c r="C1505" s="46" t="str">
        <f aca="false">IFERROR(VLOOKUP(Orders!D1505,Products!$A$2:$F$61,3,FALSE()),"Not Found")</f>
        <v>Sports</v>
      </c>
      <c r="D1505" s="46" t="str">
        <f aca="false">IFERROR(VLOOKUP(Orders!C1505,Customers!$A$2:$F$301,5,FALSE()),"Not Found")</f>
        <v>Corporate</v>
      </c>
      <c r="E1505" s="46" t="n">
        <f aca="false">IFERROR(VLOOKUP(Orders!C1505,Customers!$A$2:$F$301,3,FALSE()),"Not Found")</f>
        <v>35</v>
      </c>
      <c r="F1505" s="46" t="str">
        <f aca="false">IFERROR(VLOOKUP(Orders!E1505,Sales_Reps!$A$2:$E$31,3,FALSE()),"Not Found")</f>
        <v>East</v>
      </c>
      <c r="G1505" s="46" t="n">
        <f aca="false">IFERROR(VLOOKUP(Orders!D1505,Products!$A$2:$F$61,4,FALSE()),"")</f>
        <v>302</v>
      </c>
      <c r="H1505" s="47" t="n">
        <f aca="false">IF(G1505="","",(Orders!G1505-G1505)/Orders!G1505)</f>
        <v>0.357446808510638</v>
      </c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</row>
    <row r="1506" customFormat="false" ht="15" hidden="false" customHeight="false" outlineLevel="0" collapsed="false">
      <c r="A1506" s="46" t="str">
        <f aca="false">Orders!A1506</f>
        <v>ORD-01505</v>
      </c>
      <c r="B1506" s="46" t="str">
        <f aca="false">PROPER(TRIM(Orders!K1506))</f>
        <v>Pune</v>
      </c>
      <c r="C1506" s="46" t="str">
        <f aca="false">IFERROR(VLOOKUP(Orders!D1506,Products!$A$2:$F$61,3,FALSE()),"Not Found")</f>
        <v>Apparel</v>
      </c>
      <c r="D1506" s="46" t="str">
        <f aca="false">IFERROR(VLOOKUP(Orders!C1506,Customers!$A$2:$F$301,5,FALSE()),"Not Found")</f>
        <v>Retail</v>
      </c>
      <c r="E1506" s="46" t="n">
        <f aca="false">IFERROR(VLOOKUP(Orders!C1506,Customers!$A$2:$F$301,3,FALSE()),"Not Found")</f>
        <v>49</v>
      </c>
      <c r="F1506" s="46" t="str">
        <f aca="false">IFERROR(VLOOKUP(Orders!E1506,Sales_Reps!$A$2:$E$31,3,FALSE()),"Not Found")</f>
        <v>North</v>
      </c>
      <c r="G1506" s="46" t="n">
        <f aca="false">IFERROR(VLOOKUP(Orders!D1506,Products!$A$2:$F$61,4,FALSE()),"")</f>
        <v>2629</v>
      </c>
      <c r="H1506" s="47" t="n">
        <f aca="false">IF(G1506="","",(Orders!G1506-G1506)/Orders!G1506)</f>
        <v>0.261516853932584</v>
      </c>
      <c r="I1506" s="46"/>
      <c r="J1506" s="46"/>
      <c r="K1506" s="46"/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  <c r="AB1506" s="46"/>
      <c r="AC1506" s="46"/>
      <c r="AD1506" s="46"/>
      <c r="AE1506" s="46"/>
      <c r="AF1506" s="46"/>
      <c r="AG1506" s="46"/>
      <c r="AH1506" s="46"/>
      <c r="AI1506" s="46"/>
      <c r="AJ1506" s="46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</row>
    <row r="1507" customFormat="false" ht="15" hidden="false" customHeight="false" outlineLevel="0" collapsed="false">
      <c r="A1507" s="46" t="str">
        <f aca="false">Orders!A1507</f>
        <v>ORD-01506</v>
      </c>
      <c r="B1507" s="46" t="str">
        <f aca="false">PROPER(TRIM(Orders!K1507))</f>
        <v>Delhi</v>
      </c>
      <c r="C1507" s="46" t="str">
        <f aca="false">IFERROR(VLOOKUP(Orders!D1507,Products!$A$2:$F$61,3,FALSE()),"Not Found")</f>
        <v>Beauty</v>
      </c>
      <c r="D1507" s="46" t="str">
        <f aca="false">IFERROR(VLOOKUP(Orders!C1507,Customers!$A$2:$F$301,5,FALSE()),"Not Found")</f>
        <v>Retail</v>
      </c>
      <c r="E1507" s="46" t="n">
        <f aca="false">IFERROR(VLOOKUP(Orders!C1507,Customers!$A$2:$F$301,3,FALSE()),"Not Found")</f>
        <v>49</v>
      </c>
      <c r="F1507" s="46" t="str">
        <f aca="false">IFERROR(VLOOKUP(Orders!E1507,Sales_Reps!$A$2:$E$31,3,FALSE()),"Not Found")</f>
        <v>South</v>
      </c>
      <c r="G1507" s="46" t="n">
        <f aca="false">IFERROR(VLOOKUP(Orders!D1507,Products!$A$2:$F$61,4,FALSE()),"")</f>
        <v>2768</v>
      </c>
      <c r="H1507" s="47" t="n">
        <f aca="false">IF(G1507="","",(Orders!G1507-G1507)/Orders!G1507)</f>
        <v>0.432786885245902</v>
      </c>
      <c r="I1507" s="46"/>
      <c r="J1507" s="46"/>
      <c r="K1507" s="46"/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  <c r="AA1507" s="46"/>
      <c r="AB1507" s="46"/>
      <c r="AC1507" s="46"/>
      <c r="AD1507" s="46"/>
      <c r="AE1507" s="46"/>
      <c r="AF1507" s="46"/>
      <c r="AG1507" s="46"/>
      <c r="AH1507" s="46"/>
      <c r="AI1507" s="46"/>
      <c r="AJ1507" s="46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</row>
    <row r="1508" customFormat="false" ht="15" hidden="false" customHeight="false" outlineLevel="0" collapsed="false">
      <c r="A1508" s="46" t="str">
        <f aca="false">Orders!A1508</f>
        <v>ORD-01507</v>
      </c>
      <c r="B1508" s="46" t="str">
        <f aca="false">PROPER(TRIM(Orders!K1508))</f>
        <v>Chennai</v>
      </c>
      <c r="C1508" s="46" t="str">
        <f aca="false">IFERROR(VLOOKUP(Orders!D1508,Products!$A$2:$F$61,3,FALSE()),"Not Found")</f>
        <v>Electronics</v>
      </c>
      <c r="D1508" s="46" t="str">
        <f aca="false">IFERROR(VLOOKUP(Orders!C1508,Customers!$A$2:$F$301,5,FALSE()),"Not Found")</f>
        <v>Retail</v>
      </c>
      <c r="E1508" s="46" t="n">
        <f aca="false">IFERROR(VLOOKUP(Orders!C1508,Customers!$A$2:$F$301,3,FALSE()),"Not Found")</f>
        <v>26</v>
      </c>
      <c r="F1508" s="46" t="str">
        <f aca="false">IFERROR(VLOOKUP(Orders!E1508,Sales_Reps!$A$2:$E$31,3,FALSE()),"Not Found")</f>
        <v>South</v>
      </c>
      <c r="G1508" s="46" t="n">
        <f aca="false">IFERROR(VLOOKUP(Orders!D1508,Products!$A$2:$F$61,4,FALSE()),"")</f>
        <v>1665</v>
      </c>
      <c r="H1508" s="47" t="n">
        <f aca="false">IF(G1508="","",(Orders!G1508-G1508)/Orders!G1508)</f>
        <v>0.533613445378151</v>
      </c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  <c r="AA1508" s="46"/>
      <c r="AB1508" s="46"/>
      <c r="AC1508" s="46"/>
      <c r="AD1508" s="46"/>
      <c r="AE1508" s="46"/>
      <c r="AF1508" s="46"/>
      <c r="AG1508" s="46"/>
      <c r="AH1508" s="46"/>
      <c r="AI1508" s="46"/>
      <c r="AJ1508" s="46"/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</row>
    <row r="1509" customFormat="false" ht="15" hidden="false" customHeight="false" outlineLevel="0" collapsed="false">
      <c r="A1509" s="46" t="str">
        <f aca="false">Orders!A1509</f>
        <v>ORD-01508</v>
      </c>
      <c r="B1509" s="46" t="str">
        <f aca="false">PROPER(TRIM(Orders!K1509))</f>
        <v>Chennai</v>
      </c>
      <c r="C1509" s="46" t="str">
        <f aca="false">IFERROR(VLOOKUP(Orders!D1509,Products!$A$2:$F$61,3,FALSE()),"Not Found")</f>
        <v>Sports</v>
      </c>
      <c r="D1509" s="46" t="str">
        <f aca="false">IFERROR(VLOOKUP(Orders!C1509,Customers!$A$2:$F$301,5,FALSE()),"Not Found")</f>
        <v>Retail</v>
      </c>
      <c r="E1509" s="46" t="n">
        <f aca="false">IFERROR(VLOOKUP(Orders!C1509,Customers!$A$2:$F$301,3,FALSE()),"Not Found")</f>
        <v>34</v>
      </c>
      <c r="F1509" s="46" t="str">
        <f aca="false">IFERROR(VLOOKUP(Orders!E1509,Sales_Reps!$A$2:$E$31,3,FALSE()),"Not Found")</f>
        <v>West</v>
      </c>
      <c r="G1509" s="46" t="n">
        <f aca="false">IFERROR(VLOOKUP(Orders!D1509,Products!$A$2:$F$61,4,FALSE()),"")</f>
        <v>2467</v>
      </c>
      <c r="H1509" s="47" t="n">
        <f aca="false">IF(G1509="","",(Orders!G1509-G1509)/Orders!G1509)</f>
        <v>0.284927536231884</v>
      </c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</row>
    <row r="1510" customFormat="false" ht="15" hidden="false" customHeight="false" outlineLevel="0" collapsed="false">
      <c r="A1510" s="46" t="str">
        <f aca="false">Orders!A1510</f>
        <v>ORD-01509</v>
      </c>
      <c r="B1510" s="46" t="str">
        <f aca="false">PROPER(TRIM(Orders!K1510))</f>
        <v>Chennai</v>
      </c>
      <c r="C1510" s="46" t="str">
        <f aca="false">IFERROR(VLOOKUP(Orders!D1510,Products!$A$2:$F$61,3,FALSE()),"Not Found")</f>
        <v>Home</v>
      </c>
      <c r="D1510" s="46" t="str">
        <f aca="false">IFERROR(VLOOKUP(Orders!C1510,Customers!$A$2:$F$301,5,FALSE()),"Not Found")</f>
        <v>Corporate</v>
      </c>
      <c r="E1510" s="46" t="n">
        <f aca="false">IFERROR(VLOOKUP(Orders!C1510,Customers!$A$2:$F$301,3,FALSE()),"Not Found")</f>
        <v>55</v>
      </c>
      <c r="F1510" s="46" t="str">
        <f aca="false">IFERROR(VLOOKUP(Orders!E1510,Sales_Reps!$A$2:$E$31,3,FALSE()),"Not Found")</f>
        <v>North</v>
      </c>
      <c r="G1510" s="46" t="n">
        <f aca="false">IFERROR(VLOOKUP(Orders!D1510,Products!$A$2:$F$61,4,FALSE()),"")</f>
        <v>519</v>
      </c>
      <c r="H1510" s="47" t="n">
        <f aca="false">IF(G1510="","",(Orders!G1510-G1510)/Orders!G1510)</f>
        <v>0.519444444444445</v>
      </c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</row>
    <row r="1511" customFormat="false" ht="15" hidden="false" customHeight="false" outlineLevel="0" collapsed="false">
      <c r="A1511" s="46" t="str">
        <f aca="false">Orders!A1511</f>
        <v>ORD-01510</v>
      </c>
      <c r="B1511" s="46" t="str">
        <f aca="false">PROPER(TRIM(Orders!K1511))</f>
        <v>Pune</v>
      </c>
      <c r="C1511" s="46" t="str">
        <f aca="false">IFERROR(VLOOKUP(Orders!D1511,Products!$A$2:$F$61,3,FALSE()),"Not Found")</f>
        <v>Beauty</v>
      </c>
      <c r="D1511" s="46" t="str">
        <f aca="false">IFERROR(VLOOKUP(Orders!C1511,Customers!$A$2:$F$301,5,FALSE()),"Not Found")</f>
        <v>SMB</v>
      </c>
      <c r="E1511" s="46" t="n">
        <f aca="false">IFERROR(VLOOKUP(Orders!C1511,Customers!$A$2:$F$301,3,FALSE()),"Not Found")</f>
        <v>59</v>
      </c>
      <c r="F1511" s="46" t="str">
        <f aca="false">IFERROR(VLOOKUP(Orders!E1511,Sales_Reps!$A$2:$E$31,3,FALSE()),"Not Found")</f>
        <v>West</v>
      </c>
      <c r="G1511" s="46" t="n">
        <f aca="false">IFERROR(VLOOKUP(Orders!D1511,Products!$A$2:$F$61,4,FALSE()),"")</f>
        <v>647</v>
      </c>
      <c r="H1511" s="47" t="n">
        <f aca="false">IF(G1511="","",(Orders!G1511-G1511)/Orders!G1511)</f>
        <v>0.57987012987013</v>
      </c>
      <c r="I1511" s="46"/>
      <c r="J1511" s="46"/>
      <c r="K1511" s="46"/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</row>
    <row r="1512" customFormat="false" ht="15" hidden="false" customHeight="false" outlineLevel="0" collapsed="false">
      <c r="A1512" s="46" t="str">
        <f aca="false">Orders!A1512</f>
        <v>ORD-01511</v>
      </c>
      <c r="B1512" s="46" t="str">
        <f aca="false">PROPER(TRIM(Orders!K1512))</f>
        <v>Mumbai</v>
      </c>
      <c r="C1512" s="46" t="str">
        <f aca="false">IFERROR(VLOOKUP(Orders!D1512,Products!$A$2:$F$61,3,FALSE()),"Not Found")</f>
        <v>Apparel</v>
      </c>
      <c r="D1512" s="46" t="str">
        <f aca="false">IFERROR(VLOOKUP(Orders!C1512,Customers!$A$2:$F$301,5,FALSE()),"Not Found")</f>
        <v>Not Found</v>
      </c>
      <c r="E1512" s="46" t="str">
        <f aca="false">IFERROR(VLOOKUP(Orders!C1512,Customers!$A$2:$F$301,3,FALSE()),"Not Found")</f>
        <v>Not Found</v>
      </c>
      <c r="F1512" s="46" t="str">
        <f aca="false">IFERROR(VLOOKUP(Orders!E1512,Sales_Reps!$A$2:$E$31,3,FALSE()),"Not Found")</f>
        <v>South</v>
      </c>
      <c r="G1512" s="46" t="n">
        <f aca="false">IFERROR(VLOOKUP(Orders!D1512,Products!$A$2:$F$61,4,FALSE()),"")</f>
        <v>1962</v>
      </c>
      <c r="H1512" s="47" t="n">
        <f aca="false">IF(G1512="","",(Orders!G1512-G1512)/Orders!G1512)</f>
        <v>0.278676470588235</v>
      </c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/>
      <c r="AE1512" s="46"/>
      <c r="AF1512" s="46"/>
      <c r="AG1512" s="46"/>
      <c r="AH1512" s="46"/>
      <c r="AI1512" s="46"/>
      <c r="AJ1512" s="46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</row>
    <row r="1513" customFormat="false" ht="15" hidden="false" customHeight="false" outlineLevel="0" collapsed="false">
      <c r="A1513" s="46" t="str">
        <f aca="false">Orders!A1513</f>
        <v>ORD-01512</v>
      </c>
      <c r="B1513" s="46" t="str">
        <f aca="false">PROPER(TRIM(Orders!K1513))</f>
        <v>Hyderabad</v>
      </c>
      <c r="C1513" s="46" t="str">
        <f aca="false">IFERROR(VLOOKUP(Orders!D1513,Products!$A$2:$F$61,3,FALSE()),"Not Found")</f>
        <v>Home</v>
      </c>
      <c r="D1513" s="46" t="str">
        <f aca="false">IFERROR(VLOOKUP(Orders!C1513,Customers!$A$2:$F$301,5,FALSE()),"Not Found")</f>
        <v>Retail</v>
      </c>
      <c r="E1513" s="46" t="n">
        <f aca="false">IFERROR(VLOOKUP(Orders!C1513,Customers!$A$2:$F$301,3,FALSE()),"Not Found")</f>
        <v>27</v>
      </c>
      <c r="F1513" s="46" t="str">
        <f aca="false">IFERROR(VLOOKUP(Orders!E1513,Sales_Reps!$A$2:$E$31,3,FALSE()),"Not Found")</f>
        <v>North</v>
      </c>
      <c r="G1513" s="46" t="n">
        <f aca="false">IFERROR(VLOOKUP(Orders!D1513,Products!$A$2:$F$61,4,FALSE()),"")</f>
        <v>2459</v>
      </c>
      <c r="H1513" s="47" t="n">
        <f aca="false">IF(G1513="","",(Orders!G1513-G1513)/Orders!G1513)</f>
        <v>0.515944881889764</v>
      </c>
      <c r="I1513" s="46"/>
      <c r="J1513" s="46"/>
      <c r="K1513" s="46"/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/>
      <c r="AE1513" s="46"/>
      <c r="AF1513" s="46"/>
      <c r="AG1513" s="46"/>
      <c r="AH1513" s="46"/>
      <c r="AI1513" s="46"/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</row>
    <row r="1514" customFormat="false" ht="15" hidden="false" customHeight="false" outlineLevel="0" collapsed="false">
      <c r="A1514" s="46" t="str">
        <f aca="false">Orders!A1514</f>
        <v>ORD-01513</v>
      </c>
      <c r="B1514" s="46" t="str">
        <f aca="false">PROPER(TRIM(Orders!K1514))</f>
        <v>Chennai</v>
      </c>
      <c r="C1514" s="46" t="str">
        <f aca="false">IFERROR(VLOOKUP(Orders!D1514,Products!$A$2:$F$61,3,FALSE()),"Not Found")</f>
        <v>Apparel</v>
      </c>
      <c r="D1514" s="46" t="str">
        <f aca="false">IFERROR(VLOOKUP(Orders!C1514,Customers!$A$2:$F$301,5,FALSE()),"Not Found")</f>
        <v>Not Found</v>
      </c>
      <c r="E1514" s="46" t="str">
        <f aca="false">IFERROR(VLOOKUP(Orders!C1514,Customers!$A$2:$F$301,3,FALSE()),"Not Found")</f>
        <v>Not Found</v>
      </c>
      <c r="F1514" s="46" t="str">
        <f aca="false">IFERROR(VLOOKUP(Orders!E1514,Sales_Reps!$A$2:$E$31,3,FALSE()),"Not Found")</f>
        <v>North</v>
      </c>
      <c r="G1514" s="46" t="n">
        <f aca="false">IFERROR(VLOOKUP(Orders!D1514,Products!$A$2:$F$61,4,FALSE()),"")</f>
        <v>396</v>
      </c>
      <c r="H1514" s="47" t="n">
        <f aca="false">IF(G1514="","",(Orders!G1514-G1514)/Orders!G1514)</f>
        <v>0.361290322580645</v>
      </c>
      <c r="I1514" s="46"/>
      <c r="J1514" s="46"/>
      <c r="K1514" s="46"/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/>
      <c r="AE1514" s="46"/>
      <c r="AF1514" s="46"/>
      <c r="AG1514" s="46"/>
      <c r="AH1514" s="46"/>
      <c r="AI1514" s="46"/>
      <c r="AJ1514" s="46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</row>
    <row r="1515" customFormat="false" ht="15" hidden="false" customHeight="false" outlineLevel="0" collapsed="false">
      <c r="A1515" s="46" t="str">
        <f aca="false">Orders!A1515</f>
        <v>ORD-01514</v>
      </c>
      <c r="B1515" s="46" t="str">
        <f aca="false">PROPER(TRIM(Orders!K1515))</f>
        <v>Pune</v>
      </c>
      <c r="C1515" s="46" t="str">
        <f aca="false">IFERROR(VLOOKUP(Orders!D1515,Products!$A$2:$F$61,3,FALSE()),"Not Found")</f>
        <v>Apparel</v>
      </c>
      <c r="D1515" s="46" t="str">
        <f aca="false">IFERROR(VLOOKUP(Orders!C1515,Customers!$A$2:$F$301,5,FALSE()),"Not Found")</f>
        <v>SMB</v>
      </c>
      <c r="E1515" s="46" t="n">
        <f aca="false">IFERROR(VLOOKUP(Orders!C1515,Customers!$A$2:$F$301,3,FALSE()),"Not Found")</f>
        <v>54</v>
      </c>
      <c r="F1515" s="46" t="str">
        <f aca="false">IFERROR(VLOOKUP(Orders!E1515,Sales_Reps!$A$2:$E$31,3,FALSE()),"Not Found")</f>
        <v>North</v>
      </c>
      <c r="G1515" s="46" t="n">
        <f aca="false">IFERROR(VLOOKUP(Orders!D1515,Products!$A$2:$F$61,4,FALSE()),"")</f>
        <v>1173</v>
      </c>
      <c r="H1515" s="47" t="n">
        <f aca="false">IF(G1515="","",(Orders!G1515-G1515)/Orders!G1515)</f>
        <v>0.527016129032258</v>
      </c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/>
      <c r="AE1515" s="46"/>
      <c r="AF1515" s="46"/>
      <c r="AG1515" s="46"/>
      <c r="AH1515" s="46"/>
      <c r="AI1515" s="46"/>
      <c r="AJ1515" s="46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</row>
    <row r="1516" customFormat="false" ht="15" hidden="false" customHeight="false" outlineLevel="0" collapsed="false">
      <c r="A1516" s="46" t="str">
        <f aca="false">Orders!A1516</f>
        <v>ORD-01515</v>
      </c>
      <c r="B1516" s="46" t="str">
        <f aca="false">PROPER(TRIM(Orders!K1516))</f>
        <v>Mumbai</v>
      </c>
      <c r="C1516" s="46" t="str">
        <f aca="false">IFERROR(VLOOKUP(Orders!D1516,Products!$A$2:$F$61,3,FALSE()),"Not Found")</f>
        <v>Sports</v>
      </c>
      <c r="D1516" s="46" t="str">
        <f aca="false">IFERROR(VLOOKUP(Orders!C1516,Customers!$A$2:$F$301,5,FALSE()),"Not Found")</f>
        <v>Corporate</v>
      </c>
      <c r="E1516" s="46" t="n">
        <f aca="false">IFERROR(VLOOKUP(Orders!C1516,Customers!$A$2:$F$301,3,FALSE()),"Not Found")</f>
        <v>55</v>
      </c>
      <c r="F1516" s="46" t="str">
        <f aca="false">IFERROR(VLOOKUP(Orders!E1516,Sales_Reps!$A$2:$E$31,3,FALSE()),"Not Found")</f>
        <v>North</v>
      </c>
      <c r="G1516" s="46" t="n">
        <f aca="false">IFERROR(VLOOKUP(Orders!D1516,Products!$A$2:$F$61,4,FALSE()),"")</f>
        <v>516</v>
      </c>
      <c r="H1516" s="47" t="n">
        <f aca="false">IF(G1516="","",(Orders!G1516-G1516)/Orders!G1516)</f>
        <v>0.489108910891089</v>
      </c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</row>
    <row r="1517" customFormat="false" ht="15" hidden="false" customHeight="false" outlineLevel="0" collapsed="false">
      <c r="A1517" s="46" t="str">
        <f aca="false">Orders!A1517</f>
        <v>ORD-01516</v>
      </c>
      <c r="B1517" s="46" t="str">
        <f aca="false">PROPER(TRIM(Orders!K1517))</f>
        <v>Pune</v>
      </c>
      <c r="C1517" s="46" t="str">
        <f aca="false">IFERROR(VLOOKUP(Orders!D1517,Products!$A$2:$F$61,3,FALSE()),"Not Found")</f>
        <v>Home</v>
      </c>
      <c r="D1517" s="46" t="str">
        <f aca="false">IFERROR(VLOOKUP(Orders!C1517,Customers!$A$2:$F$301,5,FALSE()),"Not Found")</f>
        <v>Retail</v>
      </c>
      <c r="E1517" s="46" t="n">
        <f aca="false">IFERROR(VLOOKUP(Orders!C1517,Customers!$A$2:$F$301,3,FALSE()),"Not Found")</f>
        <v>22</v>
      </c>
      <c r="F1517" s="46" t="str">
        <f aca="false">IFERROR(VLOOKUP(Orders!E1517,Sales_Reps!$A$2:$E$31,3,FALSE()),"Not Found")</f>
        <v>North</v>
      </c>
      <c r="G1517" s="46" t="n">
        <f aca="false">IFERROR(VLOOKUP(Orders!D1517,Products!$A$2:$F$61,4,FALSE()),"")</f>
        <v>519</v>
      </c>
      <c r="H1517" s="47" t="n">
        <f aca="false">IF(G1517="","",(Orders!G1517-G1517)/Orders!G1517)</f>
        <v>0.519444444444445</v>
      </c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</row>
    <row r="1518" customFormat="false" ht="15" hidden="false" customHeight="false" outlineLevel="0" collapsed="false">
      <c r="A1518" s="46" t="str">
        <f aca="false">Orders!A1518</f>
        <v>ORD-01517</v>
      </c>
      <c r="B1518" s="46" t="str">
        <f aca="false">PROPER(TRIM(Orders!K1518))</f>
        <v>Delhi</v>
      </c>
      <c r="C1518" s="46" t="str">
        <f aca="false">IFERROR(VLOOKUP(Orders!D1518,Products!$A$2:$F$61,3,FALSE()),"Not Found")</f>
        <v>Sports</v>
      </c>
      <c r="D1518" s="46" t="str">
        <f aca="false">IFERROR(VLOOKUP(Orders!C1518,Customers!$A$2:$F$301,5,FALSE()),"Not Found")</f>
        <v>Retail</v>
      </c>
      <c r="E1518" s="46" t="n">
        <f aca="false">IFERROR(VLOOKUP(Orders!C1518,Customers!$A$2:$F$301,3,FALSE()),"Not Found")</f>
        <v>53</v>
      </c>
      <c r="F1518" s="46" t="str">
        <f aca="false">IFERROR(VLOOKUP(Orders!E1518,Sales_Reps!$A$2:$E$31,3,FALSE()),"Not Found")</f>
        <v>West</v>
      </c>
      <c r="G1518" s="46" t="n">
        <f aca="false">IFERROR(VLOOKUP(Orders!D1518,Products!$A$2:$F$61,4,FALSE()),"")</f>
        <v>302</v>
      </c>
      <c r="H1518" s="47" t="n">
        <f aca="false">IF(G1518="","",(Orders!G1518-G1518)/Orders!G1518)</f>
        <v>0.357446808510638</v>
      </c>
      <c r="I1518" s="46"/>
      <c r="J1518" s="46"/>
      <c r="K1518" s="46"/>
      <c r="L1518" s="46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</row>
    <row r="1519" customFormat="false" ht="15" hidden="false" customHeight="false" outlineLevel="0" collapsed="false">
      <c r="A1519" s="46" t="str">
        <f aca="false">Orders!A1519</f>
        <v>ORD-01518</v>
      </c>
      <c r="B1519" s="46" t="str">
        <f aca="false">PROPER(TRIM(Orders!K1519))</f>
        <v>Pune</v>
      </c>
      <c r="C1519" s="46" t="str">
        <f aca="false">IFERROR(VLOOKUP(Orders!D1519,Products!$A$2:$F$61,3,FALSE()),"Not Found")</f>
        <v>Electronics</v>
      </c>
      <c r="D1519" s="46" t="str">
        <f aca="false">IFERROR(VLOOKUP(Orders!C1519,Customers!$A$2:$F$301,5,FALSE()),"Not Found")</f>
        <v>Retail</v>
      </c>
      <c r="E1519" s="46" t="n">
        <f aca="false">IFERROR(VLOOKUP(Orders!C1519,Customers!$A$2:$F$301,3,FALSE()),"Not Found")</f>
        <v>25</v>
      </c>
      <c r="F1519" s="46" t="str">
        <f aca="false">IFERROR(VLOOKUP(Orders!E1519,Sales_Reps!$A$2:$E$31,3,FALSE()),"Not Found")</f>
        <v>East</v>
      </c>
      <c r="G1519" s="46" t="n">
        <f aca="false">IFERROR(VLOOKUP(Orders!D1519,Products!$A$2:$F$61,4,FALSE()),"")</f>
        <v>2865</v>
      </c>
      <c r="H1519" s="47" t="n">
        <f aca="false">IF(G1519="","",(Orders!G1519-G1519)/Orders!G1519)</f>
        <v>0.278337531486146</v>
      </c>
      <c r="I1519" s="46"/>
      <c r="J1519" s="46"/>
      <c r="K1519" s="46"/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/>
    </row>
    <row r="1520" customFormat="false" ht="15" hidden="false" customHeight="false" outlineLevel="0" collapsed="false">
      <c r="A1520" s="46" t="str">
        <f aca="false">Orders!A1520</f>
        <v>ORD-01519</v>
      </c>
      <c r="B1520" s="46" t="str">
        <f aca="false">PROPER(TRIM(Orders!K1520))</f>
        <v>Mumbai</v>
      </c>
      <c r="C1520" s="46" t="str">
        <f aca="false">IFERROR(VLOOKUP(Orders!D1520,Products!$A$2:$F$61,3,FALSE()),"Not Found")</f>
        <v>Beauty</v>
      </c>
      <c r="D1520" s="46" t="str">
        <f aca="false">IFERROR(VLOOKUP(Orders!C1520,Customers!$A$2:$F$301,5,FALSE()),"Not Found")</f>
        <v>Retail</v>
      </c>
      <c r="E1520" s="46" t="n">
        <f aca="false">IFERROR(VLOOKUP(Orders!C1520,Customers!$A$2:$F$301,3,FALSE()),"Not Found")</f>
        <v>29</v>
      </c>
      <c r="F1520" s="46" t="str">
        <f aca="false">IFERROR(VLOOKUP(Orders!E1520,Sales_Reps!$A$2:$E$31,3,FALSE()),"Not Found")</f>
        <v>South</v>
      </c>
      <c r="G1520" s="46" t="n">
        <f aca="false">IFERROR(VLOOKUP(Orders!D1520,Products!$A$2:$F$61,4,FALSE()),"")</f>
        <v>1222</v>
      </c>
      <c r="H1520" s="47" t="n">
        <f aca="false">IF(G1520="","",(Orders!G1520-G1520)/Orders!G1520)</f>
        <v>0.259393939393939</v>
      </c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/>
      <c r="AE1520" s="46"/>
      <c r="AF1520" s="46"/>
      <c r="AG1520" s="46"/>
      <c r="AH1520" s="46"/>
      <c r="AI1520" s="46"/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</row>
    <row r="1521" customFormat="false" ht="15" hidden="false" customHeight="false" outlineLevel="0" collapsed="false">
      <c r="A1521" s="46" t="str">
        <f aca="false">Orders!A1521</f>
        <v>ORD-01520</v>
      </c>
      <c r="B1521" s="46" t="str">
        <f aca="false">PROPER(TRIM(Orders!K1521))</f>
        <v>Hyderabad</v>
      </c>
      <c r="C1521" s="46" t="str">
        <f aca="false">IFERROR(VLOOKUP(Orders!D1521,Products!$A$2:$F$61,3,FALSE()),"Not Found")</f>
        <v>Beauty</v>
      </c>
      <c r="D1521" s="46" t="str">
        <f aca="false">IFERROR(VLOOKUP(Orders!C1521,Customers!$A$2:$F$301,5,FALSE()),"Not Found")</f>
        <v>Retail</v>
      </c>
      <c r="E1521" s="46" t="n">
        <f aca="false">IFERROR(VLOOKUP(Orders!C1521,Customers!$A$2:$F$301,3,FALSE()),"Not Found")</f>
        <v>31</v>
      </c>
      <c r="F1521" s="46" t="str">
        <f aca="false">IFERROR(VLOOKUP(Orders!E1521,Sales_Reps!$A$2:$E$31,3,FALSE()),"Not Found")</f>
        <v>North</v>
      </c>
      <c r="G1521" s="46" t="n">
        <f aca="false">IFERROR(VLOOKUP(Orders!D1521,Products!$A$2:$F$61,4,FALSE()),"")</f>
        <v>1728</v>
      </c>
      <c r="H1521" s="47" t="n">
        <f aca="false">IF(G1521="","",(Orders!G1521-G1521)/Orders!G1521)</f>
        <v>0.484179104477612</v>
      </c>
      <c r="I1521" s="46"/>
      <c r="J1521" s="46"/>
      <c r="K1521" s="46"/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</row>
    <row r="1522" customFormat="false" ht="15" hidden="false" customHeight="false" outlineLevel="0" collapsed="false">
      <c r="A1522" s="46" t="str">
        <f aca="false">Orders!A1522</f>
        <v>ORD-01521</v>
      </c>
      <c r="B1522" s="46" t="str">
        <f aca="false">PROPER(TRIM(Orders!K1522))</f>
        <v>Delhi</v>
      </c>
      <c r="C1522" s="46" t="str">
        <f aca="false">IFERROR(VLOOKUP(Orders!D1522,Products!$A$2:$F$61,3,FALSE()),"Not Found")</f>
        <v>Electronics</v>
      </c>
      <c r="D1522" s="46" t="str">
        <f aca="false">IFERROR(VLOOKUP(Orders!C1522,Customers!$A$2:$F$301,5,FALSE()),"Not Found")</f>
        <v>Corporate</v>
      </c>
      <c r="E1522" s="46" t="n">
        <f aca="false">IFERROR(VLOOKUP(Orders!C1522,Customers!$A$2:$F$301,3,FALSE()),"Not Found")</f>
        <v>55</v>
      </c>
      <c r="F1522" s="46" t="str">
        <f aca="false">IFERROR(VLOOKUP(Orders!E1522,Sales_Reps!$A$2:$E$31,3,FALSE()),"Not Found")</f>
        <v>East</v>
      </c>
      <c r="G1522" s="46" t="n">
        <f aca="false">IFERROR(VLOOKUP(Orders!D1522,Products!$A$2:$F$61,4,FALSE()),"")</f>
        <v>2865</v>
      </c>
      <c r="H1522" s="47" t="n">
        <f aca="false">IF(G1522="","",(Orders!G1522-G1522)/Orders!G1522)</f>
        <v>0.278337531486146</v>
      </c>
      <c r="I1522" s="46"/>
      <c r="J1522" s="46"/>
      <c r="K1522" s="46"/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</row>
    <row r="1523" customFormat="false" ht="15" hidden="false" customHeight="false" outlineLevel="0" collapsed="false">
      <c r="A1523" s="46" t="str">
        <f aca="false">Orders!A1523</f>
        <v>ORD-01522</v>
      </c>
      <c r="B1523" s="46" t="str">
        <f aca="false">PROPER(TRIM(Orders!K1523))</f>
        <v>Pune</v>
      </c>
      <c r="C1523" s="46" t="str">
        <f aca="false">IFERROR(VLOOKUP(Orders!D1523,Products!$A$2:$F$61,3,FALSE()),"Not Found")</f>
        <v>Grocery</v>
      </c>
      <c r="D1523" s="46" t="str">
        <f aca="false">IFERROR(VLOOKUP(Orders!C1523,Customers!$A$2:$F$301,5,FALSE()),"Not Found")</f>
        <v>Retail</v>
      </c>
      <c r="E1523" s="46" t="n">
        <f aca="false">IFERROR(VLOOKUP(Orders!C1523,Customers!$A$2:$F$301,3,FALSE()),"Not Found")</f>
        <v>36</v>
      </c>
      <c r="F1523" s="46" t="str">
        <f aca="false">IFERROR(VLOOKUP(Orders!E1523,Sales_Reps!$A$2:$E$31,3,FALSE()),"Not Found")</f>
        <v>East</v>
      </c>
      <c r="G1523" s="46" t="n">
        <f aca="false">IFERROR(VLOOKUP(Orders!D1523,Products!$A$2:$F$61,4,FALSE()),"")</f>
        <v>2436</v>
      </c>
      <c r="H1523" s="47" t="n">
        <f aca="false">IF(G1523="","",(Orders!G1523-G1523)/Orders!G1523)</f>
        <v>0.355555555555556</v>
      </c>
      <c r="I1523" s="46"/>
      <c r="J1523" s="46"/>
      <c r="K1523" s="46"/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  <c r="AA1523" s="46"/>
      <c r="AB1523" s="46"/>
      <c r="AC1523" s="46"/>
      <c r="AD1523" s="46"/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46"/>
      <c r="AY1523" s="46"/>
      <c r="AZ1523" s="46"/>
    </row>
    <row r="1524" customFormat="false" ht="15" hidden="false" customHeight="false" outlineLevel="0" collapsed="false">
      <c r="A1524" s="46" t="str">
        <f aca="false">Orders!A1524</f>
        <v>ORD-01523</v>
      </c>
      <c r="B1524" s="46" t="str">
        <f aca="false">PROPER(TRIM(Orders!K1524))</f>
        <v>Delhi</v>
      </c>
      <c r="C1524" s="46" t="str">
        <f aca="false">IFERROR(VLOOKUP(Orders!D1524,Products!$A$2:$F$61,3,FALSE()),"Not Found")</f>
        <v>Apparel</v>
      </c>
      <c r="D1524" s="46" t="str">
        <f aca="false">IFERROR(VLOOKUP(Orders!C1524,Customers!$A$2:$F$301,5,FALSE()),"Not Found")</f>
        <v>Retail</v>
      </c>
      <c r="E1524" s="46" t="n">
        <f aca="false">IFERROR(VLOOKUP(Orders!C1524,Customers!$A$2:$F$301,3,FALSE()),"Not Found")</f>
        <v>49</v>
      </c>
      <c r="F1524" s="46" t="str">
        <f aca="false">IFERROR(VLOOKUP(Orders!E1524,Sales_Reps!$A$2:$E$31,3,FALSE()),"Not Found")</f>
        <v>South</v>
      </c>
      <c r="G1524" s="46" t="n">
        <f aca="false">IFERROR(VLOOKUP(Orders!D1524,Products!$A$2:$F$61,4,FALSE()),"")</f>
        <v>391</v>
      </c>
      <c r="H1524" s="47" t="n">
        <f aca="false">IF(G1524="","",(Orders!G1524-G1524)/Orders!G1524)</f>
        <v>0.523170731707317</v>
      </c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</row>
    <row r="1525" customFormat="false" ht="15" hidden="false" customHeight="false" outlineLevel="0" collapsed="false">
      <c r="A1525" s="46" t="str">
        <f aca="false">Orders!A1525</f>
        <v>ORD-01524</v>
      </c>
      <c r="B1525" s="46" t="str">
        <f aca="false">PROPER(TRIM(Orders!K1525))</f>
        <v>Mumbai</v>
      </c>
      <c r="C1525" s="46" t="str">
        <f aca="false">IFERROR(VLOOKUP(Orders!D1525,Products!$A$2:$F$61,3,FALSE()),"Not Found")</f>
        <v>Beauty</v>
      </c>
      <c r="D1525" s="46" t="str">
        <f aca="false">IFERROR(VLOOKUP(Orders!C1525,Customers!$A$2:$F$301,5,FALSE()),"Not Found")</f>
        <v>Retail</v>
      </c>
      <c r="E1525" s="46" t="n">
        <f aca="false">IFERROR(VLOOKUP(Orders!C1525,Customers!$A$2:$F$301,3,FALSE()),"Not Found")</f>
        <v>56</v>
      </c>
      <c r="F1525" s="46" t="str">
        <f aca="false">IFERROR(VLOOKUP(Orders!E1525,Sales_Reps!$A$2:$E$31,3,FALSE()),"Not Found")</f>
        <v>East</v>
      </c>
      <c r="G1525" s="46" t="n">
        <f aca="false">IFERROR(VLOOKUP(Orders!D1525,Products!$A$2:$F$61,4,FALSE()),"")</f>
        <v>1222</v>
      </c>
      <c r="H1525" s="47" t="n">
        <f aca="false">IF(G1525="","",(Orders!G1525-G1525)/Orders!G1525)</f>
        <v>0.259393939393939</v>
      </c>
      <c r="I1525" s="46"/>
      <c r="J1525" s="46"/>
      <c r="K1525" s="46"/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46"/>
      <c r="AY1525" s="46"/>
      <c r="AZ1525" s="46"/>
    </row>
    <row r="1526" customFormat="false" ht="15" hidden="false" customHeight="false" outlineLevel="0" collapsed="false">
      <c r="A1526" s="46" t="str">
        <f aca="false">Orders!A1526</f>
        <v>ORD-01525</v>
      </c>
      <c r="B1526" s="46" t="str">
        <f aca="false">PROPER(TRIM(Orders!K1526))</f>
        <v>Pune</v>
      </c>
      <c r="C1526" s="46" t="str">
        <f aca="false">IFERROR(VLOOKUP(Orders!D1526,Products!$A$2:$F$61,3,FALSE()),"Not Found")</f>
        <v>Grocery</v>
      </c>
      <c r="D1526" s="46" t="str">
        <f aca="false">IFERROR(VLOOKUP(Orders!C1526,Customers!$A$2:$F$301,5,FALSE()),"Not Found")</f>
        <v>Retail</v>
      </c>
      <c r="E1526" s="46" t="n">
        <f aca="false">IFERROR(VLOOKUP(Orders!C1526,Customers!$A$2:$F$301,3,FALSE()),"Not Found")</f>
        <v>25</v>
      </c>
      <c r="F1526" s="46" t="str">
        <f aca="false">IFERROR(VLOOKUP(Orders!E1526,Sales_Reps!$A$2:$E$31,3,FALSE()),"Not Found")</f>
        <v>East</v>
      </c>
      <c r="G1526" s="46" t="n">
        <f aca="false">IFERROR(VLOOKUP(Orders!D1526,Products!$A$2:$F$61,4,FALSE()),"")</f>
        <v>2436</v>
      </c>
      <c r="H1526" s="47" t="n">
        <f aca="false">IF(G1526="","",(Orders!G1526-G1526)/Orders!G1526)</f>
        <v>0.355555555555556</v>
      </c>
      <c r="I1526" s="46"/>
      <c r="J1526" s="46"/>
      <c r="K1526" s="46"/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</row>
    <row r="1527" customFormat="false" ht="15" hidden="false" customHeight="false" outlineLevel="0" collapsed="false">
      <c r="A1527" s="46" t="str">
        <f aca="false">Orders!A1527</f>
        <v>ORD-01526</v>
      </c>
      <c r="B1527" s="46" t="str">
        <f aca="false">PROPER(TRIM(Orders!K1527))</f>
        <v>Mumbai</v>
      </c>
      <c r="C1527" s="46" t="str">
        <f aca="false">IFERROR(VLOOKUP(Orders!D1527,Products!$A$2:$F$61,3,FALSE()),"Not Found")</f>
        <v>Grocery</v>
      </c>
      <c r="D1527" s="46" t="str">
        <f aca="false">IFERROR(VLOOKUP(Orders!C1527,Customers!$A$2:$F$301,5,FALSE()),"Not Found")</f>
        <v>Retail</v>
      </c>
      <c r="E1527" s="46" t="n">
        <f aca="false">IFERROR(VLOOKUP(Orders!C1527,Customers!$A$2:$F$301,3,FALSE()),"Not Found")</f>
        <v>41</v>
      </c>
      <c r="F1527" s="46" t="str">
        <f aca="false">IFERROR(VLOOKUP(Orders!E1527,Sales_Reps!$A$2:$E$31,3,FALSE()),"Not Found")</f>
        <v>West</v>
      </c>
      <c r="G1527" s="46" t="n">
        <f aca="false">IFERROR(VLOOKUP(Orders!D1527,Products!$A$2:$F$61,4,FALSE()),"")</f>
        <v>1010</v>
      </c>
      <c r="H1527" s="47" t="n">
        <f aca="false">IF(G1527="","",(Orders!G1527-G1527)/Orders!G1527)</f>
        <v>0.542986425339367</v>
      </c>
      <c r="I1527" s="46"/>
      <c r="J1527" s="46"/>
      <c r="K1527" s="46"/>
      <c r="L1527" s="46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46"/>
      <c r="AZ1527" s="46"/>
    </row>
    <row r="1528" customFormat="false" ht="15" hidden="false" customHeight="false" outlineLevel="0" collapsed="false">
      <c r="A1528" s="46" t="str">
        <f aca="false">Orders!A1528</f>
        <v>ORD-01527</v>
      </c>
      <c r="B1528" s="46" t="str">
        <f aca="false">PROPER(TRIM(Orders!K1528))</f>
        <v>Hyderabad</v>
      </c>
      <c r="C1528" s="46" t="str">
        <f aca="false">IFERROR(VLOOKUP(Orders!D1528,Products!$A$2:$F$61,3,FALSE()),"Not Found")</f>
        <v>Sports</v>
      </c>
      <c r="D1528" s="46" t="str">
        <f aca="false">IFERROR(VLOOKUP(Orders!C1528,Customers!$A$2:$F$301,5,FALSE()),"Not Found")</f>
        <v>Retail</v>
      </c>
      <c r="E1528" s="46" t="n">
        <f aca="false">IFERROR(VLOOKUP(Orders!C1528,Customers!$A$2:$F$301,3,FALSE()),"Not Found")</f>
        <v>27</v>
      </c>
      <c r="F1528" s="46" t="str">
        <f aca="false">IFERROR(VLOOKUP(Orders!E1528,Sales_Reps!$A$2:$E$31,3,FALSE()),"Not Found")</f>
        <v>South</v>
      </c>
      <c r="G1528" s="46" t="n">
        <f aca="false">IFERROR(VLOOKUP(Orders!D1528,Products!$A$2:$F$61,4,FALSE()),"")</f>
        <v>2827</v>
      </c>
      <c r="H1528" s="47" t="n">
        <f aca="false">IF(G1528="","",(Orders!G1528-G1528)/Orders!G1528)</f>
        <v>0.592651296829971</v>
      </c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/>
      <c r="AD1528" s="46"/>
      <c r="AE1528" s="46"/>
      <c r="AF1528" s="46"/>
      <c r="AG1528" s="46"/>
      <c r="AH1528" s="46"/>
      <c r="AI1528" s="46"/>
      <c r="AJ1528" s="46"/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</row>
    <row r="1529" customFormat="false" ht="15" hidden="false" customHeight="false" outlineLevel="0" collapsed="false">
      <c r="A1529" s="46" t="str">
        <f aca="false">Orders!A1529</f>
        <v>ORD-01528</v>
      </c>
      <c r="B1529" s="46" t="str">
        <f aca="false">PROPER(TRIM(Orders!K1529))</f>
        <v>Chennai</v>
      </c>
      <c r="C1529" s="46" t="str">
        <f aca="false">IFERROR(VLOOKUP(Orders!D1529,Products!$A$2:$F$61,3,FALSE()),"Not Found")</f>
        <v>Beauty</v>
      </c>
      <c r="D1529" s="46" t="str">
        <f aca="false">IFERROR(VLOOKUP(Orders!C1529,Customers!$A$2:$F$301,5,FALSE()),"Not Found")</f>
        <v>SMB</v>
      </c>
      <c r="E1529" s="46" t="n">
        <f aca="false">IFERROR(VLOOKUP(Orders!C1529,Customers!$A$2:$F$301,3,FALSE()),"Not Found")</f>
        <v>62</v>
      </c>
      <c r="F1529" s="46" t="str">
        <f aca="false">IFERROR(VLOOKUP(Orders!E1529,Sales_Reps!$A$2:$E$31,3,FALSE()),"Not Found")</f>
        <v>North</v>
      </c>
      <c r="G1529" s="46" t="n">
        <f aca="false">IFERROR(VLOOKUP(Orders!D1529,Products!$A$2:$F$61,4,FALSE()),"")</f>
        <v>1219</v>
      </c>
      <c r="H1529" s="47" t="n">
        <f aca="false">IF(G1529="","",(Orders!G1529-G1529)/Orders!G1529)</f>
        <v>0.467685589519651</v>
      </c>
      <c r="I1529" s="46"/>
      <c r="J1529" s="46"/>
      <c r="K1529" s="46"/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46"/>
      <c r="AE1529" s="46"/>
      <c r="AF1529" s="46"/>
      <c r="AG1529" s="46"/>
      <c r="AH1529" s="46"/>
      <c r="AI1529" s="46"/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/>
      <c r="AZ1529" s="46"/>
    </row>
    <row r="1530" customFormat="false" ht="15" hidden="false" customHeight="false" outlineLevel="0" collapsed="false">
      <c r="A1530" s="46" t="str">
        <f aca="false">Orders!A1530</f>
        <v>ORD-01529</v>
      </c>
      <c r="B1530" s="46" t="str">
        <f aca="false">PROPER(TRIM(Orders!K1530))</f>
        <v>Chennai</v>
      </c>
      <c r="C1530" s="46" t="str">
        <f aca="false">IFERROR(VLOOKUP(Orders!D1530,Products!$A$2:$F$61,3,FALSE()),"Not Found")</f>
        <v>Home</v>
      </c>
      <c r="D1530" s="46" t="str">
        <f aca="false">IFERROR(VLOOKUP(Orders!C1530,Customers!$A$2:$F$301,5,FALSE()),"Not Found")</f>
        <v>Retail</v>
      </c>
      <c r="E1530" s="46" t="n">
        <f aca="false">IFERROR(VLOOKUP(Orders!C1530,Customers!$A$2:$F$301,3,FALSE()),"Not Found")</f>
        <v>26</v>
      </c>
      <c r="F1530" s="46" t="str">
        <f aca="false">IFERROR(VLOOKUP(Orders!E1530,Sales_Reps!$A$2:$E$31,3,FALSE()),"Not Found")</f>
        <v>West</v>
      </c>
      <c r="G1530" s="46" t="n">
        <f aca="false">IFERROR(VLOOKUP(Orders!D1530,Products!$A$2:$F$61,4,FALSE()),"")</f>
        <v>1143</v>
      </c>
      <c r="H1530" s="47" t="n">
        <f aca="false">IF(G1530="","",(Orders!G1530-G1530)/Orders!G1530)</f>
        <v>0.436945812807882</v>
      </c>
      <c r="I1530" s="46"/>
      <c r="J1530" s="46"/>
      <c r="K1530" s="46"/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6"/>
      <c r="AD1530" s="46"/>
      <c r="AE1530" s="46"/>
      <c r="AF1530" s="46"/>
      <c r="AG1530" s="46"/>
      <c r="AH1530" s="46"/>
      <c r="AI1530" s="46"/>
      <c r="AJ1530" s="46"/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</row>
    <row r="1531" customFormat="false" ht="15" hidden="false" customHeight="false" outlineLevel="0" collapsed="false">
      <c r="A1531" s="46" t="str">
        <f aca="false">Orders!A1531</f>
        <v>ORD-01530</v>
      </c>
      <c r="B1531" s="46" t="str">
        <f aca="false">PROPER(TRIM(Orders!K1531))</f>
        <v>Pune</v>
      </c>
      <c r="C1531" s="46" t="str">
        <f aca="false">IFERROR(VLOOKUP(Orders!D1531,Products!$A$2:$F$61,3,FALSE()),"Not Found")</f>
        <v>Electronics</v>
      </c>
      <c r="D1531" s="46" t="str">
        <f aca="false">IFERROR(VLOOKUP(Orders!C1531,Customers!$A$2:$F$301,5,FALSE()),"Not Found")</f>
        <v>SMB</v>
      </c>
      <c r="E1531" s="46" t="n">
        <f aca="false">IFERROR(VLOOKUP(Orders!C1531,Customers!$A$2:$F$301,3,FALSE()),"Not Found")</f>
        <v>30</v>
      </c>
      <c r="F1531" s="46" t="str">
        <f aca="false">IFERROR(VLOOKUP(Orders!E1531,Sales_Reps!$A$2:$E$31,3,FALSE()),"Not Found")</f>
        <v>West</v>
      </c>
      <c r="G1531" s="46" t="n">
        <f aca="false">IFERROR(VLOOKUP(Orders!D1531,Products!$A$2:$F$61,4,FALSE()),"")</f>
        <v>2865</v>
      </c>
      <c r="H1531" s="47" t="n">
        <f aca="false">IF(G1531="","",(Orders!G1531-G1531)/Orders!G1531)</f>
        <v>0.278337531486146</v>
      </c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</row>
    <row r="1532" customFormat="false" ht="15" hidden="false" customHeight="false" outlineLevel="0" collapsed="false">
      <c r="A1532" s="46" t="str">
        <f aca="false">Orders!A1532</f>
        <v>ORD-01821</v>
      </c>
      <c r="B1532" s="46" t="str">
        <f aca="false">PROPER(TRIM(Orders!K1532))</f>
        <v>Mumbai</v>
      </c>
      <c r="C1532" s="46" t="str">
        <f aca="false">IFERROR(VLOOKUP(Orders!D1532,Products!$A$2:$F$61,3,FALSE()),"Not Found")</f>
        <v>Apparel</v>
      </c>
      <c r="D1532" s="46" t="str">
        <f aca="false">IFERROR(VLOOKUP(Orders!C1532,Customers!$A$2:$F$301,5,FALSE()),"Not Found")</f>
        <v>Corporate</v>
      </c>
      <c r="E1532" s="46" t="n">
        <f aca="false">IFERROR(VLOOKUP(Orders!C1532,Customers!$A$2:$F$301,3,FALSE()),"Not Found")</f>
        <v>51</v>
      </c>
      <c r="F1532" s="46" t="str">
        <f aca="false">IFERROR(VLOOKUP(Orders!E1532,Sales_Reps!$A$2:$E$31,3,FALSE()),"Not Found")</f>
        <v>South</v>
      </c>
      <c r="G1532" s="46" t="n">
        <f aca="false">IFERROR(VLOOKUP(Orders!D1532,Products!$A$2:$F$61,4,FALSE()),"")</f>
        <v>391</v>
      </c>
      <c r="H1532" s="47" t="n">
        <f aca="false">IF(G1532="","",(Orders!G1532-G1532)/Orders!G1532)</f>
        <v>0.523170731707317</v>
      </c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/>
      <c r="AC1532" s="46"/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</row>
    <row r="1533" customFormat="false" ht="15" hidden="false" customHeight="false" outlineLevel="0" collapsed="false">
      <c r="A1533" s="46" t="str">
        <f aca="false">Orders!A1533</f>
        <v>ORD-01532</v>
      </c>
      <c r="B1533" s="46" t="str">
        <f aca="false">PROPER(TRIM(Orders!K1533))</f>
        <v>Delhi</v>
      </c>
      <c r="C1533" s="46" t="str">
        <f aca="false">IFERROR(VLOOKUP(Orders!D1533,Products!$A$2:$F$61,3,FALSE()),"Not Found")</f>
        <v>Electronics</v>
      </c>
      <c r="D1533" s="46" t="str">
        <f aca="false">IFERROR(VLOOKUP(Orders!C1533,Customers!$A$2:$F$301,5,FALSE()),"Not Found")</f>
        <v>Retail</v>
      </c>
      <c r="E1533" s="46" t="n">
        <f aca="false">IFERROR(VLOOKUP(Orders!C1533,Customers!$A$2:$F$301,3,FALSE()),"Not Found")</f>
        <v>31</v>
      </c>
      <c r="F1533" s="46" t="str">
        <f aca="false">IFERROR(VLOOKUP(Orders!E1533,Sales_Reps!$A$2:$E$31,3,FALSE()),"Not Found")</f>
        <v>West</v>
      </c>
      <c r="G1533" s="46" t="n">
        <f aca="false">IFERROR(VLOOKUP(Orders!D1533,Products!$A$2:$F$61,4,FALSE()),"")</f>
        <v>1559</v>
      </c>
      <c r="H1533" s="47" t="n">
        <f aca="false">IF(G1533="","",(Orders!G1533-G1533)/Orders!G1533)</f>
        <v>0.597157622739018</v>
      </c>
      <c r="I1533" s="46"/>
      <c r="J1533" s="46"/>
      <c r="K1533" s="46"/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</row>
    <row r="1534" customFormat="false" ht="15" hidden="false" customHeight="false" outlineLevel="0" collapsed="false">
      <c r="A1534" s="46" t="str">
        <f aca="false">Orders!A1534</f>
        <v>ORD-01533</v>
      </c>
      <c r="B1534" s="46" t="str">
        <f aca="false">PROPER(TRIM(Orders!K1534))</f>
        <v>Mumbai</v>
      </c>
      <c r="C1534" s="46" t="str">
        <f aca="false">IFERROR(VLOOKUP(Orders!D1534,Products!$A$2:$F$61,3,FALSE()),"Not Found")</f>
        <v>Grocery</v>
      </c>
      <c r="D1534" s="46" t="str">
        <f aca="false">IFERROR(VLOOKUP(Orders!C1534,Customers!$A$2:$F$301,5,FALSE()),"Not Found")</f>
        <v>Retail</v>
      </c>
      <c r="E1534" s="46" t="n">
        <f aca="false">IFERROR(VLOOKUP(Orders!C1534,Customers!$A$2:$F$301,3,FALSE()),"Not Found")</f>
        <v>44</v>
      </c>
      <c r="F1534" s="46" t="str">
        <f aca="false">IFERROR(VLOOKUP(Orders!E1534,Sales_Reps!$A$2:$E$31,3,FALSE()),"Not Found")</f>
        <v>East</v>
      </c>
      <c r="G1534" s="46" t="n">
        <f aca="false">IFERROR(VLOOKUP(Orders!D1534,Products!$A$2:$F$61,4,FALSE()),"")</f>
        <v>434</v>
      </c>
      <c r="H1534" s="47" t="n">
        <f aca="false">IF(G1534="","",(Orders!G1534-G1534)/Orders!G1534)</f>
        <v>0.552577319587629</v>
      </c>
      <c r="I1534" s="46"/>
      <c r="J1534" s="46"/>
      <c r="K1534" s="46"/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46"/>
      <c r="AY1534" s="46"/>
      <c r="AZ1534" s="46"/>
    </row>
    <row r="1535" customFormat="false" ht="15" hidden="false" customHeight="false" outlineLevel="0" collapsed="false">
      <c r="A1535" s="46" t="str">
        <f aca="false">Orders!A1535</f>
        <v>ORD-01534</v>
      </c>
      <c r="B1535" s="46" t="str">
        <f aca="false">PROPER(TRIM(Orders!K1535))</f>
        <v>Hyderabad</v>
      </c>
      <c r="C1535" s="46" t="str">
        <f aca="false">IFERROR(VLOOKUP(Orders!D1535,Products!$A$2:$F$61,3,FALSE()),"Not Found")</f>
        <v>Beauty</v>
      </c>
      <c r="D1535" s="46" t="str">
        <f aca="false">IFERROR(VLOOKUP(Orders!C1535,Customers!$A$2:$F$301,5,FALSE()),"Not Found")</f>
        <v>SMB</v>
      </c>
      <c r="E1535" s="46" t="n">
        <f aca="false">IFERROR(VLOOKUP(Orders!C1535,Customers!$A$2:$F$301,3,FALSE()),"Not Found")</f>
        <v>43</v>
      </c>
      <c r="F1535" s="46" t="str">
        <f aca="false">IFERROR(VLOOKUP(Orders!E1535,Sales_Reps!$A$2:$E$31,3,FALSE()),"Not Found")</f>
        <v>West</v>
      </c>
      <c r="G1535" s="46" t="n">
        <f aca="false">IFERROR(VLOOKUP(Orders!D1535,Products!$A$2:$F$61,4,FALSE()),"")</f>
        <v>2768</v>
      </c>
      <c r="H1535" s="47" t="n">
        <f aca="false">IF(G1535="","",(Orders!G1535-G1535)/Orders!G1535)</f>
        <v>0.432786885245902</v>
      </c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/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</row>
    <row r="1536" customFormat="false" ht="15" hidden="false" customHeight="false" outlineLevel="0" collapsed="false">
      <c r="A1536" s="46" t="str">
        <f aca="false">Orders!A1536</f>
        <v>ORD-01535</v>
      </c>
      <c r="B1536" s="46" t="str">
        <f aca="false">PROPER(TRIM(Orders!K1536))</f>
        <v>Bengaluru</v>
      </c>
      <c r="C1536" s="46" t="str">
        <f aca="false">IFERROR(VLOOKUP(Orders!D1536,Products!$A$2:$F$61,3,FALSE()),"Not Found")</f>
        <v>Grocery</v>
      </c>
      <c r="D1536" s="46" t="str">
        <f aca="false">IFERROR(VLOOKUP(Orders!C1536,Customers!$A$2:$F$301,5,FALSE()),"Not Found")</f>
        <v>Corporate</v>
      </c>
      <c r="E1536" s="46" t="n">
        <f aca="false">IFERROR(VLOOKUP(Orders!C1536,Customers!$A$2:$F$301,3,FALSE()),"Not Found")</f>
        <v>41</v>
      </c>
      <c r="F1536" s="46" t="str">
        <f aca="false">IFERROR(VLOOKUP(Orders!E1536,Sales_Reps!$A$2:$E$31,3,FALSE()),"Not Found")</f>
        <v>East</v>
      </c>
      <c r="G1536" s="46" t="n">
        <f aca="false">IFERROR(VLOOKUP(Orders!D1536,Products!$A$2:$F$61,4,FALSE()),"")</f>
        <v>1412</v>
      </c>
      <c r="H1536" s="47" t="n">
        <f aca="false">IF(G1536="","",(Orders!G1536-G1536)/Orders!G1536)</f>
        <v>0.377973568281938</v>
      </c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</row>
    <row r="1537" customFormat="false" ht="15" hidden="false" customHeight="false" outlineLevel="0" collapsed="false">
      <c r="A1537" s="46" t="str">
        <f aca="false">Orders!A1537</f>
        <v>ORD-01536</v>
      </c>
      <c r="B1537" s="46" t="str">
        <f aca="false">PROPER(TRIM(Orders!K1537))</f>
        <v>Bengaluru</v>
      </c>
      <c r="C1537" s="46" t="str">
        <f aca="false">IFERROR(VLOOKUP(Orders!D1537,Products!$A$2:$F$61,3,FALSE()),"Not Found")</f>
        <v>Beauty</v>
      </c>
      <c r="D1537" s="46" t="str">
        <f aca="false">IFERROR(VLOOKUP(Orders!C1537,Customers!$A$2:$F$301,5,FALSE()),"Not Found")</f>
        <v>SMB</v>
      </c>
      <c r="E1537" s="46" t="n">
        <f aca="false">IFERROR(VLOOKUP(Orders!C1537,Customers!$A$2:$F$301,3,FALSE()),"Not Found")</f>
        <v>46</v>
      </c>
      <c r="F1537" s="46" t="str">
        <f aca="false">IFERROR(VLOOKUP(Orders!E1537,Sales_Reps!$A$2:$E$31,3,FALSE()),"Not Found")</f>
        <v>West</v>
      </c>
      <c r="G1537" s="46" t="n">
        <f aca="false">IFERROR(VLOOKUP(Orders!D1537,Products!$A$2:$F$61,4,FALSE()),"")</f>
        <v>2420</v>
      </c>
      <c r="H1537" s="47" t="n">
        <f aca="false">IF(G1537="","",(Orders!G1537-G1537)/Orders!G1537)</f>
        <v>0.298550724637681</v>
      </c>
      <c r="I1537" s="46"/>
      <c r="J1537" s="46"/>
      <c r="K1537" s="46"/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  <c r="AB1537" s="46"/>
      <c r="AC1537" s="46"/>
      <c r="AD1537" s="46"/>
      <c r="AE1537" s="46"/>
      <c r="AF1537" s="46"/>
      <c r="AG1537" s="46"/>
      <c r="AH1537" s="46"/>
      <c r="AI1537" s="46"/>
      <c r="AJ1537" s="46"/>
      <c r="AK1537" s="46"/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</row>
    <row r="1538" customFormat="false" ht="15" hidden="false" customHeight="false" outlineLevel="0" collapsed="false">
      <c r="A1538" s="46" t="str">
        <f aca="false">Orders!A1538</f>
        <v>ORD-01537</v>
      </c>
      <c r="B1538" s="46" t="str">
        <f aca="false">PROPER(TRIM(Orders!K1538))</f>
        <v>Hyderabad</v>
      </c>
      <c r="C1538" s="46" t="str">
        <f aca="false">IFERROR(VLOOKUP(Orders!D1538,Products!$A$2:$F$61,3,FALSE()),"Not Found")</f>
        <v>Grocery</v>
      </c>
      <c r="D1538" s="46" t="str">
        <f aca="false">IFERROR(VLOOKUP(Orders!C1538,Customers!$A$2:$F$301,5,FALSE()),"Not Found")</f>
        <v>SMB</v>
      </c>
      <c r="E1538" s="46" t="n">
        <f aca="false">IFERROR(VLOOKUP(Orders!C1538,Customers!$A$2:$F$301,3,FALSE()),"Not Found")</f>
        <v>43</v>
      </c>
      <c r="F1538" s="46" t="str">
        <f aca="false">IFERROR(VLOOKUP(Orders!E1538,Sales_Reps!$A$2:$E$31,3,FALSE()),"Not Found")</f>
        <v>South</v>
      </c>
      <c r="G1538" s="46" t="n">
        <f aca="false">IFERROR(VLOOKUP(Orders!D1538,Products!$A$2:$F$61,4,FALSE()),"")</f>
        <v>1412</v>
      </c>
      <c r="H1538" s="47" t="n">
        <f aca="false">IF(G1538="","",(Orders!G1538-G1538)/Orders!G1538)</f>
        <v>0.377973568281938</v>
      </c>
      <c r="I1538" s="46"/>
      <c r="J1538" s="46"/>
      <c r="K1538" s="46"/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</row>
    <row r="1539" customFormat="false" ht="15" hidden="false" customHeight="false" outlineLevel="0" collapsed="false">
      <c r="A1539" s="46" t="str">
        <f aca="false">Orders!A1539</f>
        <v>ORD-01538</v>
      </c>
      <c r="B1539" s="46" t="str">
        <f aca="false">PROPER(TRIM(Orders!K1539))</f>
        <v>Bengaluru</v>
      </c>
      <c r="C1539" s="46" t="str">
        <f aca="false">IFERROR(VLOOKUP(Orders!D1539,Products!$A$2:$F$61,3,FALSE()),"Not Found")</f>
        <v>Grocery</v>
      </c>
      <c r="D1539" s="46" t="str">
        <f aca="false">IFERROR(VLOOKUP(Orders!C1539,Customers!$A$2:$F$301,5,FALSE()),"Not Found")</f>
        <v>Retail</v>
      </c>
      <c r="E1539" s="46" t="n">
        <f aca="false">IFERROR(VLOOKUP(Orders!C1539,Customers!$A$2:$F$301,3,FALSE()),"Not Found")</f>
        <v>28</v>
      </c>
      <c r="F1539" s="46" t="str">
        <f aca="false">IFERROR(VLOOKUP(Orders!E1539,Sales_Reps!$A$2:$E$31,3,FALSE()),"Not Found")</f>
        <v>West</v>
      </c>
      <c r="G1539" s="46" t="n">
        <f aca="false">IFERROR(VLOOKUP(Orders!D1539,Products!$A$2:$F$61,4,FALSE()),"")</f>
        <v>1010</v>
      </c>
      <c r="H1539" s="47" t="n">
        <f aca="false">IF(G1539="","",(Orders!G1539-G1539)/Orders!G1539)</f>
        <v>0.542986425339367</v>
      </c>
      <c r="I1539" s="46"/>
      <c r="J1539" s="46"/>
      <c r="K1539" s="46"/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</row>
    <row r="1540" customFormat="false" ht="15" hidden="false" customHeight="false" outlineLevel="0" collapsed="false">
      <c r="A1540" s="46" t="str">
        <f aca="false">Orders!A1540</f>
        <v>ORD-01539</v>
      </c>
      <c r="B1540" s="46" t="str">
        <f aca="false">PROPER(TRIM(Orders!K1540))</f>
        <v>Delhi</v>
      </c>
      <c r="C1540" s="46" t="str">
        <f aca="false">IFERROR(VLOOKUP(Orders!D1540,Products!$A$2:$F$61,3,FALSE()),"Not Found")</f>
        <v>Home</v>
      </c>
      <c r="D1540" s="46" t="str">
        <f aca="false">IFERROR(VLOOKUP(Orders!C1540,Customers!$A$2:$F$301,5,FALSE()),"Not Found")</f>
        <v>SMB</v>
      </c>
      <c r="E1540" s="46" t="n">
        <f aca="false">IFERROR(VLOOKUP(Orders!C1540,Customers!$A$2:$F$301,3,FALSE()),"Not Found")</f>
        <v>59</v>
      </c>
      <c r="F1540" s="46" t="str">
        <f aca="false">IFERROR(VLOOKUP(Orders!E1540,Sales_Reps!$A$2:$E$31,3,FALSE()),"Not Found")</f>
        <v>South</v>
      </c>
      <c r="G1540" s="46" t="n">
        <f aca="false">IFERROR(VLOOKUP(Orders!D1540,Products!$A$2:$F$61,4,FALSE()),"")</f>
        <v>1143</v>
      </c>
      <c r="H1540" s="47" t="n">
        <f aca="false">IF(G1540="","",(Orders!G1540-G1540)/Orders!G1540)</f>
        <v>0.436945812807882</v>
      </c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</row>
    <row r="1541" customFormat="false" ht="15" hidden="false" customHeight="false" outlineLevel="0" collapsed="false">
      <c r="A1541" s="46" t="str">
        <f aca="false">Orders!A1541</f>
        <v>ORD-01540</v>
      </c>
      <c r="B1541" s="46" t="str">
        <f aca="false">PROPER(TRIM(Orders!K1541))</f>
        <v>Hyderabad</v>
      </c>
      <c r="C1541" s="46" t="str">
        <f aca="false">IFERROR(VLOOKUP(Orders!D1541,Products!$A$2:$F$61,3,FALSE()),"Not Found")</f>
        <v>Beauty</v>
      </c>
      <c r="D1541" s="46" t="str">
        <f aca="false">IFERROR(VLOOKUP(Orders!C1541,Customers!$A$2:$F$301,5,FALSE()),"Not Found")</f>
        <v>Retail</v>
      </c>
      <c r="E1541" s="46" t="n">
        <f aca="false">IFERROR(VLOOKUP(Orders!C1541,Customers!$A$2:$F$301,3,FALSE()),"Not Found")</f>
        <v>44</v>
      </c>
      <c r="F1541" s="46" t="str">
        <f aca="false">IFERROR(VLOOKUP(Orders!E1541,Sales_Reps!$A$2:$E$31,3,FALSE()),"Not Found")</f>
        <v>East</v>
      </c>
      <c r="G1541" s="46" t="n">
        <f aca="false">IFERROR(VLOOKUP(Orders!D1541,Products!$A$2:$F$61,4,FALSE()),"")</f>
        <v>1728</v>
      </c>
      <c r="H1541" s="47" t="n">
        <f aca="false">IF(G1541="","",(Orders!G1541-G1541)/Orders!G1541)</f>
        <v>0.484179104477612</v>
      </c>
      <c r="I1541" s="46"/>
      <c r="J1541" s="46"/>
      <c r="K1541" s="46"/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</row>
    <row r="1542" customFormat="false" ht="15" hidden="false" customHeight="false" outlineLevel="0" collapsed="false">
      <c r="A1542" s="46" t="str">
        <f aca="false">Orders!A1542</f>
        <v>ORD-01541</v>
      </c>
      <c r="B1542" s="46" t="str">
        <f aca="false">PROPER(TRIM(Orders!K1542))</f>
        <v>Chennai</v>
      </c>
      <c r="C1542" s="46" t="str">
        <f aca="false">IFERROR(VLOOKUP(Orders!D1542,Products!$A$2:$F$61,3,FALSE()),"Not Found")</f>
        <v>Apparel</v>
      </c>
      <c r="D1542" s="46" t="str">
        <f aca="false">IFERROR(VLOOKUP(Orders!C1542,Customers!$A$2:$F$301,5,FALSE()),"Not Found")</f>
        <v>Retail</v>
      </c>
      <c r="E1542" s="46" t="n">
        <f aca="false">IFERROR(VLOOKUP(Orders!C1542,Customers!$A$2:$F$301,3,FALSE()),"Not Found")</f>
        <v>35</v>
      </c>
      <c r="F1542" s="46" t="str">
        <f aca="false">IFERROR(VLOOKUP(Orders!E1542,Sales_Reps!$A$2:$E$31,3,FALSE()),"Not Found")</f>
        <v>North</v>
      </c>
      <c r="G1542" s="46" t="n">
        <f aca="false">IFERROR(VLOOKUP(Orders!D1542,Products!$A$2:$F$61,4,FALSE()),"")</f>
        <v>2611</v>
      </c>
      <c r="H1542" s="47" t="n">
        <f aca="false">IF(G1542="","",(Orders!G1542-G1542)/Orders!G1542)</f>
        <v>0.282692307692308</v>
      </c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</row>
    <row r="1543" customFormat="false" ht="15" hidden="false" customHeight="false" outlineLevel="0" collapsed="false">
      <c r="A1543" s="46" t="str">
        <f aca="false">Orders!A1543</f>
        <v>ORD-01542</v>
      </c>
      <c r="B1543" s="46" t="str">
        <f aca="false">PROPER(TRIM(Orders!K1543))</f>
        <v>Mumbai</v>
      </c>
      <c r="C1543" s="46" t="str">
        <f aca="false">IFERROR(VLOOKUP(Orders!D1543,Products!$A$2:$F$61,3,FALSE()),"Not Found")</f>
        <v>Sports</v>
      </c>
      <c r="D1543" s="46" t="str">
        <f aca="false">IFERROR(VLOOKUP(Orders!C1543,Customers!$A$2:$F$301,5,FALSE()),"Not Found")</f>
        <v>Retail</v>
      </c>
      <c r="E1543" s="46" t="n">
        <f aca="false">IFERROR(VLOOKUP(Orders!C1543,Customers!$A$2:$F$301,3,FALSE()),"Not Found")</f>
        <v>37</v>
      </c>
      <c r="F1543" s="46" t="str">
        <f aca="false">IFERROR(VLOOKUP(Orders!E1543,Sales_Reps!$A$2:$E$31,3,FALSE()),"Not Found")</f>
        <v>East</v>
      </c>
      <c r="G1543" s="46" t="n">
        <f aca="false">IFERROR(VLOOKUP(Orders!D1543,Products!$A$2:$F$61,4,FALSE()),"")</f>
        <v>2467</v>
      </c>
      <c r="H1543" s="47" t="n">
        <f aca="false">IF(G1543="","",(Orders!G1543-G1543)/Orders!G1543)</f>
        <v>0.284927536231884</v>
      </c>
      <c r="I1543" s="46"/>
      <c r="J1543" s="46"/>
      <c r="K1543" s="46"/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</row>
    <row r="1544" customFormat="false" ht="15" hidden="false" customHeight="false" outlineLevel="0" collapsed="false">
      <c r="A1544" s="46" t="str">
        <f aca="false">Orders!A1544</f>
        <v>ORD-01543</v>
      </c>
      <c r="B1544" s="46" t="str">
        <f aca="false">PROPER(TRIM(Orders!K1544))</f>
        <v>Delhi</v>
      </c>
      <c r="C1544" s="46" t="str">
        <f aca="false">IFERROR(VLOOKUP(Orders!D1544,Products!$A$2:$F$61,3,FALSE()),"Not Found")</f>
        <v>Beauty</v>
      </c>
      <c r="D1544" s="46" t="str">
        <f aca="false">IFERROR(VLOOKUP(Orders!C1544,Customers!$A$2:$F$301,5,FALSE()),"Not Found")</f>
        <v>SMB</v>
      </c>
      <c r="E1544" s="46" t="n">
        <f aca="false">IFERROR(VLOOKUP(Orders!C1544,Customers!$A$2:$F$301,3,FALSE()),"Not Found")</f>
        <v>38</v>
      </c>
      <c r="F1544" s="46" t="str">
        <f aca="false">IFERROR(VLOOKUP(Orders!E1544,Sales_Reps!$A$2:$E$31,3,FALSE()),"Not Found")</f>
        <v>North</v>
      </c>
      <c r="G1544" s="46" t="n">
        <f aca="false">IFERROR(VLOOKUP(Orders!D1544,Products!$A$2:$F$61,4,FALSE()),"")</f>
        <v>2420</v>
      </c>
      <c r="H1544" s="47" t="n">
        <f aca="false">IF(G1544="","",(Orders!G1544-G1544)/Orders!G1544)</f>
        <v>0.298550724637681</v>
      </c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</row>
    <row r="1545" customFormat="false" ht="15" hidden="false" customHeight="false" outlineLevel="0" collapsed="false">
      <c r="A1545" s="46" t="str">
        <f aca="false">Orders!A1545</f>
        <v>ORD-01544</v>
      </c>
      <c r="B1545" s="46" t="str">
        <f aca="false">PROPER(TRIM(Orders!K1545))</f>
        <v>Delhi</v>
      </c>
      <c r="C1545" s="46" t="str">
        <f aca="false">IFERROR(VLOOKUP(Orders!D1545,Products!$A$2:$F$61,3,FALSE()),"Not Found")</f>
        <v>Beauty</v>
      </c>
      <c r="D1545" s="46" t="str">
        <f aca="false">IFERROR(VLOOKUP(Orders!C1545,Customers!$A$2:$F$301,5,FALSE()),"Not Found")</f>
        <v>Retail</v>
      </c>
      <c r="E1545" s="46" t="n">
        <f aca="false">IFERROR(VLOOKUP(Orders!C1545,Customers!$A$2:$F$301,3,FALSE()),"Not Found")</f>
        <v>31</v>
      </c>
      <c r="F1545" s="46" t="str">
        <f aca="false">IFERROR(VLOOKUP(Orders!E1545,Sales_Reps!$A$2:$E$31,3,FALSE()),"Not Found")</f>
        <v>East</v>
      </c>
      <c r="G1545" s="46" t="n">
        <f aca="false">IFERROR(VLOOKUP(Orders!D1545,Products!$A$2:$F$61,4,FALSE()),"")</f>
        <v>1219</v>
      </c>
      <c r="H1545" s="47" t="n">
        <f aca="false">IF(G1545="","",(Orders!G1545-G1545)/Orders!G1545)</f>
        <v>0.467685589519651</v>
      </c>
      <c r="I1545" s="46"/>
      <c r="J1545" s="46"/>
      <c r="K1545" s="46"/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  <c r="AB1545" s="46"/>
      <c r="AC1545" s="46"/>
      <c r="AD1545" s="46"/>
      <c r="AE1545" s="46"/>
      <c r="AF1545" s="46"/>
      <c r="AG1545" s="46"/>
      <c r="AH1545" s="46"/>
      <c r="AI1545" s="46"/>
      <c r="AJ1545" s="46"/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</row>
    <row r="1546" customFormat="false" ht="15" hidden="false" customHeight="false" outlineLevel="0" collapsed="false">
      <c r="A1546" s="46" t="str">
        <f aca="false">Orders!A1546</f>
        <v>ORD-01545</v>
      </c>
      <c r="B1546" s="46" t="str">
        <f aca="false">PROPER(TRIM(Orders!K1546))</f>
        <v>Hyderabad</v>
      </c>
      <c r="C1546" s="46" t="str">
        <f aca="false">IFERROR(VLOOKUP(Orders!D1546,Products!$A$2:$F$61,3,FALSE()),"Not Found")</f>
        <v>Sports</v>
      </c>
      <c r="D1546" s="46" t="str">
        <f aca="false">IFERROR(VLOOKUP(Orders!C1546,Customers!$A$2:$F$301,5,FALSE()),"Not Found")</f>
        <v>Retail</v>
      </c>
      <c r="E1546" s="46" t="n">
        <f aca="false">IFERROR(VLOOKUP(Orders!C1546,Customers!$A$2:$F$301,3,FALSE()),"Not Found")</f>
        <v>65</v>
      </c>
      <c r="F1546" s="46" t="str">
        <f aca="false">IFERROR(VLOOKUP(Orders!E1546,Sales_Reps!$A$2:$E$31,3,FALSE()),"Not Found")</f>
        <v>South</v>
      </c>
      <c r="G1546" s="46" t="n">
        <f aca="false">IFERROR(VLOOKUP(Orders!D1546,Products!$A$2:$F$61,4,FALSE()),"")</f>
        <v>705</v>
      </c>
      <c r="H1546" s="47" t="n">
        <f aca="false">IF(G1546="","",(Orders!G1546-G1546)/Orders!G1546)</f>
        <v>0.265625</v>
      </c>
      <c r="I1546" s="46"/>
      <c r="J1546" s="46"/>
      <c r="K1546" s="46"/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</row>
    <row r="1547" customFormat="false" ht="15" hidden="false" customHeight="false" outlineLevel="0" collapsed="false">
      <c r="A1547" s="46" t="str">
        <f aca="false">Orders!A1547</f>
        <v>ORD-01546</v>
      </c>
      <c r="B1547" s="46" t="str">
        <f aca="false">PROPER(TRIM(Orders!K1547))</f>
        <v>Delhi</v>
      </c>
      <c r="C1547" s="46" t="str">
        <f aca="false">IFERROR(VLOOKUP(Orders!D1547,Products!$A$2:$F$61,3,FALSE()),"Not Found")</f>
        <v>Home</v>
      </c>
      <c r="D1547" s="46" t="str">
        <f aca="false">IFERROR(VLOOKUP(Orders!C1547,Customers!$A$2:$F$301,5,FALSE()),"Not Found")</f>
        <v>SMB</v>
      </c>
      <c r="E1547" s="46" t="n">
        <f aca="false">IFERROR(VLOOKUP(Orders!C1547,Customers!$A$2:$F$301,3,FALSE()),"Not Found")</f>
        <v>26</v>
      </c>
      <c r="F1547" s="46" t="str">
        <f aca="false">IFERROR(VLOOKUP(Orders!E1547,Sales_Reps!$A$2:$E$31,3,FALSE()),"Not Found")</f>
        <v>West</v>
      </c>
      <c r="G1547" s="46" t="n">
        <f aca="false">IFERROR(VLOOKUP(Orders!D1547,Products!$A$2:$F$61,4,FALSE()),"")</f>
        <v>1850</v>
      </c>
      <c r="H1547" s="47" t="n">
        <f aca="false">IF(G1547="","",(Orders!G1547-G1547)/Orders!G1547)</f>
        <v>0.598698481561822</v>
      </c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/>
      <c r="AE1547" s="46"/>
      <c r="AF1547" s="46"/>
      <c r="AG1547" s="46"/>
      <c r="AH1547" s="46"/>
      <c r="AI1547" s="46"/>
      <c r="AJ1547" s="46"/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</row>
    <row r="1548" customFormat="false" ht="15" hidden="false" customHeight="false" outlineLevel="0" collapsed="false">
      <c r="A1548" s="46" t="str">
        <f aca="false">Orders!A1548</f>
        <v>ORD-01547</v>
      </c>
      <c r="B1548" s="46" t="str">
        <f aca="false">PROPER(TRIM(Orders!K1548))</f>
        <v>Mumbai</v>
      </c>
      <c r="C1548" s="46" t="str">
        <f aca="false">IFERROR(VLOOKUP(Orders!D1548,Products!$A$2:$F$61,3,FALSE()),"Not Found")</f>
        <v>Grocery</v>
      </c>
      <c r="D1548" s="46" t="str">
        <f aca="false">IFERROR(VLOOKUP(Orders!C1548,Customers!$A$2:$F$301,5,FALSE()),"Not Found")</f>
        <v>SMB</v>
      </c>
      <c r="E1548" s="46" t="n">
        <f aca="false">IFERROR(VLOOKUP(Orders!C1548,Customers!$A$2:$F$301,3,FALSE()),"Not Found")</f>
        <v>53</v>
      </c>
      <c r="F1548" s="46" t="str">
        <f aca="false">IFERROR(VLOOKUP(Orders!E1548,Sales_Reps!$A$2:$E$31,3,FALSE()),"Not Found")</f>
        <v>North</v>
      </c>
      <c r="G1548" s="46" t="n">
        <f aca="false">IFERROR(VLOOKUP(Orders!D1548,Products!$A$2:$F$61,4,FALSE()),"")</f>
        <v>2214</v>
      </c>
      <c r="H1548" s="47" t="n">
        <f aca="false">IF(G1548="","",(Orders!G1548-G1548)/Orders!G1548)</f>
        <v>0.395081967213115</v>
      </c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</row>
    <row r="1549" customFormat="false" ht="15" hidden="false" customHeight="false" outlineLevel="0" collapsed="false">
      <c r="A1549" s="46" t="str">
        <f aca="false">Orders!A1549</f>
        <v>ORD-01548</v>
      </c>
      <c r="B1549" s="46" t="str">
        <f aca="false">PROPER(TRIM(Orders!K1549))</f>
        <v>Hyderabad</v>
      </c>
      <c r="C1549" s="46" t="str">
        <f aca="false">IFERROR(VLOOKUP(Orders!D1549,Products!$A$2:$F$61,3,FALSE()),"Not Found")</f>
        <v>Electronics</v>
      </c>
      <c r="D1549" s="46" t="str">
        <f aca="false">IFERROR(VLOOKUP(Orders!C1549,Customers!$A$2:$F$301,5,FALSE()),"Not Found")</f>
        <v>Corporate</v>
      </c>
      <c r="E1549" s="46" t="n">
        <f aca="false">IFERROR(VLOOKUP(Orders!C1549,Customers!$A$2:$F$301,3,FALSE()),"Not Found")</f>
        <v>46</v>
      </c>
      <c r="F1549" s="46" t="str">
        <f aca="false">IFERROR(VLOOKUP(Orders!E1549,Sales_Reps!$A$2:$E$31,3,FALSE()),"Not Found")</f>
        <v>South</v>
      </c>
      <c r="G1549" s="46" t="n">
        <f aca="false">IFERROR(VLOOKUP(Orders!D1549,Products!$A$2:$F$61,4,FALSE()),"")</f>
        <v>1259</v>
      </c>
      <c r="H1549" s="47" t="n">
        <f aca="false">IF(G1549="","",(Orders!G1549-G1549)/Orders!G1549)</f>
        <v>0.526691729323308</v>
      </c>
      <c r="I1549" s="46"/>
      <c r="J1549" s="46"/>
      <c r="K1549" s="46"/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</row>
    <row r="1550" customFormat="false" ht="15" hidden="false" customHeight="false" outlineLevel="0" collapsed="false">
      <c r="A1550" s="46" t="str">
        <f aca="false">Orders!A1550</f>
        <v>ORD-01549</v>
      </c>
      <c r="B1550" s="46" t="str">
        <f aca="false">PROPER(TRIM(Orders!K1550))</f>
        <v>Delhi</v>
      </c>
      <c r="C1550" s="46" t="str">
        <f aca="false">IFERROR(VLOOKUP(Orders!D1550,Products!$A$2:$F$61,3,FALSE()),"Not Found")</f>
        <v>Beauty</v>
      </c>
      <c r="D1550" s="46" t="str">
        <f aca="false">IFERROR(VLOOKUP(Orders!C1550,Customers!$A$2:$F$301,5,FALSE()),"Not Found")</f>
        <v>SMB</v>
      </c>
      <c r="E1550" s="46" t="n">
        <f aca="false">IFERROR(VLOOKUP(Orders!C1550,Customers!$A$2:$F$301,3,FALSE()),"Not Found")</f>
        <v>38</v>
      </c>
      <c r="F1550" s="46" t="str">
        <f aca="false">IFERROR(VLOOKUP(Orders!E1550,Sales_Reps!$A$2:$E$31,3,FALSE()),"Not Found")</f>
        <v>West</v>
      </c>
      <c r="G1550" s="46" t="n">
        <f aca="false">IFERROR(VLOOKUP(Orders!D1550,Products!$A$2:$F$61,4,FALSE()),"")</f>
        <v>647</v>
      </c>
      <c r="H1550" s="47" t="n">
        <f aca="false">IF(G1550="","",(Orders!G1550-G1550)/Orders!G1550)</f>
        <v>0.57987012987013</v>
      </c>
      <c r="I1550" s="46"/>
      <c r="J1550" s="46"/>
      <c r="K1550" s="46"/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</row>
    <row r="1551" customFormat="false" ht="15" hidden="false" customHeight="false" outlineLevel="0" collapsed="false">
      <c r="A1551" s="46" t="str">
        <f aca="false">Orders!A1551</f>
        <v>ORD-01550</v>
      </c>
      <c r="B1551" s="46" t="str">
        <f aca="false">PROPER(TRIM(Orders!K1551))</f>
        <v>Pune</v>
      </c>
      <c r="C1551" s="46" t="str">
        <f aca="false">IFERROR(VLOOKUP(Orders!D1551,Products!$A$2:$F$61,3,FALSE()),"Not Found")</f>
        <v>Electronics</v>
      </c>
      <c r="D1551" s="46" t="str">
        <f aca="false">IFERROR(VLOOKUP(Orders!C1551,Customers!$A$2:$F$301,5,FALSE()),"Not Found")</f>
        <v>Retail</v>
      </c>
      <c r="E1551" s="46" t="n">
        <f aca="false">IFERROR(VLOOKUP(Orders!C1551,Customers!$A$2:$F$301,3,FALSE()),"Not Found")</f>
        <v>59</v>
      </c>
      <c r="F1551" s="46" t="str">
        <f aca="false">IFERROR(VLOOKUP(Orders!E1551,Sales_Reps!$A$2:$E$31,3,FALSE()),"Not Found")</f>
        <v>North</v>
      </c>
      <c r="G1551" s="46" t="n">
        <f aca="false">IFERROR(VLOOKUP(Orders!D1551,Products!$A$2:$F$61,4,FALSE()),"")</f>
        <v>2865</v>
      </c>
      <c r="H1551" s="47" t="n">
        <f aca="false">IF(G1551="","",(Orders!G1551-G1551)/Orders!G1551)</f>
        <v>0.278337531486146</v>
      </c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/>
      <c r="AE1551" s="46"/>
      <c r="AF1551" s="46"/>
      <c r="AG1551" s="46"/>
      <c r="AH1551" s="46"/>
      <c r="AI1551" s="46"/>
      <c r="AJ1551" s="46"/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</row>
    <row r="1552" customFormat="false" ht="15" hidden="false" customHeight="false" outlineLevel="0" collapsed="false">
      <c r="A1552" s="46" t="str">
        <f aca="false">Orders!A1552</f>
        <v>ORD-01551</v>
      </c>
      <c r="B1552" s="46" t="str">
        <f aca="false">PROPER(TRIM(Orders!K1552))</f>
        <v>Chennai</v>
      </c>
      <c r="C1552" s="46" t="str">
        <f aca="false">IFERROR(VLOOKUP(Orders!D1552,Products!$A$2:$F$61,3,FALSE()),"Not Found")</f>
        <v>Sports</v>
      </c>
      <c r="D1552" s="46" t="str">
        <f aca="false">IFERROR(VLOOKUP(Orders!C1552,Customers!$A$2:$F$301,5,FALSE()),"Not Found")</f>
        <v>SMB</v>
      </c>
      <c r="E1552" s="46" t="n">
        <f aca="false">IFERROR(VLOOKUP(Orders!C1552,Customers!$A$2:$F$301,3,FALSE()),"Not Found")</f>
        <v>62</v>
      </c>
      <c r="F1552" s="46" t="str">
        <f aca="false">IFERROR(VLOOKUP(Orders!E1552,Sales_Reps!$A$2:$E$31,3,FALSE()),"Not Found")</f>
        <v>North</v>
      </c>
      <c r="G1552" s="46" t="n">
        <f aca="false">IFERROR(VLOOKUP(Orders!D1552,Products!$A$2:$F$61,4,FALSE()),"")</f>
        <v>1860</v>
      </c>
      <c r="H1552" s="47" t="n">
        <f aca="false">IF(G1552="","",(Orders!G1552-G1552)/Orders!G1552)</f>
        <v>0.507936507936508</v>
      </c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</row>
    <row r="1553" customFormat="false" ht="15" hidden="false" customHeight="false" outlineLevel="0" collapsed="false">
      <c r="A1553" s="46" t="str">
        <f aca="false">Orders!A1553</f>
        <v>ORD-01552</v>
      </c>
      <c r="B1553" s="46" t="str">
        <f aca="false">PROPER(TRIM(Orders!K1553))</f>
        <v>Bengaluru</v>
      </c>
      <c r="C1553" s="46" t="str">
        <f aca="false">IFERROR(VLOOKUP(Orders!D1553,Products!$A$2:$F$61,3,FALSE()),"Not Found")</f>
        <v>Grocery</v>
      </c>
      <c r="D1553" s="46" t="str">
        <f aca="false">IFERROR(VLOOKUP(Orders!C1553,Customers!$A$2:$F$301,5,FALSE()),"Not Found")</f>
        <v>SMB</v>
      </c>
      <c r="E1553" s="46" t="n">
        <f aca="false">IFERROR(VLOOKUP(Orders!C1553,Customers!$A$2:$F$301,3,FALSE()),"Not Found")</f>
        <v>28</v>
      </c>
      <c r="F1553" s="46" t="str">
        <f aca="false">IFERROR(VLOOKUP(Orders!E1553,Sales_Reps!$A$2:$E$31,3,FALSE()),"Not Found")</f>
        <v>North</v>
      </c>
      <c r="G1553" s="46" t="n">
        <f aca="false">IFERROR(VLOOKUP(Orders!D1553,Products!$A$2:$F$61,4,FALSE()),"")</f>
        <v>1412</v>
      </c>
      <c r="H1553" s="47" t="n">
        <f aca="false">IF(G1553="","",(Orders!G1553-G1553)/Orders!G1553)</f>
        <v>0.377973568281938</v>
      </c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/>
      <c r="AE1553" s="46"/>
      <c r="AF1553" s="46"/>
      <c r="AG1553" s="46"/>
      <c r="AH1553" s="46"/>
      <c r="AI1553" s="46"/>
      <c r="AJ1553" s="46"/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</row>
    <row r="1554" customFormat="false" ht="15" hidden="false" customHeight="false" outlineLevel="0" collapsed="false">
      <c r="A1554" s="46" t="str">
        <f aca="false">Orders!A1554</f>
        <v>ORD-01553</v>
      </c>
      <c r="B1554" s="46" t="str">
        <f aca="false">PROPER(TRIM(Orders!K1554))</f>
        <v>Hyderabad</v>
      </c>
      <c r="C1554" s="46" t="str">
        <f aca="false">IFERROR(VLOOKUP(Orders!D1554,Products!$A$2:$F$61,3,FALSE()),"Not Found")</f>
        <v>Electronics</v>
      </c>
      <c r="D1554" s="46" t="str">
        <f aca="false">IFERROR(VLOOKUP(Orders!C1554,Customers!$A$2:$F$301,5,FALSE()),"Not Found")</f>
        <v>SMB</v>
      </c>
      <c r="E1554" s="46" t="n">
        <f aca="false">IFERROR(VLOOKUP(Orders!C1554,Customers!$A$2:$F$301,3,FALSE()),"Not Found")</f>
        <v>65</v>
      </c>
      <c r="F1554" s="46" t="str">
        <f aca="false">IFERROR(VLOOKUP(Orders!E1554,Sales_Reps!$A$2:$E$31,3,FALSE()),"Not Found")</f>
        <v>South</v>
      </c>
      <c r="G1554" s="46" t="n">
        <f aca="false">IFERROR(VLOOKUP(Orders!D1554,Products!$A$2:$F$61,4,FALSE()),"")</f>
        <v>517</v>
      </c>
      <c r="H1554" s="47" t="n">
        <f aca="false">IF(G1554="","",(Orders!G1554-G1554)/Orders!G1554)</f>
        <v>0.576229508196721</v>
      </c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</row>
    <row r="1555" customFormat="false" ht="15" hidden="false" customHeight="false" outlineLevel="0" collapsed="false">
      <c r="A1555" s="46" t="str">
        <f aca="false">Orders!A1555</f>
        <v>ORD-01554</v>
      </c>
      <c r="B1555" s="46" t="str">
        <f aca="false">PROPER(TRIM(Orders!K1555))</f>
        <v>Hyderabad</v>
      </c>
      <c r="C1555" s="46" t="str">
        <f aca="false">IFERROR(VLOOKUP(Orders!D1555,Products!$A$2:$F$61,3,FALSE()),"Not Found")</f>
        <v>Beauty</v>
      </c>
      <c r="D1555" s="46" t="str">
        <f aca="false">IFERROR(VLOOKUP(Orders!C1555,Customers!$A$2:$F$301,5,FALSE()),"Not Found")</f>
        <v>Retail</v>
      </c>
      <c r="E1555" s="46" t="n">
        <f aca="false">IFERROR(VLOOKUP(Orders!C1555,Customers!$A$2:$F$301,3,FALSE()),"Not Found")</f>
        <v>29</v>
      </c>
      <c r="F1555" s="46" t="str">
        <f aca="false">IFERROR(VLOOKUP(Orders!E1555,Sales_Reps!$A$2:$E$31,3,FALSE()),"Not Found")</f>
        <v>South</v>
      </c>
      <c r="G1555" s="46" t="n">
        <f aca="false">IFERROR(VLOOKUP(Orders!D1555,Products!$A$2:$F$61,4,FALSE()),"")</f>
        <v>1728</v>
      </c>
      <c r="H1555" s="47" t="n">
        <f aca="false">IF(G1555="","",(Orders!G1555-G1555)/Orders!G1555)</f>
        <v>0.484179104477612</v>
      </c>
      <c r="I1555" s="46"/>
      <c r="J1555" s="46"/>
      <c r="K1555" s="46"/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</row>
    <row r="1556" customFormat="false" ht="15" hidden="false" customHeight="false" outlineLevel="0" collapsed="false">
      <c r="A1556" s="46" t="str">
        <f aca="false">Orders!A1556</f>
        <v>ORD-01555</v>
      </c>
      <c r="B1556" s="46" t="str">
        <f aca="false">PROPER(TRIM(Orders!K1556))</f>
        <v>Bengaluru</v>
      </c>
      <c r="C1556" s="46" t="str">
        <f aca="false">IFERROR(VLOOKUP(Orders!D1556,Products!$A$2:$F$61,3,FALSE()),"Not Found")</f>
        <v>Beauty</v>
      </c>
      <c r="D1556" s="46" t="str">
        <f aca="false">IFERROR(VLOOKUP(Orders!C1556,Customers!$A$2:$F$301,5,FALSE()),"Not Found")</f>
        <v>Not Found</v>
      </c>
      <c r="E1556" s="46" t="str">
        <f aca="false">IFERROR(VLOOKUP(Orders!C1556,Customers!$A$2:$F$301,3,FALSE()),"Not Found")</f>
        <v>Not Found</v>
      </c>
      <c r="F1556" s="46" t="str">
        <f aca="false">IFERROR(VLOOKUP(Orders!E1556,Sales_Reps!$A$2:$E$31,3,FALSE()),"Not Found")</f>
        <v>West</v>
      </c>
      <c r="G1556" s="46" t="n">
        <f aca="false">IFERROR(VLOOKUP(Orders!D1556,Products!$A$2:$F$61,4,FALSE()),"")</f>
        <v>1728</v>
      </c>
      <c r="H1556" s="47" t="n">
        <f aca="false">IF(G1556="","",(Orders!G1556-G1556)/Orders!G1556)</f>
        <v>0.484179104477612</v>
      </c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</row>
    <row r="1557" customFormat="false" ht="15" hidden="false" customHeight="false" outlineLevel="0" collapsed="false">
      <c r="A1557" s="46" t="str">
        <f aca="false">Orders!A1557</f>
        <v>ORD-01556</v>
      </c>
      <c r="B1557" s="46" t="str">
        <f aca="false">PROPER(TRIM(Orders!K1557))</f>
        <v>Chennai</v>
      </c>
      <c r="C1557" s="46" t="str">
        <f aca="false">IFERROR(VLOOKUP(Orders!D1557,Products!$A$2:$F$61,3,FALSE()),"Not Found")</f>
        <v>Home</v>
      </c>
      <c r="D1557" s="46" t="str">
        <f aca="false">IFERROR(VLOOKUP(Orders!C1557,Customers!$A$2:$F$301,5,FALSE()),"Not Found")</f>
        <v>Retail</v>
      </c>
      <c r="E1557" s="46" t="n">
        <f aca="false">IFERROR(VLOOKUP(Orders!C1557,Customers!$A$2:$F$301,3,FALSE()),"Not Found")</f>
        <v>51</v>
      </c>
      <c r="F1557" s="46" t="str">
        <f aca="false">IFERROR(VLOOKUP(Orders!E1557,Sales_Reps!$A$2:$E$31,3,FALSE()),"Not Found")</f>
        <v>South</v>
      </c>
      <c r="G1557" s="46" t="n">
        <f aca="false">IFERROR(VLOOKUP(Orders!D1557,Products!$A$2:$F$61,4,FALSE()),"")</f>
        <v>2549</v>
      </c>
      <c r="H1557" s="47" t="n">
        <f aca="false">IF(G1557="","",(Orders!G1557-G1557)/Orders!G1557)</f>
        <v>0.535701275045537</v>
      </c>
      <c r="I1557" s="46"/>
      <c r="J1557" s="46"/>
      <c r="K1557" s="46"/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/>
      <c r="AE1557" s="46"/>
      <c r="AF1557" s="46"/>
      <c r="AG1557" s="46"/>
      <c r="AH1557" s="46"/>
      <c r="AI1557" s="46"/>
      <c r="AJ1557" s="46"/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</row>
    <row r="1558" customFormat="false" ht="15" hidden="false" customHeight="false" outlineLevel="0" collapsed="false">
      <c r="A1558" s="46" t="str">
        <f aca="false">Orders!A1558</f>
        <v>ORD-01557</v>
      </c>
      <c r="B1558" s="46" t="str">
        <f aca="false">PROPER(TRIM(Orders!K1558))</f>
        <v>Hyderabad</v>
      </c>
      <c r="C1558" s="46" t="str">
        <f aca="false">IFERROR(VLOOKUP(Orders!D1558,Products!$A$2:$F$61,3,FALSE()),"Not Found")</f>
        <v>Sports</v>
      </c>
      <c r="D1558" s="46" t="str">
        <f aca="false">IFERROR(VLOOKUP(Orders!C1558,Customers!$A$2:$F$301,5,FALSE()),"Not Found")</f>
        <v>SMB</v>
      </c>
      <c r="E1558" s="46" t="n">
        <f aca="false">IFERROR(VLOOKUP(Orders!C1558,Customers!$A$2:$F$301,3,FALSE()),"Not Found")</f>
        <v>39</v>
      </c>
      <c r="F1558" s="46" t="str">
        <f aca="false">IFERROR(VLOOKUP(Orders!E1558,Sales_Reps!$A$2:$E$31,3,FALSE()),"Not Found")</f>
        <v>East</v>
      </c>
      <c r="G1558" s="46" t="n">
        <f aca="false">IFERROR(VLOOKUP(Orders!D1558,Products!$A$2:$F$61,4,FALSE()),"")</f>
        <v>2028</v>
      </c>
      <c r="H1558" s="47" t="n">
        <f aca="false">IF(G1558="","",(Orders!G1558-G1558)/Orders!G1558)</f>
        <v>0.290909090909091</v>
      </c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</row>
    <row r="1559" customFormat="false" ht="15" hidden="false" customHeight="false" outlineLevel="0" collapsed="false">
      <c r="A1559" s="46" t="str">
        <f aca="false">Orders!A1559</f>
        <v>ORD-01558</v>
      </c>
      <c r="B1559" s="46" t="str">
        <f aca="false">PROPER(TRIM(Orders!K1559))</f>
        <v>Chennai</v>
      </c>
      <c r="C1559" s="46" t="str">
        <f aca="false">IFERROR(VLOOKUP(Orders!D1559,Products!$A$2:$F$61,3,FALSE()),"Not Found")</f>
        <v>Electronics</v>
      </c>
      <c r="D1559" s="46" t="str">
        <f aca="false">IFERROR(VLOOKUP(Orders!C1559,Customers!$A$2:$F$301,5,FALSE()),"Not Found")</f>
        <v>Retail</v>
      </c>
      <c r="E1559" s="46" t="n">
        <f aca="false">IFERROR(VLOOKUP(Orders!C1559,Customers!$A$2:$F$301,3,FALSE()),"Not Found")</f>
        <v>24</v>
      </c>
      <c r="F1559" s="46" t="str">
        <f aca="false">IFERROR(VLOOKUP(Orders!E1559,Sales_Reps!$A$2:$E$31,3,FALSE()),"Not Found")</f>
        <v>West</v>
      </c>
      <c r="G1559" s="46" t="n">
        <f aca="false">IFERROR(VLOOKUP(Orders!D1559,Products!$A$2:$F$61,4,FALSE()),"")</f>
        <v>1149</v>
      </c>
      <c r="H1559" s="47" t="n">
        <f aca="false">IF(G1559="","",(Orders!G1559-G1559)/Orders!G1559)</f>
        <v>0.564772727272727</v>
      </c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</row>
    <row r="1560" customFormat="false" ht="15" hidden="false" customHeight="false" outlineLevel="0" collapsed="false">
      <c r="A1560" s="46" t="str">
        <f aca="false">Orders!A1560</f>
        <v>ORD-01559</v>
      </c>
      <c r="B1560" s="46" t="str">
        <f aca="false">PROPER(TRIM(Orders!K1560))</f>
        <v>Chennai</v>
      </c>
      <c r="C1560" s="46" t="str">
        <f aca="false">IFERROR(VLOOKUP(Orders!D1560,Products!$A$2:$F$61,3,FALSE()),"Not Found")</f>
        <v>Apparel</v>
      </c>
      <c r="D1560" s="46" t="str">
        <f aca="false">IFERROR(VLOOKUP(Orders!C1560,Customers!$A$2:$F$301,5,FALSE()),"Not Found")</f>
        <v>Corporate</v>
      </c>
      <c r="E1560" s="46" t="n">
        <f aca="false">IFERROR(VLOOKUP(Orders!C1560,Customers!$A$2:$F$301,3,FALSE()),"Not Found")</f>
        <v>34</v>
      </c>
      <c r="F1560" s="46" t="str">
        <f aca="false">IFERROR(VLOOKUP(Orders!E1560,Sales_Reps!$A$2:$E$31,3,FALSE()),"Not Found")</f>
        <v>West</v>
      </c>
      <c r="G1560" s="46" t="n">
        <f aca="false">IFERROR(VLOOKUP(Orders!D1560,Products!$A$2:$F$61,4,FALSE()),"")</f>
        <v>1748</v>
      </c>
      <c r="H1560" s="47" t="n">
        <f aca="false">IF(G1560="","",(Orders!G1560-G1560)/Orders!G1560)</f>
        <v>0.493333333333333</v>
      </c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</row>
    <row r="1561" customFormat="false" ht="15" hidden="false" customHeight="false" outlineLevel="0" collapsed="false">
      <c r="A1561" s="46" t="str">
        <f aca="false">Orders!A1561</f>
        <v>ORD-01560</v>
      </c>
      <c r="B1561" s="46" t="str">
        <f aca="false">PROPER(TRIM(Orders!K1561))</f>
        <v>Delhi</v>
      </c>
      <c r="C1561" s="46" t="str">
        <f aca="false">IFERROR(VLOOKUP(Orders!D1561,Products!$A$2:$F$61,3,FALSE()),"Not Found")</f>
        <v>Home</v>
      </c>
      <c r="D1561" s="46" t="str">
        <f aca="false">IFERROR(VLOOKUP(Orders!C1561,Customers!$A$2:$F$301,5,FALSE()),"Not Found")</f>
        <v>SMB</v>
      </c>
      <c r="E1561" s="46" t="n">
        <f aca="false">IFERROR(VLOOKUP(Orders!C1561,Customers!$A$2:$F$301,3,FALSE()),"Not Found")</f>
        <v>38</v>
      </c>
      <c r="F1561" s="46" t="str">
        <f aca="false">IFERROR(VLOOKUP(Orders!E1561,Sales_Reps!$A$2:$E$31,3,FALSE()),"Not Found")</f>
        <v>West</v>
      </c>
      <c r="G1561" s="46" t="n">
        <f aca="false">IFERROR(VLOOKUP(Orders!D1561,Products!$A$2:$F$61,4,FALSE()),"")</f>
        <v>288</v>
      </c>
      <c r="H1561" s="47" t="n">
        <f aca="false">IF(G1561="","",(Orders!G1561-G1561)/Orders!G1561)</f>
        <v>0.221621621621622</v>
      </c>
      <c r="I1561" s="46"/>
      <c r="J1561" s="46"/>
      <c r="K1561" s="46"/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/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</row>
    <row r="1562" customFormat="false" ht="15" hidden="false" customHeight="false" outlineLevel="0" collapsed="false">
      <c r="A1562" s="46" t="str">
        <f aca="false">Orders!A1562</f>
        <v>ORD-01561</v>
      </c>
      <c r="B1562" s="46" t="str">
        <f aca="false">PROPER(TRIM(Orders!K1562))</f>
        <v>Mumbai</v>
      </c>
      <c r="C1562" s="46" t="str">
        <f aca="false">IFERROR(VLOOKUP(Orders!D1562,Products!$A$2:$F$61,3,FALSE()),"Not Found")</f>
        <v>Grocery</v>
      </c>
      <c r="D1562" s="46" t="str">
        <f aca="false">IFERROR(VLOOKUP(Orders!C1562,Customers!$A$2:$F$301,5,FALSE()),"Not Found")</f>
        <v>SMB</v>
      </c>
      <c r="E1562" s="46" t="n">
        <f aca="false">IFERROR(VLOOKUP(Orders!C1562,Customers!$A$2:$F$301,3,FALSE()),"Not Found")</f>
        <v>22</v>
      </c>
      <c r="F1562" s="46" t="str">
        <f aca="false">IFERROR(VLOOKUP(Orders!E1562,Sales_Reps!$A$2:$E$31,3,FALSE()),"Not Found")</f>
        <v>West</v>
      </c>
      <c r="G1562" s="46" t="n">
        <f aca="false">IFERROR(VLOOKUP(Orders!D1562,Products!$A$2:$F$61,4,FALSE()),"")</f>
        <v>2911</v>
      </c>
      <c r="H1562" s="47" t="n">
        <f aca="false">IF(G1562="","",(Orders!G1562-G1562)/Orders!G1562)</f>
        <v>0.283004926108374</v>
      </c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</row>
    <row r="1563" customFormat="false" ht="15" hidden="false" customHeight="false" outlineLevel="0" collapsed="false">
      <c r="A1563" s="46" t="str">
        <f aca="false">Orders!A1563</f>
        <v>ORD-01562</v>
      </c>
      <c r="B1563" s="46" t="str">
        <f aca="false">PROPER(TRIM(Orders!K1563))</f>
        <v>Bengaluru</v>
      </c>
      <c r="C1563" s="46" t="str">
        <f aca="false">IFERROR(VLOOKUP(Orders!D1563,Products!$A$2:$F$61,3,FALSE()),"Not Found")</f>
        <v>Electronics</v>
      </c>
      <c r="D1563" s="46" t="str">
        <f aca="false">IFERROR(VLOOKUP(Orders!C1563,Customers!$A$2:$F$301,5,FALSE()),"Not Found")</f>
        <v>Corporate</v>
      </c>
      <c r="E1563" s="46" t="n">
        <f aca="false">IFERROR(VLOOKUP(Orders!C1563,Customers!$A$2:$F$301,3,FALSE()),"Not Found")</f>
        <v>55</v>
      </c>
      <c r="F1563" s="46" t="str">
        <f aca="false">IFERROR(VLOOKUP(Orders!E1563,Sales_Reps!$A$2:$E$31,3,FALSE()),"Not Found")</f>
        <v>West</v>
      </c>
      <c r="G1563" s="46" t="n">
        <f aca="false">IFERROR(VLOOKUP(Orders!D1563,Products!$A$2:$F$61,4,FALSE()),"")</f>
        <v>1559</v>
      </c>
      <c r="H1563" s="47" t="n">
        <f aca="false">IF(G1563="","",(Orders!G1563-G1563)/Orders!G1563)</f>
        <v>0.597157622739018</v>
      </c>
      <c r="I1563" s="46"/>
      <c r="J1563" s="46"/>
      <c r="K1563" s="46"/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</row>
    <row r="1564" customFormat="false" ht="15" hidden="false" customHeight="false" outlineLevel="0" collapsed="false">
      <c r="A1564" s="46" t="str">
        <f aca="false">Orders!A1564</f>
        <v>ORD-01563</v>
      </c>
      <c r="B1564" s="46" t="str">
        <f aca="false">PROPER(TRIM(Orders!K1564))</f>
        <v>Pune</v>
      </c>
      <c r="C1564" s="46" t="str">
        <f aca="false">IFERROR(VLOOKUP(Orders!D1564,Products!$A$2:$F$61,3,FALSE()),"Not Found")</f>
        <v>Electronics</v>
      </c>
      <c r="D1564" s="46" t="str">
        <f aca="false">IFERROR(VLOOKUP(Orders!C1564,Customers!$A$2:$F$301,5,FALSE()),"Not Found")</f>
        <v>Corporate</v>
      </c>
      <c r="E1564" s="46" t="n">
        <f aca="false">IFERROR(VLOOKUP(Orders!C1564,Customers!$A$2:$F$301,3,FALSE()),"Not Found")</f>
        <v>42</v>
      </c>
      <c r="F1564" s="46" t="str">
        <f aca="false">IFERROR(VLOOKUP(Orders!E1564,Sales_Reps!$A$2:$E$31,3,FALSE()),"Not Found")</f>
        <v>North</v>
      </c>
      <c r="G1564" s="46" t="n">
        <f aca="false">IFERROR(VLOOKUP(Orders!D1564,Products!$A$2:$F$61,4,FALSE()),"")</f>
        <v>2405</v>
      </c>
      <c r="H1564" s="47" t="n">
        <f aca="false">IF(G1564="","",(Orders!G1564-G1564)/Orders!G1564)</f>
        <v>0.548780487804878</v>
      </c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</row>
    <row r="1565" customFormat="false" ht="15" hidden="false" customHeight="false" outlineLevel="0" collapsed="false">
      <c r="A1565" s="46" t="str">
        <f aca="false">Orders!A1565</f>
        <v>ORD-01564</v>
      </c>
      <c r="B1565" s="46" t="str">
        <f aca="false">PROPER(TRIM(Orders!K1565))</f>
        <v>Hyderabad</v>
      </c>
      <c r="C1565" s="46" t="str">
        <f aca="false">IFERROR(VLOOKUP(Orders!D1565,Products!$A$2:$F$61,3,FALSE()),"Not Found")</f>
        <v>Home</v>
      </c>
      <c r="D1565" s="46" t="str">
        <f aca="false">IFERROR(VLOOKUP(Orders!C1565,Customers!$A$2:$F$301,5,FALSE()),"Not Found")</f>
        <v>Retail</v>
      </c>
      <c r="E1565" s="46" t="n">
        <f aca="false">IFERROR(VLOOKUP(Orders!C1565,Customers!$A$2:$F$301,3,FALSE()),"Not Found")</f>
        <v>27</v>
      </c>
      <c r="F1565" s="46" t="str">
        <f aca="false">IFERROR(VLOOKUP(Orders!E1565,Sales_Reps!$A$2:$E$31,3,FALSE()),"Not Found")</f>
        <v>East</v>
      </c>
      <c r="G1565" s="46" t="n">
        <f aca="false">IFERROR(VLOOKUP(Orders!D1565,Products!$A$2:$F$61,4,FALSE()),"")</f>
        <v>288</v>
      </c>
      <c r="H1565" s="47" t="n">
        <f aca="false">IF(G1565="","",(Orders!G1565-G1565)/Orders!G1565)</f>
        <v>0.221621621621622</v>
      </c>
      <c r="I1565" s="46"/>
      <c r="J1565" s="46"/>
      <c r="K1565" s="46"/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  <c r="AB1565" s="46"/>
      <c r="AC1565" s="46"/>
      <c r="AD1565" s="46"/>
      <c r="AE1565" s="46"/>
      <c r="AF1565" s="46"/>
      <c r="AG1565" s="46"/>
      <c r="AH1565" s="46"/>
      <c r="AI1565" s="46"/>
      <c r="AJ1565" s="46"/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</row>
    <row r="1566" customFormat="false" ht="15" hidden="false" customHeight="false" outlineLevel="0" collapsed="false">
      <c r="A1566" s="46" t="str">
        <f aca="false">Orders!A1566</f>
        <v>ORD-01565</v>
      </c>
      <c r="B1566" s="46" t="str">
        <f aca="false">PROPER(TRIM(Orders!K1566))</f>
        <v>Mumbai</v>
      </c>
      <c r="C1566" s="46" t="str">
        <f aca="false">IFERROR(VLOOKUP(Orders!D1566,Products!$A$2:$F$61,3,FALSE()),"Not Found")</f>
        <v>Electronics</v>
      </c>
      <c r="D1566" s="46" t="str">
        <f aca="false">IFERROR(VLOOKUP(Orders!C1566,Customers!$A$2:$F$301,5,FALSE()),"Not Found")</f>
        <v>Retail</v>
      </c>
      <c r="E1566" s="46" t="n">
        <f aca="false">IFERROR(VLOOKUP(Orders!C1566,Customers!$A$2:$F$301,3,FALSE()),"Not Found")</f>
        <v>61</v>
      </c>
      <c r="F1566" s="46" t="str">
        <f aca="false">IFERROR(VLOOKUP(Orders!E1566,Sales_Reps!$A$2:$E$31,3,FALSE()),"Not Found")</f>
        <v>East</v>
      </c>
      <c r="G1566" s="46" t="n">
        <f aca="false">IFERROR(VLOOKUP(Orders!D1566,Products!$A$2:$F$61,4,FALSE()),"")</f>
        <v>128</v>
      </c>
      <c r="H1566" s="47" t="n">
        <f aca="false">IF(G1566="","",(Orders!G1566-G1566)/Orders!G1566)</f>
        <v>0.573333333333333</v>
      </c>
      <c r="I1566" s="46"/>
      <c r="J1566" s="46"/>
      <c r="K1566" s="46"/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</row>
    <row r="1567" customFormat="false" ht="15" hidden="false" customHeight="false" outlineLevel="0" collapsed="false">
      <c r="A1567" s="46" t="str">
        <f aca="false">Orders!A1567</f>
        <v>ORD-01566</v>
      </c>
      <c r="B1567" s="46" t="str">
        <f aca="false">PROPER(TRIM(Orders!K1567))</f>
        <v>Mumbai</v>
      </c>
      <c r="C1567" s="46" t="str">
        <f aca="false">IFERROR(VLOOKUP(Orders!D1567,Products!$A$2:$F$61,3,FALSE()),"Not Found")</f>
        <v>Beauty</v>
      </c>
      <c r="D1567" s="46" t="str">
        <f aca="false">IFERROR(VLOOKUP(Orders!C1567,Customers!$A$2:$F$301,5,FALSE()),"Not Found")</f>
        <v>Retail</v>
      </c>
      <c r="E1567" s="46" t="n">
        <f aca="false">IFERROR(VLOOKUP(Orders!C1567,Customers!$A$2:$F$301,3,FALSE()),"Not Found")</f>
        <v>53</v>
      </c>
      <c r="F1567" s="46" t="str">
        <f aca="false">IFERROR(VLOOKUP(Orders!E1567,Sales_Reps!$A$2:$E$31,3,FALSE()),"Not Found")</f>
        <v>South</v>
      </c>
      <c r="G1567" s="46" t="n">
        <f aca="false">IFERROR(VLOOKUP(Orders!D1567,Products!$A$2:$F$61,4,FALSE()),"")</f>
        <v>1728</v>
      </c>
      <c r="H1567" s="47" t="n">
        <f aca="false">IF(G1567="","",(Orders!G1567-G1567)/Orders!G1567)</f>
        <v>0.484179104477612</v>
      </c>
      <c r="I1567" s="46"/>
      <c r="J1567" s="46"/>
      <c r="K1567" s="46"/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46"/>
      <c r="AE1567" s="46"/>
      <c r="AF1567" s="46"/>
      <c r="AG1567" s="46"/>
      <c r="AH1567" s="46"/>
      <c r="AI1567" s="46"/>
      <c r="AJ1567" s="46"/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</row>
    <row r="1568" customFormat="false" ht="15" hidden="false" customHeight="false" outlineLevel="0" collapsed="false">
      <c r="A1568" s="46" t="str">
        <f aca="false">Orders!A1568</f>
        <v>ORD-01567</v>
      </c>
      <c r="B1568" s="46" t="str">
        <f aca="false">PROPER(TRIM(Orders!K1568))</f>
        <v>Chennai</v>
      </c>
      <c r="C1568" s="46" t="str">
        <f aca="false">IFERROR(VLOOKUP(Orders!D1568,Products!$A$2:$F$61,3,FALSE()),"Not Found")</f>
        <v>Sports</v>
      </c>
      <c r="D1568" s="46" t="str">
        <f aca="false">IFERROR(VLOOKUP(Orders!C1568,Customers!$A$2:$F$301,5,FALSE()),"Not Found")</f>
        <v>SMB</v>
      </c>
      <c r="E1568" s="46" t="n">
        <f aca="false">IFERROR(VLOOKUP(Orders!C1568,Customers!$A$2:$F$301,3,FALSE()),"Not Found")</f>
        <v>51</v>
      </c>
      <c r="F1568" s="46" t="str">
        <f aca="false">IFERROR(VLOOKUP(Orders!E1568,Sales_Reps!$A$2:$E$31,3,FALSE()),"Not Found")</f>
        <v>South</v>
      </c>
      <c r="G1568" s="46" t="n">
        <f aca="false">IFERROR(VLOOKUP(Orders!D1568,Products!$A$2:$F$61,4,FALSE()),"")</f>
        <v>2827</v>
      </c>
      <c r="H1568" s="47" t="n">
        <f aca="false">IF(G1568="","",(Orders!G1568-G1568)/Orders!G1568)</f>
        <v>0.592651296829971</v>
      </c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</row>
    <row r="1569" customFormat="false" ht="15" hidden="false" customHeight="false" outlineLevel="0" collapsed="false">
      <c r="A1569" s="46" t="str">
        <f aca="false">Orders!A1569</f>
        <v>ORD-01568</v>
      </c>
      <c r="B1569" s="46" t="str">
        <f aca="false">PROPER(TRIM(Orders!K1569))</f>
        <v>Bengaluru</v>
      </c>
      <c r="C1569" s="46" t="str">
        <f aca="false">IFERROR(VLOOKUP(Orders!D1569,Products!$A$2:$F$61,3,FALSE()),"Not Found")</f>
        <v>Beauty</v>
      </c>
      <c r="D1569" s="46" t="str">
        <f aca="false">IFERROR(VLOOKUP(Orders!C1569,Customers!$A$2:$F$301,5,FALSE()),"Not Found")</f>
        <v>Retail</v>
      </c>
      <c r="E1569" s="46" t="n">
        <f aca="false">IFERROR(VLOOKUP(Orders!C1569,Customers!$A$2:$F$301,3,FALSE()),"Not Found")</f>
        <v>32</v>
      </c>
      <c r="F1569" s="46" t="str">
        <f aca="false">IFERROR(VLOOKUP(Orders!E1569,Sales_Reps!$A$2:$E$31,3,FALSE()),"Not Found")</f>
        <v>North</v>
      </c>
      <c r="G1569" s="46" t="n">
        <f aca="false">IFERROR(VLOOKUP(Orders!D1569,Products!$A$2:$F$61,4,FALSE()),"")</f>
        <v>675</v>
      </c>
      <c r="H1569" s="47" t="n">
        <f aca="false">IF(G1569="","",(Orders!G1569-G1569)/Orders!G1569)</f>
        <v>0.296875</v>
      </c>
      <c r="I1569" s="46"/>
      <c r="J1569" s="46"/>
      <c r="K1569" s="46"/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/>
      <c r="AD1569" s="46"/>
      <c r="AE1569" s="46"/>
      <c r="AF1569" s="46"/>
      <c r="AG1569" s="46"/>
      <c r="AH1569" s="46"/>
      <c r="AI1569" s="46"/>
      <c r="AJ1569" s="46"/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</row>
    <row r="1570" customFormat="false" ht="15" hidden="false" customHeight="false" outlineLevel="0" collapsed="false">
      <c r="A1570" s="46" t="str">
        <f aca="false">Orders!A1570</f>
        <v>ORD-01569</v>
      </c>
      <c r="B1570" s="46" t="str">
        <f aca="false">PROPER(TRIM(Orders!K1570))</f>
        <v>Mumbai</v>
      </c>
      <c r="C1570" s="46" t="str">
        <f aca="false">IFERROR(VLOOKUP(Orders!D1570,Products!$A$2:$F$61,3,FALSE()),"Not Found")</f>
        <v>Grocery</v>
      </c>
      <c r="D1570" s="46" t="str">
        <f aca="false">IFERROR(VLOOKUP(Orders!C1570,Customers!$A$2:$F$301,5,FALSE()),"Not Found")</f>
        <v>Retail</v>
      </c>
      <c r="E1570" s="46" t="n">
        <f aca="false">IFERROR(VLOOKUP(Orders!C1570,Customers!$A$2:$F$301,3,FALSE()),"Not Found")</f>
        <v>38</v>
      </c>
      <c r="F1570" s="46" t="str">
        <f aca="false">IFERROR(VLOOKUP(Orders!E1570,Sales_Reps!$A$2:$E$31,3,FALSE()),"Not Found")</f>
        <v>East</v>
      </c>
      <c r="G1570" s="46" t="n">
        <f aca="false">IFERROR(VLOOKUP(Orders!D1570,Products!$A$2:$F$61,4,FALSE()),"")</f>
        <v>1435</v>
      </c>
      <c r="H1570" s="47" t="n">
        <f aca="false">IF(G1570="","",(Orders!G1570-G1570)/Orders!G1570)</f>
        <v>0.480072463768116</v>
      </c>
      <c r="I1570" s="46"/>
      <c r="J1570" s="46"/>
      <c r="K1570" s="46"/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</row>
    <row r="1571" customFormat="false" ht="15" hidden="false" customHeight="false" outlineLevel="0" collapsed="false">
      <c r="A1571" s="46" t="str">
        <f aca="false">Orders!A1571</f>
        <v>ORD-01570</v>
      </c>
      <c r="B1571" s="46" t="str">
        <f aca="false">PROPER(TRIM(Orders!K1571))</f>
        <v>Bengaluru</v>
      </c>
      <c r="C1571" s="46" t="str">
        <f aca="false">IFERROR(VLOOKUP(Orders!D1571,Products!$A$2:$F$61,3,FALSE()),"Not Found")</f>
        <v>Grocery</v>
      </c>
      <c r="D1571" s="46" t="str">
        <f aca="false">IFERROR(VLOOKUP(Orders!C1571,Customers!$A$2:$F$301,5,FALSE()),"Not Found")</f>
        <v>SMB</v>
      </c>
      <c r="E1571" s="46" t="n">
        <f aca="false">IFERROR(VLOOKUP(Orders!C1571,Customers!$A$2:$F$301,3,FALSE()),"Not Found")</f>
        <v>64</v>
      </c>
      <c r="F1571" s="46" t="str">
        <f aca="false">IFERROR(VLOOKUP(Orders!E1571,Sales_Reps!$A$2:$E$31,3,FALSE()),"Not Found")</f>
        <v>West</v>
      </c>
      <c r="G1571" s="46" t="n">
        <f aca="false">IFERROR(VLOOKUP(Orders!D1571,Products!$A$2:$F$61,4,FALSE()),"")</f>
        <v>1203</v>
      </c>
      <c r="H1571" s="47" t="n">
        <f aca="false">IF(G1571="","",(Orders!G1571-G1571)/Orders!G1571)</f>
        <v>0.470044052863436</v>
      </c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46"/>
      <c r="AE1571" s="46"/>
      <c r="AF1571" s="46"/>
      <c r="AG1571" s="46"/>
      <c r="AH1571" s="46"/>
      <c r="AI1571" s="46"/>
      <c r="AJ1571" s="46"/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</row>
    <row r="1572" customFormat="false" ht="15" hidden="false" customHeight="false" outlineLevel="0" collapsed="false">
      <c r="A1572" s="46" t="str">
        <f aca="false">Orders!A1572</f>
        <v>ORD-01571</v>
      </c>
      <c r="B1572" s="46" t="str">
        <f aca="false">PROPER(TRIM(Orders!K1572))</f>
        <v>Hyderabad</v>
      </c>
      <c r="C1572" s="46" t="str">
        <f aca="false">IFERROR(VLOOKUP(Orders!D1572,Products!$A$2:$F$61,3,FALSE()),"Not Found")</f>
        <v>Electronics</v>
      </c>
      <c r="D1572" s="46" t="str">
        <f aca="false">IFERROR(VLOOKUP(Orders!C1572,Customers!$A$2:$F$301,5,FALSE()),"Not Found")</f>
        <v>Retail</v>
      </c>
      <c r="E1572" s="46" t="n">
        <f aca="false">IFERROR(VLOOKUP(Orders!C1572,Customers!$A$2:$F$301,3,FALSE()),"Not Found")</f>
        <v>22</v>
      </c>
      <c r="F1572" s="46" t="str">
        <f aca="false">IFERROR(VLOOKUP(Orders!E1572,Sales_Reps!$A$2:$E$31,3,FALSE()),"Not Found")</f>
        <v>East</v>
      </c>
      <c r="G1572" s="46" t="n">
        <f aca="false">IFERROR(VLOOKUP(Orders!D1572,Products!$A$2:$F$61,4,FALSE()),"")</f>
        <v>1052</v>
      </c>
      <c r="H1572" s="47" t="n">
        <f aca="false">IF(G1572="","",(Orders!G1572-G1572)/Orders!G1572)</f>
        <v>0.595384615384615</v>
      </c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</row>
    <row r="1573" customFormat="false" ht="15" hidden="false" customHeight="false" outlineLevel="0" collapsed="false">
      <c r="A1573" s="46" t="str">
        <f aca="false">Orders!A1573</f>
        <v>ORD-01572</v>
      </c>
      <c r="B1573" s="46" t="str">
        <f aca="false">PROPER(TRIM(Orders!K1573))</f>
        <v>Bengaluru</v>
      </c>
      <c r="C1573" s="46" t="str">
        <f aca="false">IFERROR(VLOOKUP(Orders!D1573,Products!$A$2:$F$61,3,FALSE()),"Not Found")</f>
        <v>Electronics</v>
      </c>
      <c r="D1573" s="46" t="str">
        <f aca="false">IFERROR(VLOOKUP(Orders!C1573,Customers!$A$2:$F$301,5,FALSE()),"Not Found")</f>
        <v>SMB</v>
      </c>
      <c r="E1573" s="46" t="n">
        <f aca="false">IFERROR(VLOOKUP(Orders!C1573,Customers!$A$2:$F$301,3,FALSE()),"Not Found")</f>
        <v>36</v>
      </c>
      <c r="F1573" s="46" t="str">
        <f aca="false">IFERROR(VLOOKUP(Orders!E1573,Sales_Reps!$A$2:$E$31,3,FALSE()),"Not Found")</f>
        <v>West</v>
      </c>
      <c r="G1573" s="46" t="n">
        <f aca="false">IFERROR(VLOOKUP(Orders!D1573,Products!$A$2:$F$61,4,FALSE()),"")</f>
        <v>1665</v>
      </c>
      <c r="H1573" s="47" t="n">
        <f aca="false">IF(G1573="","",(Orders!G1573-G1573)/Orders!G1573)</f>
        <v>0.533613445378151</v>
      </c>
      <c r="I1573" s="46"/>
      <c r="J1573" s="46"/>
      <c r="K1573" s="46"/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/>
      <c r="AD1573" s="46"/>
      <c r="AE1573" s="46"/>
      <c r="AF1573" s="46"/>
      <c r="AG1573" s="46"/>
      <c r="AH1573" s="46"/>
      <c r="AI1573" s="46"/>
      <c r="AJ1573" s="46"/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</row>
    <row r="1574" customFormat="false" ht="15" hidden="false" customHeight="false" outlineLevel="0" collapsed="false">
      <c r="A1574" s="46" t="str">
        <f aca="false">Orders!A1574</f>
        <v>ORD-01573</v>
      </c>
      <c r="B1574" s="46" t="str">
        <f aca="false">PROPER(TRIM(Orders!K1574))</f>
        <v>Mumbai</v>
      </c>
      <c r="C1574" s="46" t="str">
        <f aca="false">IFERROR(VLOOKUP(Orders!D1574,Products!$A$2:$F$61,3,FALSE()),"Not Found")</f>
        <v>Home</v>
      </c>
      <c r="D1574" s="46" t="str">
        <f aca="false">IFERROR(VLOOKUP(Orders!C1574,Customers!$A$2:$F$301,5,FALSE()),"Not Found")</f>
        <v>Retail</v>
      </c>
      <c r="E1574" s="46" t="n">
        <f aca="false">IFERROR(VLOOKUP(Orders!C1574,Customers!$A$2:$F$301,3,FALSE()),"Not Found")</f>
        <v>65</v>
      </c>
      <c r="F1574" s="46" t="str">
        <f aca="false">IFERROR(VLOOKUP(Orders!E1574,Sales_Reps!$A$2:$E$31,3,FALSE()),"Not Found")</f>
        <v>South</v>
      </c>
      <c r="G1574" s="46" t="n">
        <f aca="false">IFERROR(VLOOKUP(Orders!D1574,Products!$A$2:$F$61,4,FALSE()),"")</f>
        <v>2459</v>
      </c>
      <c r="H1574" s="47" t="n">
        <f aca="false">IF(G1574="","",(Orders!G1574-G1574)/Orders!G1574)</f>
        <v>0.515944881889764</v>
      </c>
      <c r="I1574" s="46"/>
      <c r="J1574" s="46"/>
      <c r="K1574" s="46"/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/>
      <c r="AD1574" s="46"/>
      <c r="AE1574" s="46"/>
      <c r="AF1574" s="46"/>
      <c r="AG1574" s="46"/>
      <c r="AH1574" s="46"/>
      <c r="AI1574" s="46"/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</row>
    <row r="1575" customFormat="false" ht="15" hidden="false" customHeight="false" outlineLevel="0" collapsed="false">
      <c r="A1575" s="46" t="str">
        <f aca="false">Orders!A1575</f>
        <v>ORD-01574</v>
      </c>
      <c r="B1575" s="46" t="str">
        <f aca="false">PROPER(TRIM(Orders!K1575))</f>
        <v>Mumbai</v>
      </c>
      <c r="C1575" s="46" t="str">
        <f aca="false">IFERROR(VLOOKUP(Orders!D1575,Products!$A$2:$F$61,3,FALSE()),"Not Found")</f>
        <v>Beauty</v>
      </c>
      <c r="D1575" s="46" t="str">
        <f aca="false">IFERROR(VLOOKUP(Orders!C1575,Customers!$A$2:$F$301,5,FALSE()),"Not Found")</f>
        <v>Retail</v>
      </c>
      <c r="E1575" s="46" t="n">
        <f aca="false">IFERROR(VLOOKUP(Orders!C1575,Customers!$A$2:$F$301,3,FALSE()),"Not Found")</f>
        <v>40</v>
      </c>
      <c r="F1575" s="46" t="str">
        <f aca="false">IFERROR(VLOOKUP(Orders!E1575,Sales_Reps!$A$2:$E$31,3,FALSE()),"Not Found")</f>
        <v>South</v>
      </c>
      <c r="G1575" s="46" t="n">
        <f aca="false">IFERROR(VLOOKUP(Orders!D1575,Products!$A$2:$F$61,4,FALSE()),"")</f>
        <v>675</v>
      </c>
      <c r="H1575" s="47" t="n">
        <f aca="false">IF(G1575="","",(Orders!G1575-G1575)/Orders!G1575)</f>
        <v>0.296875</v>
      </c>
      <c r="I1575" s="46"/>
      <c r="J1575" s="46"/>
      <c r="K1575" s="46"/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</row>
    <row r="1576" customFormat="false" ht="15" hidden="false" customHeight="false" outlineLevel="0" collapsed="false">
      <c r="A1576" s="46" t="str">
        <f aca="false">Orders!A1576</f>
        <v>ORD-01575</v>
      </c>
      <c r="B1576" s="46" t="str">
        <f aca="false">PROPER(TRIM(Orders!K1576))</f>
        <v>Mumbai</v>
      </c>
      <c r="C1576" s="46" t="str">
        <f aca="false">IFERROR(VLOOKUP(Orders!D1576,Products!$A$2:$F$61,3,FALSE()),"Not Found")</f>
        <v>Sports</v>
      </c>
      <c r="D1576" s="46" t="str">
        <f aca="false">IFERROR(VLOOKUP(Orders!C1576,Customers!$A$2:$F$301,5,FALSE()),"Not Found")</f>
        <v>Corporate</v>
      </c>
      <c r="E1576" s="46" t="n">
        <f aca="false">IFERROR(VLOOKUP(Orders!C1576,Customers!$A$2:$F$301,3,FALSE()),"Not Found")</f>
        <v>62</v>
      </c>
      <c r="F1576" s="46" t="str">
        <f aca="false">IFERROR(VLOOKUP(Orders!E1576,Sales_Reps!$A$2:$E$31,3,FALSE()),"Not Found")</f>
        <v>South</v>
      </c>
      <c r="G1576" s="46" t="n">
        <f aca="false">IFERROR(VLOOKUP(Orders!D1576,Products!$A$2:$F$61,4,FALSE()),"")</f>
        <v>302</v>
      </c>
      <c r="H1576" s="47" t="n">
        <f aca="false">IF(G1576="","",(Orders!G1576-G1576)/Orders!G1576)</f>
        <v>0.357446808510638</v>
      </c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</row>
    <row r="1577" customFormat="false" ht="15" hidden="false" customHeight="false" outlineLevel="0" collapsed="false">
      <c r="A1577" s="46" t="str">
        <f aca="false">Orders!A1577</f>
        <v>ORD-01576</v>
      </c>
      <c r="B1577" s="46" t="str">
        <f aca="false">PROPER(TRIM(Orders!K1577))</f>
        <v>Delhi</v>
      </c>
      <c r="C1577" s="46" t="str">
        <f aca="false">IFERROR(VLOOKUP(Orders!D1577,Products!$A$2:$F$61,3,FALSE()),"Not Found")</f>
        <v>Electronics</v>
      </c>
      <c r="D1577" s="46" t="str">
        <f aca="false">IFERROR(VLOOKUP(Orders!C1577,Customers!$A$2:$F$301,5,FALSE()),"Not Found")</f>
        <v>Retail</v>
      </c>
      <c r="E1577" s="46" t="n">
        <f aca="false">IFERROR(VLOOKUP(Orders!C1577,Customers!$A$2:$F$301,3,FALSE()),"Not Found")</f>
        <v>53</v>
      </c>
      <c r="F1577" s="46" t="str">
        <f aca="false">IFERROR(VLOOKUP(Orders!E1577,Sales_Reps!$A$2:$E$31,3,FALSE()),"Not Found")</f>
        <v>West</v>
      </c>
      <c r="G1577" s="46" t="n">
        <f aca="false">IFERROR(VLOOKUP(Orders!D1577,Products!$A$2:$F$61,4,FALSE()),"")</f>
        <v>517</v>
      </c>
      <c r="H1577" s="47" t="n">
        <f aca="false">IF(G1577="","",(Orders!G1577-G1577)/Orders!G1577)</f>
        <v>0.576229508196721</v>
      </c>
      <c r="I1577" s="46"/>
      <c r="J1577" s="46"/>
      <c r="K1577" s="46"/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</row>
    <row r="1578" customFormat="false" ht="15" hidden="false" customHeight="false" outlineLevel="0" collapsed="false">
      <c r="A1578" s="46" t="str">
        <f aca="false">Orders!A1578</f>
        <v>ORD-01577</v>
      </c>
      <c r="B1578" s="46" t="str">
        <f aca="false">PROPER(TRIM(Orders!K1578))</f>
        <v>Mumbai</v>
      </c>
      <c r="C1578" s="46" t="str">
        <f aca="false">IFERROR(VLOOKUP(Orders!D1578,Products!$A$2:$F$61,3,FALSE()),"Not Found")</f>
        <v>Sports</v>
      </c>
      <c r="D1578" s="46" t="str">
        <f aca="false">IFERROR(VLOOKUP(Orders!C1578,Customers!$A$2:$F$301,5,FALSE()),"Not Found")</f>
        <v>Retail</v>
      </c>
      <c r="E1578" s="46" t="n">
        <f aca="false">IFERROR(VLOOKUP(Orders!C1578,Customers!$A$2:$F$301,3,FALSE()),"Not Found")</f>
        <v>44</v>
      </c>
      <c r="F1578" s="46" t="str">
        <f aca="false">IFERROR(VLOOKUP(Orders!E1578,Sales_Reps!$A$2:$E$31,3,FALSE()),"Not Found")</f>
        <v>North</v>
      </c>
      <c r="G1578" s="46" t="n">
        <f aca="false">IFERROR(VLOOKUP(Orders!D1578,Products!$A$2:$F$61,4,FALSE()),"")</f>
        <v>516</v>
      </c>
      <c r="H1578" s="47" t="n">
        <f aca="false">IF(G1578="","",(Orders!G1578-G1578)/Orders!G1578)</f>
        <v>0.489108910891089</v>
      </c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</row>
    <row r="1579" customFormat="false" ht="15" hidden="false" customHeight="false" outlineLevel="0" collapsed="false">
      <c r="A1579" s="46" t="str">
        <f aca="false">Orders!A1579</f>
        <v>ORD-01578</v>
      </c>
      <c r="B1579" s="46" t="str">
        <f aca="false">PROPER(TRIM(Orders!K1579))</f>
        <v>Hyderabad</v>
      </c>
      <c r="C1579" s="46" t="str">
        <f aca="false">IFERROR(VLOOKUP(Orders!D1579,Products!$A$2:$F$61,3,FALSE()),"Not Found")</f>
        <v>Grocery</v>
      </c>
      <c r="D1579" s="46" t="str">
        <f aca="false">IFERROR(VLOOKUP(Orders!C1579,Customers!$A$2:$F$301,5,FALSE()),"Not Found")</f>
        <v>SMB</v>
      </c>
      <c r="E1579" s="46" t="n">
        <f aca="false">IFERROR(VLOOKUP(Orders!C1579,Customers!$A$2:$F$301,3,FALSE()),"Not Found")</f>
        <v>65</v>
      </c>
      <c r="F1579" s="46" t="str">
        <f aca="false">IFERROR(VLOOKUP(Orders!E1579,Sales_Reps!$A$2:$E$31,3,FALSE()),"Not Found")</f>
        <v>North</v>
      </c>
      <c r="G1579" s="46" t="n">
        <f aca="false">IFERROR(VLOOKUP(Orders!D1579,Products!$A$2:$F$61,4,FALSE()),"")</f>
        <v>2214</v>
      </c>
      <c r="H1579" s="47" t="n">
        <f aca="false">IF(G1579="","",(Orders!G1579-G1579)/Orders!G1579)</f>
        <v>0.395081967213115</v>
      </c>
      <c r="I1579" s="46"/>
      <c r="J1579" s="46"/>
      <c r="K1579" s="46"/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</row>
    <row r="1580" customFormat="false" ht="15" hidden="false" customHeight="false" outlineLevel="0" collapsed="false">
      <c r="A1580" s="46" t="str">
        <f aca="false">Orders!A1580</f>
        <v>ORD-01579</v>
      </c>
      <c r="B1580" s="46" t="str">
        <f aca="false">PROPER(TRIM(Orders!K1580))</f>
        <v>Chennai</v>
      </c>
      <c r="C1580" s="46" t="str">
        <f aca="false">IFERROR(VLOOKUP(Orders!D1580,Products!$A$2:$F$61,3,FALSE()),"Not Found")</f>
        <v>Home</v>
      </c>
      <c r="D1580" s="46" t="str">
        <f aca="false">IFERROR(VLOOKUP(Orders!C1580,Customers!$A$2:$F$301,5,FALSE()),"Not Found")</f>
        <v>Retail</v>
      </c>
      <c r="E1580" s="46" t="n">
        <f aca="false">IFERROR(VLOOKUP(Orders!C1580,Customers!$A$2:$F$301,3,FALSE()),"Not Found")</f>
        <v>22</v>
      </c>
      <c r="F1580" s="46" t="str">
        <f aca="false">IFERROR(VLOOKUP(Orders!E1580,Sales_Reps!$A$2:$E$31,3,FALSE()),"Not Found")</f>
        <v>South</v>
      </c>
      <c r="G1580" s="46" t="n">
        <f aca="false">IFERROR(VLOOKUP(Orders!D1580,Products!$A$2:$F$61,4,FALSE()),"")</f>
        <v>2549</v>
      </c>
      <c r="H1580" s="47" t="n">
        <f aca="false">IF(G1580="","",(Orders!G1580-G1580)/Orders!G1580)</f>
        <v>0.535701275045537</v>
      </c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</row>
    <row r="1581" customFormat="false" ht="15" hidden="false" customHeight="false" outlineLevel="0" collapsed="false">
      <c r="A1581" s="46" t="str">
        <f aca="false">Orders!A1581</f>
        <v>ORD-01580</v>
      </c>
      <c r="B1581" s="46" t="str">
        <f aca="false">PROPER(TRIM(Orders!K1581))</f>
        <v>Pune</v>
      </c>
      <c r="C1581" s="46" t="str">
        <f aca="false">IFERROR(VLOOKUP(Orders!D1581,Products!$A$2:$F$61,3,FALSE()),"Not Found")</f>
        <v>Grocery</v>
      </c>
      <c r="D1581" s="46" t="str">
        <f aca="false">IFERROR(VLOOKUP(Orders!C1581,Customers!$A$2:$F$301,5,FALSE()),"Not Found")</f>
        <v>Corporate</v>
      </c>
      <c r="E1581" s="46" t="n">
        <f aca="false">IFERROR(VLOOKUP(Orders!C1581,Customers!$A$2:$F$301,3,FALSE()),"Not Found")</f>
        <v>48</v>
      </c>
      <c r="F1581" s="46" t="str">
        <f aca="false">IFERROR(VLOOKUP(Orders!E1581,Sales_Reps!$A$2:$E$31,3,FALSE()),"Not Found")</f>
        <v>North</v>
      </c>
      <c r="G1581" s="46" t="n">
        <f aca="false">IFERROR(VLOOKUP(Orders!D1581,Products!$A$2:$F$61,4,FALSE()),"")</f>
        <v>1412</v>
      </c>
      <c r="H1581" s="47" t="n">
        <f aca="false">IF(G1581="","",(Orders!G1581-G1581)/Orders!G1581)</f>
        <v>0.377973568281938</v>
      </c>
      <c r="I1581" s="46"/>
      <c r="J1581" s="46"/>
      <c r="K1581" s="46"/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</row>
    <row r="1582" customFormat="false" ht="15" hidden="false" customHeight="false" outlineLevel="0" collapsed="false">
      <c r="A1582" s="46" t="str">
        <f aca="false">Orders!A1582</f>
        <v>ORD-01581</v>
      </c>
      <c r="B1582" s="46" t="str">
        <f aca="false">PROPER(TRIM(Orders!K1582))</f>
        <v>Pune</v>
      </c>
      <c r="C1582" s="46" t="str">
        <f aca="false">IFERROR(VLOOKUP(Orders!D1582,Products!$A$2:$F$61,3,FALSE()),"Not Found")</f>
        <v>Grocery</v>
      </c>
      <c r="D1582" s="46" t="str">
        <f aca="false">IFERROR(VLOOKUP(Orders!C1582,Customers!$A$2:$F$301,5,FALSE()),"Not Found")</f>
        <v>Retail</v>
      </c>
      <c r="E1582" s="46" t="n">
        <f aca="false">IFERROR(VLOOKUP(Orders!C1582,Customers!$A$2:$F$301,3,FALSE()),"Not Found")</f>
        <v>25</v>
      </c>
      <c r="F1582" s="46" t="str">
        <f aca="false">IFERROR(VLOOKUP(Orders!E1582,Sales_Reps!$A$2:$E$31,3,FALSE()),"Not Found")</f>
        <v>South</v>
      </c>
      <c r="G1582" s="46" t="n">
        <f aca="false">IFERROR(VLOOKUP(Orders!D1582,Products!$A$2:$F$61,4,FALSE()),"")</f>
        <v>1412</v>
      </c>
      <c r="H1582" s="47" t="n">
        <f aca="false">IF(G1582="","",(Orders!G1582-G1582)/Orders!G1582)</f>
        <v>0.377973568281938</v>
      </c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/>
      <c r="AE1582" s="46"/>
      <c r="AF1582" s="46"/>
      <c r="AG1582" s="46"/>
      <c r="AH1582" s="46"/>
      <c r="AI1582" s="46"/>
      <c r="AJ1582" s="46"/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</row>
    <row r="1583" customFormat="false" ht="15" hidden="false" customHeight="false" outlineLevel="0" collapsed="false">
      <c r="A1583" s="46" t="str">
        <f aca="false">Orders!A1583</f>
        <v>ORD-01582</v>
      </c>
      <c r="B1583" s="46" t="str">
        <f aca="false">PROPER(TRIM(Orders!K1583))</f>
        <v>Pune</v>
      </c>
      <c r="C1583" s="46" t="str">
        <f aca="false">IFERROR(VLOOKUP(Orders!D1583,Products!$A$2:$F$61,3,FALSE()),"Not Found")</f>
        <v>Electronics</v>
      </c>
      <c r="D1583" s="46" t="str">
        <f aca="false">IFERROR(VLOOKUP(Orders!C1583,Customers!$A$2:$F$301,5,FALSE()),"Not Found")</f>
        <v>SMB</v>
      </c>
      <c r="E1583" s="46" t="n">
        <f aca="false">IFERROR(VLOOKUP(Orders!C1583,Customers!$A$2:$F$301,3,FALSE()),"Not Found")</f>
        <v>60</v>
      </c>
      <c r="F1583" s="46" t="str">
        <f aca="false">IFERROR(VLOOKUP(Orders!E1583,Sales_Reps!$A$2:$E$31,3,FALSE()),"Not Found")</f>
        <v>East</v>
      </c>
      <c r="G1583" s="46" t="n">
        <f aca="false">IFERROR(VLOOKUP(Orders!D1583,Products!$A$2:$F$61,4,FALSE()),"")</f>
        <v>1052</v>
      </c>
      <c r="H1583" s="47" t="n">
        <f aca="false">IF(G1583="","",(Orders!G1583-G1583)/Orders!G1583)</f>
        <v>0.595384615384615</v>
      </c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</row>
    <row r="1584" customFormat="false" ht="15" hidden="false" customHeight="false" outlineLevel="0" collapsed="false">
      <c r="A1584" s="46" t="str">
        <f aca="false">Orders!A1584</f>
        <v>ORD-01583</v>
      </c>
      <c r="B1584" s="46" t="str">
        <f aca="false">PROPER(TRIM(Orders!K1584))</f>
        <v>Mumbai</v>
      </c>
      <c r="C1584" s="46" t="str">
        <f aca="false">IFERROR(VLOOKUP(Orders!D1584,Products!$A$2:$F$61,3,FALSE()),"Not Found")</f>
        <v>Electronics</v>
      </c>
      <c r="D1584" s="46" t="str">
        <f aca="false">IFERROR(VLOOKUP(Orders!C1584,Customers!$A$2:$F$301,5,FALSE()),"Not Found")</f>
        <v>Retail</v>
      </c>
      <c r="E1584" s="46" t="n">
        <f aca="false">IFERROR(VLOOKUP(Orders!C1584,Customers!$A$2:$F$301,3,FALSE()),"Not Found")</f>
        <v>34</v>
      </c>
      <c r="F1584" s="46" t="str">
        <f aca="false">IFERROR(VLOOKUP(Orders!E1584,Sales_Reps!$A$2:$E$31,3,FALSE()),"Not Found")</f>
        <v>West</v>
      </c>
      <c r="G1584" s="46" t="n">
        <f aca="false">IFERROR(VLOOKUP(Orders!D1584,Products!$A$2:$F$61,4,FALSE()),"")</f>
        <v>1559</v>
      </c>
      <c r="H1584" s="47" t="n">
        <f aca="false">IF(G1584="","",(Orders!G1584-G1584)/Orders!G1584)</f>
        <v>0.597157622739018</v>
      </c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/>
      <c r="AE1584" s="46"/>
      <c r="AF1584" s="46"/>
      <c r="AG1584" s="46"/>
      <c r="AH1584" s="46"/>
      <c r="AI1584" s="46"/>
      <c r="AJ1584" s="46"/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</row>
    <row r="1585" customFormat="false" ht="15" hidden="false" customHeight="false" outlineLevel="0" collapsed="false">
      <c r="A1585" s="46" t="str">
        <f aca="false">Orders!A1585</f>
        <v>ORD-01584</v>
      </c>
      <c r="B1585" s="46" t="str">
        <f aca="false">PROPER(TRIM(Orders!K1585))</f>
        <v>Pune</v>
      </c>
      <c r="C1585" s="46" t="str">
        <f aca="false">IFERROR(VLOOKUP(Orders!D1585,Products!$A$2:$F$61,3,FALSE()),"Not Found")</f>
        <v>Electronics</v>
      </c>
      <c r="D1585" s="46" t="str">
        <f aca="false">IFERROR(VLOOKUP(Orders!C1585,Customers!$A$2:$F$301,5,FALSE()),"Not Found")</f>
        <v>SMB</v>
      </c>
      <c r="E1585" s="46" t="n">
        <f aca="false">IFERROR(VLOOKUP(Orders!C1585,Customers!$A$2:$F$301,3,FALSE()),"Not Found")</f>
        <v>53</v>
      </c>
      <c r="F1585" s="46" t="str">
        <f aca="false">IFERROR(VLOOKUP(Orders!E1585,Sales_Reps!$A$2:$E$31,3,FALSE()),"Not Found")</f>
        <v>North</v>
      </c>
      <c r="G1585" s="46" t="n">
        <f aca="false">IFERROR(VLOOKUP(Orders!D1585,Products!$A$2:$F$61,4,FALSE()),"")</f>
        <v>2865</v>
      </c>
      <c r="H1585" s="47" t="n">
        <f aca="false">IF(G1585="","",(Orders!G1585-G1585)/Orders!G1585)</f>
        <v>0.278337531486146</v>
      </c>
      <c r="I1585" s="46"/>
      <c r="J1585" s="46"/>
      <c r="K1585" s="46"/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/>
      <c r="AE1585" s="46"/>
      <c r="AF1585" s="46"/>
      <c r="AG1585" s="46"/>
      <c r="AH1585" s="46"/>
      <c r="AI1585" s="46"/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</row>
    <row r="1586" customFormat="false" ht="15" hidden="false" customHeight="false" outlineLevel="0" collapsed="false">
      <c r="A1586" s="46" t="str">
        <f aca="false">Orders!A1586</f>
        <v>ORD-01585</v>
      </c>
      <c r="B1586" s="46" t="str">
        <f aca="false">PROPER(TRIM(Orders!K1586))</f>
        <v>Chennai</v>
      </c>
      <c r="C1586" s="46" t="str">
        <f aca="false">IFERROR(VLOOKUP(Orders!D1586,Products!$A$2:$F$61,3,FALSE()),"Not Found")</f>
        <v>Beauty</v>
      </c>
      <c r="D1586" s="46" t="str">
        <f aca="false">IFERROR(VLOOKUP(Orders!C1586,Customers!$A$2:$F$301,5,FALSE()),"Not Found")</f>
        <v>Retail</v>
      </c>
      <c r="E1586" s="46" t="n">
        <f aca="false">IFERROR(VLOOKUP(Orders!C1586,Customers!$A$2:$F$301,3,FALSE()),"Not Found")</f>
        <v>28</v>
      </c>
      <c r="F1586" s="46" t="str">
        <f aca="false">IFERROR(VLOOKUP(Orders!E1586,Sales_Reps!$A$2:$E$31,3,FALSE()),"Not Found")</f>
        <v>West</v>
      </c>
      <c r="G1586" s="46" t="n">
        <f aca="false">IFERROR(VLOOKUP(Orders!D1586,Products!$A$2:$F$61,4,FALSE()),"")</f>
        <v>675</v>
      </c>
      <c r="H1586" s="47" t="n">
        <f aca="false">IF(G1586="","",(Orders!G1586-G1586)/Orders!G1586)</f>
        <v>0.296875</v>
      </c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</row>
    <row r="1587" customFormat="false" ht="15" hidden="false" customHeight="false" outlineLevel="0" collapsed="false">
      <c r="A1587" s="46" t="str">
        <f aca="false">Orders!A1587</f>
        <v>ORD-01586</v>
      </c>
      <c r="B1587" s="46" t="str">
        <f aca="false">PROPER(TRIM(Orders!K1587))</f>
        <v>Delhi</v>
      </c>
      <c r="C1587" s="46" t="str">
        <f aca="false">IFERROR(VLOOKUP(Orders!D1587,Products!$A$2:$F$61,3,FALSE()),"Not Found")</f>
        <v>Sports</v>
      </c>
      <c r="D1587" s="46" t="str">
        <f aca="false">IFERROR(VLOOKUP(Orders!C1587,Customers!$A$2:$F$301,5,FALSE()),"Not Found")</f>
        <v>Retail</v>
      </c>
      <c r="E1587" s="46" t="n">
        <f aca="false">IFERROR(VLOOKUP(Orders!C1587,Customers!$A$2:$F$301,3,FALSE()),"Not Found")</f>
        <v>63</v>
      </c>
      <c r="F1587" s="46" t="str">
        <f aca="false">IFERROR(VLOOKUP(Orders!E1587,Sales_Reps!$A$2:$E$31,3,FALSE()),"Not Found")</f>
        <v>West</v>
      </c>
      <c r="G1587" s="46" t="n">
        <f aca="false">IFERROR(VLOOKUP(Orders!D1587,Products!$A$2:$F$61,4,FALSE()),"")</f>
        <v>2265</v>
      </c>
      <c r="H1587" s="47" t="n">
        <f aca="false">IF(G1587="","",(Orders!G1587-G1587)/Orders!G1587)</f>
        <v>0.581330868761553</v>
      </c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</row>
    <row r="1588" customFormat="false" ht="15" hidden="false" customHeight="false" outlineLevel="0" collapsed="false">
      <c r="A1588" s="46" t="str">
        <f aca="false">Orders!A1588</f>
        <v>ORD-01587</v>
      </c>
      <c r="B1588" s="46" t="str">
        <f aca="false">PROPER(TRIM(Orders!K1588))</f>
        <v>Chennai</v>
      </c>
      <c r="C1588" s="46" t="str">
        <f aca="false">IFERROR(VLOOKUP(Orders!D1588,Products!$A$2:$F$61,3,FALSE()),"Not Found")</f>
        <v>Apparel</v>
      </c>
      <c r="D1588" s="46" t="str">
        <f aca="false">IFERROR(VLOOKUP(Orders!C1588,Customers!$A$2:$F$301,5,FALSE()),"Not Found")</f>
        <v>Corporate</v>
      </c>
      <c r="E1588" s="46" t="n">
        <f aca="false">IFERROR(VLOOKUP(Orders!C1588,Customers!$A$2:$F$301,3,FALSE()),"Not Found")</f>
        <v>44</v>
      </c>
      <c r="F1588" s="46" t="str">
        <f aca="false">IFERROR(VLOOKUP(Orders!E1588,Sales_Reps!$A$2:$E$31,3,FALSE()),"Not Found")</f>
        <v>North</v>
      </c>
      <c r="G1588" s="46" t="n">
        <f aca="false">IFERROR(VLOOKUP(Orders!D1588,Products!$A$2:$F$61,4,FALSE()),"")</f>
        <v>1748</v>
      </c>
      <c r="H1588" s="47" t="n">
        <f aca="false">IF(G1588="","",(Orders!G1588-G1588)/Orders!G1588)</f>
        <v>0.493333333333333</v>
      </c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</row>
    <row r="1589" customFormat="false" ht="15" hidden="false" customHeight="false" outlineLevel="0" collapsed="false">
      <c r="A1589" s="46" t="str">
        <f aca="false">Orders!A1589</f>
        <v>ORD-01588</v>
      </c>
      <c r="B1589" s="46" t="str">
        <f aca="false">PROPER(TRIM(Orders!K1589))</f>
        <v>Delhi</v>
      </c>
      <c r="C1589" s="46" t="str">
        <f aca="false">IFERROR(VLOOKUP(Orders!D1589,Products!$A$2:$F$61,3,FALSE()),"Not Found")</f>
        <v>Beauty</v>
      </c>
      <c r="D1589" s="46" t="str">
        <f aca="false">IFERROR(VLOOKUP(Orders!C1589,Customers!$A$2:$F$301,5,FALSE()),"Not Found")</f>
        <v>Retail</v>
      </c>
      <c r="E1589" s="46" t="n">
        <f aca="false">IFERROR(VLOOKUP(Orders!C1589,Customers!$A$2:$F$301,3,FALSE()),"Not Found")</f>
        <v>53</v>
      </c>
      <c r="F1589" s="46" t="str">
        <f aca="false">IFERROR(VLOOKUP(Orders!E1589,Sales_Reps!$A$2:$E$31,3,FALSE()),"Not Found")</f>
        <v>North</v>
      </c>
      <c r="G1589" s="46" t="n">
        <f aca="false">IFERROR(VLOOKUP(Orders!D1589,Products!$A$2:$F$61,4,FALSE()),"")</f>
        <v>1626</v>
      </c>
      <c r="H1589" s="47" t="n">
        <f aca="false">IF(G1589="","",(Orders!G1589-G1589)/Orders!G1589)</f>
        <v>0.46158940397351</v>
      </c>
      <c r="I1589" s="46"/>
      <c r="J1589" s="46"/>
      <c r="K1589" s="46"/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</row>
    <row r="1590" customFormat="false" ht="15" hidden="false" customHeight="false" outlineLevel="0" collapsed="false">
      <c r="A1590" s="46" t="str">
        <f aca="false">Orders!A1590</f>
        <v>ORD-01589</v>
      </c>
      <c r="B1590" s="46" t="str">
        <f aca="false">PROPER(TRIM(Orders!K1590))</f>
        <v>Mumbai</v>
      </c>
      <c r="C1590" s="46" t="str">
        <f aca="false">IFERROR(VLOOKUP(Orders!D1590,Products!$A$2:$F$61,3,FALSE()),"Not Found")</f>
        <v>Sports</v>
      </c>
      <c r="D1590" s="46" t="str">
        <f aca="false">IFERROR(VLOOKUP(Orders!C1590,Customers!$A$2:$F$301,5,FALSE()),"Not Found")</f>
        <v>SMB</v>
      </c>
      <c r="E1590" s="46" t="n">
        <f aca="false">IFERROR(VLOOKUP(Orders!C1590,Customers!$A$2:$F$301,3,FALSE()),"Not Found")</f>
        <v>54</v>
      </c>
      <c r="F1590" s="46" t="str">
        <f aca="false">IFERROR(VLOOKUP(Orders!E1590,Sales_Reps!$A$2:$E$31,3,FALSE()),"Not Found")</f>
        <v>North</v>
      </c>
      <c r="G1590" s="46" t="n">
        <f aca="false">IFERROR(VLOOKUP(Orders!D1590,Products!$A$2:$F$61,4,FALSE()),"")</f>
        <v>147</v>
      </c>
      <c r="H1590" s="47" t="n">
        <f aca="false">IF(G1590="","",(Orders!G1590-G1590)/Orders!G1590)</f>
        <v>0.226315789473684</v>
      </c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</row>
    <row r="1591" customFormat="false" ht="15" hidden="false" customHeight="false" outlineLevel="0" collapsed="false">
      <c r="A1591" s="46" t="str">
        <f aca="false">Orders!A1591</f>
        <v>ORD-01590</v>
      </c>
      <c r="B1591" s="46" t="str">
        <f aca="false">PROPER(TRIM(Orders!K1591))</f>
        <v>Pune</v>
      </c>
      <c r="C1591" s="46" t="str">
        <f aca="false">IFERROR(VLOOKUP(Orders!D1591,Products!$A$2:$F$61,3,FALSE()),"Not Found")</f>
        <v>Home</v>
      </c>
      <c r="D1591" s="46" t="str">
        <f aca="false">IFERROR(VLOOKUP(Orders!C1591,Customers!$A$2:$F$301,5,FALSE()),"Not Found")</f>
        <v>SMB</v>
      </c>
      <c r="E1591" s="46" t="n">
        <f aca="false">IFERROR(VLOOKUP(Orders!C1591,Customers!$A$2:$F$301,3,FALSE()),"Not Found")</f>
        <v>44</v>
      </c>
      <c r="F1591" s="46" t="str">
        <f aca="false">IFERROR(VLOOKUP(Orders!E1591,Sales_Reps!$A$2:$E$31,3,FALSE()),"Not Found")</f>
        <v>South</v>
      </c>
      <c r="G1591" s="46" t="n">
        <f aca="false">IFERROR(VLOOKUP(Orders!D1591,Products!$A$2:$F$61,4,FALSE()),"")</f>
        <v>2135</v>
      </c>
      <c r="H1591" s="47" t="n">
        <f aca="false">IF(G1591="","",(Orders!G1591-G1591)/Orders!G1591)</f>
        <v>0.427613941018767</v>
      </c>
      <c r="I1591" s="46"/>
      <c r="J1591" s="46"/>
      <c r="K1591" s="46"/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46"/>
      <c r="AE1591" s="46"/>
      <c r="AF1591" s="46"/>
      <c r="AG1591" s="46"/>
      <c r="AH1591" s="46"/>
      <c r="AI1591" s="46"/>
      <c r="AJ1591" s="46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</row>
    <row r="1592" customFormat="false" ht="15" hidden="false" customHeight="false" outlineLevel="0" collapsed="false">
      <c r="A1592" s="46" t="str">
        <f aca="false">Orders!A1592</f>
        <v>ORD-01591</v>
      </c>
      <c r="B1592" s="46" t="str">
        <f aca="false">PROPER(TRIM(Orders!K1592))</f>
        <v>Mumbai</v>
      </c>
      <c r="C1592" s="46" t="str">
        <f aca="false">IFERROR(VLOOKUP(Orders!D1592,Products!$A$2:$F$61,3,FALSE()),"Not Found")</f>
        <v>Sports</v>
      </c>
      <c r="D1592" s="46" t="str">
        <f aca="false">IFERROR(VLOOKUP(Orders!C1592,Customers!$A$2:$F$301,5,FALSE()),"Not Found")</f>
        <v>SMB</v>
      </c>
      <c r="E1592" s="46" t="n">
        <f aca="false">IFERROR(VLOOKUP(Orders!C1592,Customers!$A$2:$F$301,3,FALSE()),"Not Found")</f>
        <v>47</v>
      </c>
      <c r="F1592" s="46" t="str">
        <f aca="false">IFERROR(VLOOKUP(Orders!E1592,Sales_Reps!$A$2:$E$31,3,FALSE()),"Not Found")</f>
        <v>West</v>
      </c>
      <c r="G1592" s="46" t="n">
        <f aca="false">IFERROR(VLOOKUP(Orders!D1592,Products!$A$2:$F$61,4,FALSE()),"")</f>
        <v>2467</v>
      </c>
      <c r="H1592" s="47" t="n">
        <f aca="false">IF(G1592="","",(Orders!G1592-G1592)/Orders!G1592)</f>
        <v>0.284927536231884</v>
      </c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</row>
    <row r="1593" customFormat="false" ht="15" hidden="false" customHeight="false" outlineLevel="0" collapsed="false">
      <c r="A1593" s="46" t="str">
        <f aca="false">Orders!A1593</f>
        <v>ORD-01592</v>
      </c>
      <c r="B1593" s="46" t="str">
        <f aca="false">PROPER(TRIM(Orders!K1593))</f>
        <v>Bengaluru</v>
      </c>
      <c r="C1593" s="46" t="str">
        <f aca="false">IFERROR(VLOOKUP(Orders!D1593,Products!$A$2:$F$61,3,FALSE()),"Not Found")</f>
        <v>Electronics</v>
      </c>
      <c r="D1593" s="46" t="str">
        <f aca="false">IFERROR(VLOOKUP(Orders!C1593,Customers!$A$2:$F$301,5,FALSE()),"Not Found")</f>
        <v>Corporate</v>
      </c>
      <c r="E1593" s="46" t="n">
        <f aca="false">IFERROR(VLOOKUP(Orders!C1593,Customers!$A$2:$F$301,3,FALSE()),"Not Found")</f>
        <v>36</v>
      </c>
      <c r="F1593" s="46" t="str">
        <f aca="false">IFERROR(VLOOKUP(Orders!E1593,Sales_Reps!$A$2:$E$31,3,FALSE()),"Not Found")</f>
        <v>North</v>
      </c>
      <c r="G1593" s="46" t="n">
        <f aca="false">IFERROR(VLOOKUP(Orders!D1593,Products!$A$2:$F$61,4,FALSE()),"")</f>
        <v>2865</v>
      </c>
      <c r="H1593" s="47" t="n">
        <f aca="false">IF(G1593="","",(Orders!G1593-G1593)/Orders!G1593)</f>
        <v>0.278337531486146</v>
      </c>
      <c r="I1593" s="46"/>
      <c r="J1593" s="46"/>
      <c r="K1593" s="46"/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</row>
    <row r="1594" customFormat="false" ht="15" hidden="false" customHeight="false" outlineLevel="0" collapsed="false">
      <c r="A1594" s="46" t="str">
        <f aca="false">Orders!A1594</f>
        <v>ORD-01593</v>
      </c>
      <c r="B1594" s="46" t="str">
        <f aca="false">PROPER(TRIM(Orders!K1594))</f>
        <v>Mumbai</v>
      </c>
      <c r="C1594" s="46" t="str">
        <f aca="false">IFERROR(VLOOKUP(Orders!D1594,Products!$A$2:$F$61,3,FALSE()),"Not Found")</f>
        <v>Home</v>
      </c>
      <c r="D1594" s="46" t="str">
        <f aca="false">IFERROR(VLOOKUP(Orders!C1594,Customers!$A$2:$F$301,5,FALSE()),"Not Found")</f>
        <v>Retail</v>
      </c>
      <c r="E1594" s="46" t="n">
        <f aca="false">IFERROR(VLOOKUP(Orders!C1594,Customers!$A$2:$F$301,3,FALSE()),"Not Found")</f>
        <v>52</v>
      </c>
      <c r="F1594" s="46" t="str">
        <f aca="false">IFERROR(VLOOKUP(Orders!E1594,Sales_Reps!$A$2:$E$31,3,FALSE()),"Not Found")</f>
        <v>East</v>
      </c>
      <c r="G1594" s="46" t="n">
        <f aca="false">IFERROR(VLOOKUP(Orders!D1594,Products!$A$2:$F$61,4,FALSE()),"")</f>
        <v>464</v>
      </c>
      <c r="H1594" s="47" t="n">
        <f aca="false">IF(G1594="","",(Orders!G1594-G1594)/Orders!G1594)</f>
        <v>0.574311926605505</v>
      </c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</row>
    <row r="1595" customFormat="false" ht="15" hidden="false" customHeight="false" outlineLevel="0" collapsed="false">
      <c r="A1595" s="46" t="str">
        <f aca="false">Orders!A1595</f>
        <v>ORD-01594</v>
      </c>
      <c r="B1595" s="46" t="str">
        <f aca="false">PROPER(TRIM(Orders!K1595))</f>
        <v>Pune</v>
      </c>
      <c r="C1595" s="46" t="str">
        <f aca="false">IFERROR(VLOOKUP(Orders!D1595,Products!$A$2:$F$61,3,FALSE()),"Not Found")</f>
        <v>Home</v>
      </c>
      <c r="D1595" s="46" t="str">
        <f aca="false">IFERROR(VLOOKUP(Orders!C1595,Customers!$A$2:$F$301,5,FALSE()),"Not Found")</f>
        <v>SMB</v>
      </c>
      <c r="E1595" s="46" t="n">
        <f aca="false">IFERROR(VLOOKUP(Orders!C1595,Customers!$A$2:$F$301,3,FALSE()),"Not Found")</f>
        <v>49</v>
      </c>
      <c r="F1595" s="46" t="str">
        <f aca="false">IFERROR(VLOOKUP(Orders!E1595,Sales_Reps!$A$2:$E$31,3,FALSE()),"Not Found")</f>
        <v>East</v>
      </c>
      <c r="G1595" s="46" t="n">
        <f aca="false">IFERROR(VLOOKUP(Orders!D1595,Products!$A$2:$F$61,4,FALSE()),"")</f>
        <v>1143</v>
      </c>
      <c r="H1595" s="47" t="n">
        <f aca="false">IF(G1595="","",(Orders!G1595-G1595)/Orders!G1595)</f>
        <v>0.436945812807882</v>
      </c>
      <c r="I1595" s="46"/>
      <c r="J1595" s="46"/>
      <c r="K1595" s="46"/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6"/>
      <c r="AB1595" s="46"/>
      <c r="AC1595" s="46"/>
      <c r="AD1595" s="46"/>
      <c r="AE1595" s="46"/>
      <c r="AF1595" s="46"/>
      <c r="AG1595" s="46"/>
      <c r="AH1595" s="46"/>
      <c r="AI1595" s="46"/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</row>
    <row r="1596" customFormat="false" ht="15" hidden="false" customHeight="false" outlineLevel="0" collapsed="false">
      <c r="A1596" s="46" t="str">
        <f aca="false">Orders!A1596</f>
        <v>ORD-01595</v>
      </c>
      <c r="B1596" s="46" t="str">
        <f aca="false">PROPER(TRIM(Orders!K1596))</f>
        <v>Chennai</v>
      </c>
      <c r="C1596" s="46" t="str">
        <f aca="false">IFERROR(VLOOKUP(Orders!D1596,Products!$A$2:$F$61,3,FALSE()),"Not Found")</f>
        <v>Grocery</v>
      </c>
      <c r="D1596" s="46" t="str">
        <f aca="false">IFERROR(VLOOKUP(Orders!C1596,Customers!$A$2:$F$301,5,FALSE()),"Not Found")</f>
        <v>Corporate</v>
      </c>
      <c r="E1596" s="46" t="n">
        <f aca="false">IFERROR(VLOOKUP(Orders!C1596,Customers!$A$2:$F$301,3,FALSE()),"Not Found")</f>
        <v>22</v>
      </c>
      <c r="F1596" s="46" t="str">
        <f aca="false">IFERROR(VLOOKUP(Orders!E1596,Sales_Reps!$A$2:$E$31,3,FALSE()),"Not Found")</f>
        <v>North</v>
      </c>
      <c r="G1596" s="46" t="n">
        <f aca="false">IFERROR(VLOOKUP(Orders!D1596,Products!$A$2:$F$61,4,FALSE()),"")</f>
        <v>2027</v>
      </c>
      <c r="H1596" s="47" t="n">
        <f aca="false">IF(G1596="","",(Orders!G1596-G1596)/Orders!G1596)</f>
        <v>0.501965601965602</v>
      </c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/>
      <c r="AE1596" s="46"/>
      <c r="AF1596" s="46"/>
      <c r="AG1596" s="46"/>
      <c r="AH1596" s="46"/>
      <c r="AI1596" s="46"/>
      <c r="AJ1596" s="46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</row>
    <row r="1597" customFormat="false" ht="15" hidden="false" customHeight="false" outlineLevel="0" collapsed="false">
      <c r="A1597" s="46" t="str">
        <f aca="false">Orders!A1597</f>
        <v>ORD-01596</v>
      </c>
      <c r="B1597" s="46" t="str">
        <f aca="false">PROPER(TRIM(Orders!K1597))</f>
        <v>Chennai</v>
      </c>
      <c r="C1597" s="46" t="str">
        <f aca="false">IFERROR(VLOOKUP(Orders!D1597,Products!$A$2:$F$61,3,FALSE()),"Not Found")</f>
        <v>Apparel</v>
      </c>
      <c r="D1597" s="46" t="str">
        <f aca="false">IFERROR(VLOOKUP(Orders!C1597,Customers!$A$2:$F$301,5,FALSE()),"Not Found")</f>
        <v>Corporate</v>
      </c>
      <c r="E1597" s="46" t="n">
        <f aca="false">IFERROR(VLOOKUP(Orders!C1597,Customers!$A$2:$F$301,3,FALSE()),"Not Found")</f>
        <v>49</v>
      </c>
      <c r="F1597" s="46" t="str">
        <f aca="false">IFERROR(VLOOKUP(Orders!E1597,Sales_Reps!$A$2:$E$31,3,FALSE()),"Not Found")</f>
        <v>West</v>
      </c>
      <c r="G1597" s="46" t="n">
        <f aca="false">IFERROR(VLOOKUP(Orders!D1597,Products!$A$2:$F$61,4,FALSE()),"")</f>
        <v>2509</v>
      </c>
      <c r="H1597" s="47" t="n">
        <f aca="false">IF(G1597="","",(Orders!G1597-G1597)/Orders!G1597)</f>
        <v>0.306906077348066</v>
      </c>
      <c r="I1597" s="46"/>
      <c r="J1597" s="46"/>
      <c r="K1597" s="46"/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/>
      <c r="AE1597" s="46"/>
      <c r="AF1597" s="46"/>
      <c r="AG1597" s="46"/>
      <c r="AH1597" s="46"/>
      <c r="AI1597" s="46"/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</row>
    <row r="1598" customFormat="false" ht="15" hidden="false" customHeight="false" outlineLevel="0" collapsed="false">
      <c r="A1598" s="46" t="str">
        <f aca="false">Orders!A1598</f>
        <v>ORD-01597</v>
      </c>
      <c r="B1598" s="46" t="str">
        <f aca="false">PROPER(TRIM(Orders!K1598))</f>
        <v>Pune</v>
      </c>
      <c r="C1598" s="46" t="str">
        <f aca="false">IFERROR(VLOOKUP(Orders!D1598,Products!$A$2:$F$61,3,FALSE()),"Not Found")</f>
        <v>Sports</v>
      </c>
      <c r="D1598" s="46" t="str">
        <f aca="false">IFERROR(VLOOKUP(Orders!C1598,Customers!$A$2:$F$301,5,FALSE()),"Not Found")</f>
        <v>Retail</v>
      </c>
      <c r="E1598" s="46" t="n">
        <f aca="false">IFERROR(VLOOKUP(Orders!C1598,Customers!$A$2:$F$301,3,FALSE()),"Not Found")</f>
        <v>31</v>
      </c>
      <c r="F1598" s="46" t="str">
        <f aca="false">IFERROR(VLOOKUP(Orders!E1598,Sales_Reps!$A$2:$E$31,3,FALSE()),"Not Found")</f>
        <v>North</v>
      </c>
      <c r="G1598" s="46" t="n">
        <f aca="false">IFERROR(VLOOKUP(Orders!D1598,Products!$A$2:$F$61,4,FALSE()),"")</f>
        <v>516</v>
      </c>
      <c r="H1598" s="47" t="n">
        <f aca="false">IF(G1598="","",(Orders!G1598-G1598)/Orders!G1598)</f>
        <v>0.489108910891089</v>
      </c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/>
      <c r="AE1598" s="46"/>
      <c r="AF1598" s="46"/>
      <c r="AG1598" s="46"/>
      <c r="AH1598" s="46"/>
      <c r="AI1598" s="46"/>
      <c r="AJ1598" s="46"/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</row>
    <row r="1599" customFormat="false" ht="15" hidden="false" customHeight="false" outlineLevel="0" collapsed="false">
      <c r="A1599" s="46" t="str">
        <f aca="false">Orders!A1599</f>
        <v>ORD-01598</v>
      </c>
      <c r="B1599" s="46" t="str">
        <f aca="false">PROPER(TRIM(Orders!K1599))</f>
        <v>Delhi</v>
      </c>
      <c r="C1599" s="46" t="str">
        <f aca="false">IFERROR(VLOOKUP(Orders!D1599,Products!$A$2:$F$61,3,FALSE()),"Not Found")</f>
        <v>Grocery</v>
      </c>
      <c r="D1599" s="46" t="str">
        <f aca="false">IFERROR(VLOOKUP(Orders!C1599,Customers!$A$2:$F$301,5,FALSE()),"Not Found")</f>
        <v>SMB</v>
      </c>
      <c r="E1599" s="46" t="n">
        <f aca="false">IFERROR(VLOOKUP(Orders!C1599,Customers!$A$2:$F$301,3,FALSE()),"Not Found")</f>
        <v>38</v>
      </c>
      <c r="F1599" s="46" t="str">
        <f aca="false">IFERROR(VLOOKUP(Orders!E1599,Sales_Reps!$A$2:$E$31,3,FALSE()),"Not Found")</f>
        <v>North</v>
      </c>
      <c r="G1599" s="46" t="n">
        <f aca="false">IFERROR(VLOOKUP(Orders!D1599,Products!$A$2:$F$61,4,FALSE()),"")</f>
        <v>434</v>
      </c>
      <c r="H1599" s="47" t="n">
        <f aca="false">IF(G1599="","",(Orders!G1599-G1599)/Orders!G1599)</f>
        <v>0.552577319587629</v>
      </c>
      <c r="I1599" s="46"/>
      <c r="J1599" s="46"/>
      <c r="K1599" s="46"/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</row>
    <row r="1600" customFormat="false" ht="15" hidden="false" customHeight="false" outlineLevel="0" collapsed="false">
      <c r="A1600" s="46" t="str">
        <f aca="false">Orders!A1600</f>
        <v>ORD-01599</v>
      </c>
      <c r="B1600" s="46" t="str">
        <f aca="false">PROPER(TRIM(Orders!K1600))</f>
        <v>Bengaluru</v>
      </c>
      <c r="C1600" s="46" t="str">
        <f aca="false">IFERROR(VLOOKUP(Orders!D1600,Products!$A$2:$F$61,3,FALSE()),"Not Found")</f>
        <v>Sports</v>
      </c>
      <c r="D1600" s="46" t="str">
        <f aca="false">IFERROR(VLOOKUP(Orders!C1600,Customers!$A$2:$F$301,5,FALSE()),"Not Found")</f>
        <v>Retail</v>
      </c>
      <c r="E1600" s="46" t="n">
        <f aca="false">IFERROR(VLOOKUP(Orders!C1600,Customers!$A$2:$F$301,3,FALSE()),"Not Found")</f>
        <v>47</v>
      </c>
      <c r="F1600" s="46" t="str">
        <f aca="false">IFERROR(VLOOKUP(Orders!E1600,Sales_Reps!$A$2:$E$31,3,FALSE()),"Not Found")</f>
        <v>West</v>
      </c>
      <c r="G1600" s="46" t="n">
        <f aca="false">IFERROR(VLOOKUP(Orders!D1600,Products!$A$2:$F$61,4,FALSE()),"")</f>
        <v>302</v>
      </c>
      <c r="H1600" s="47" t="n">
        <f aca="false">IF(G1600="","",(Orders!G1600-G1600)/Orders!G1600)</f>
        <v>0.357446808510638</v>
      </c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  <c r="AB1600" s="46"/>
      <c r="AC1600" s="46"/>
      <c r="AD1600" s="46"/>
      <c r="AE1600" s="46"/>
      <c r="AF1600" s="46"/>
      <c r="AG1600" s="46"/>
      <c r="AH1600" s="46"/>
      <c r="AI1600" s="46"/>
      <c r="AJ1600" s="46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</row>
    <row r="1601" customFormat="false" ht="15" hidden="false" customHeight="false" outlineLevel="0" collapsed="false">
      <c r="A1601" s="46" t="str">
        <f aca="false">Orders!A1601</f>
        <v>ORD-01600</v>
      </c>
      <c r="B1601" s="46" t="str">
        <f aca="false">PROPER(TRIM(Orders!K1601))</f>
        <v>Mumbai</v>
      </c>
      <c r="C1601" s="46" t="str">
        <f aca="false">IFERROR(VLOOKUP(Orders!D1601,Products!$A$2:$F$61,3,FALSE()),"Not Found")</f>
        <v>Apparel</v>
      </c>
      <c r="D1601" s="46" t="str">
        <f aca="false">IFERROR(VLOOKUP(Orders!C1601,Customers!$A$2:$F$301,5,FALSE()),"Not Found")</f>
        <v>Retail</v>
      </c>
      <c r="E1601" s="46" t="n">
        <f aca="false">IFERROR(VLOOKUP(Orders!C1601,Customers!$A$2:$F$301,3,FALSE()),"Not Found")</f>
        <v>37</v>
      </c>
      <c r="F1601" s="46" t="str">
        <f aca="false">IFERROR(VLOOKUP(Orders!E1601,Sales_Reps!$A$2:$E$31,3,FALSE()),"Not Found")</f>
        <v>South</v>
      </c>
      <c r="G1601" s="46" t="n">
        <f aca="false">IFERROR(VLOOKUP(Orders!D1601,Products!$A$2:$F$61,4,FALSE()),"")</f>
        <v>1748</v>
      </c>
      <c r="H1601" s="47" t="n">
        <f aca="false">IF(G1601="","",(Orders!G1601-G1601)/Orders!G1601)</f>
        <v>0.493333333333333</v>
      </c>
      <c r="I1601" s="46"/>
      <c r="J1601" s="46"/>
      <c r="K1601" s="46"/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</row>
    <row r="1602" customFormat="false" ht="15" hidden="false" customHeight="false" outlineLevel="0" collapsed="false">
      <c r="A1602" s="46" t="str">
        <f aca="false">Orders!A1602</f>
        <v>ORD-01601</v>
      </c>
      <c r="B1602" s="46" t="str">
        <f aca="false">PROPER(TRIM(Orders!K1602))</f>
        <v>Pune</v>
      </c>
      <c r="C1602" s="46" t="str">
        <f aca="false">IFERROR(VLOOKUP(Orders!D1602,Products!$A$2:$F$61,3,FALSE()),"Not Found")</f>
        <v>Electronics</v>
      </c>
      <c r="D1602" s="46" t="str">
        <f aca="false">IFERROR(VLOOKUP(Orders!C1602,Customers!$A$2:$F$301,5,FALSE()),"Not Found")</f>
        <v>Corporate</v>
      </c>
      <c r="E1602" s="46" t="n">
        <f aca="false">IFERROR(VLOOKUP(Orders!C1602,Customers!$A$2:$F$301,3,FALSE()),"Not Found")</f>
        <v>40</v>
      </c>
      <c r="F1602" s="46" t="str">
        <f aca="false">IFERROR(VLOOKUP(Orders!E1602,Sales_Reps!$A$2:$E$31,3,FALSE()),"Not Found")</f>
        <v>East</v>
      </c>
      <c r="G1602" s="46" t="n">
        <f aca="false">IFERROR(VLOOKUP(Orders!D1602,Products!$A$2:$F$61,4,FALSE()),"")</f>
        <v>1149</v>
      </c>
      <c r="H1602" s="47" t="n">
        <f aca="false">IF(G1602="","",(Orders!G1602-G1602)/Orders!G1602)</f>
        <v>0.564772727272727</v>
      </c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/>
      <c r="AE1602" s="46"/>
      <c r="AF1602" s="46"/>
      <c r="AG1602" s="46"/>
      <c r="AH1602" s="46"/>
      <c r="AI1602" s="46"/>
      <c r="AJ1602" s="46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</row>
    <row r="1603" customFormat="false" ht="15" hidden="false" customHeight="false" outlineLevel="0" collapsed="false">
      <c r="A1603" s="46" t="str">
        <f aca="false">Orders!A1603</f>
        <v>ORD-01602</v>
      </c>
      <c r="B1603" s="46" t="str">
        <f aca="false">PROPER(TRIM(Orders!K1603))</f>
        <v>Chennai</v>
      </c>
      <c r="C1603" s="46" t="str">
        <f aca="false">IFERROR(VLOOKUP(Orders!D1603,Products!$A$2:$F$61,3,FALSE()),"Not Found")</f>
        <v>Electronics</v>
      </c>
      <c r="D1603" s="46" t="str">
        <f aca="false">IFERROR(VLOOKUP(Orders!C1603,Customers!$A$2:$F$301,5,FALSE()),"Not Found")</f>
        <v>Retail</v>
      </c>
      <c r="E1603" s="46" t="n">
        <f aca="false">IFERROR(VLOOKUP(Orders!C1603,Customers!$A$2:$F$301,3,FALSE()),"Not Found")</f>
        <v>26</v>
      </c>
      <c r="F1603" s="46" t="str">
        <f aca="false">IFERROR(VLOOKUP(Orders!E1603,Sales_Reps!$A$2:$E$31,3,FALSE()),"Not Found")</f>
        <v>East</v>
      </c>
      <c r="G1603" s="46" t="n">
        <f aca="false">IFERROR(VLOOKUP(Orders!D1603,Products!$A$2:$F$61,4,FALSE()),"")</f>
        <v>1665</v>
      </c>
      <c r="H1603" s="47" t="n">
        <f aca="false">IF(G1603="","",(Orders!G1603-G1603)/Orders!G1603)</f>
        <v>0.533613445378151</v>
      </c>
      <c r="I1603" s="46"/>
      <c r="J1603" s="46"/>
      <c r="K1603" s="46"/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46"/>
      <c r="AE1603" s="46"/>
      <c r="AF1603" s="46"/>
      <c r="AG1603" s="46"/>
      <c r="AH1603" s="46"/>
      <c r="AI1603" s="46"/>
      <c r="AJ1603" s="46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</row>
    <row r="1604" customFormat="false" ht="15" hidden="false" customHeight="false" outlineLevel="0" collapsed="false">
      <c r="A1604" s="46" t="str">
        <f aca="false">Orders!A1604</f>
        <v>ORD-01603</v>
      </c>
      <c r="B1604" s="46" t="str">
        <f aca="false">PROPER(TRIM(Orders!K1604))</f>
        <v>Hyderabad</v>
      </c>
      <c r="C1604" s="46" t="str">
        <f aca="false">IFERROR(VLOOKUP(Orders!D1604,Products!$A$2:$F$61,3,FALSE()),"Not Found")</f>
        <v>Electronics</v>
      </c>
      <c r="D1604" s="46" t="str">
        <f aca="false">IFERROR(VLOOKUP(Orders!C1604,Customers!$A$2:$F$301,5,FALSE()),"Not Found")</f>
        <v>Retail</v>
      </c>
      <c r="E1604" s="46" t="n">
        <f aca="false">IFERROR(VLOOKUP(Orders!C1604,Customers!$A$2:$F$301,3,FALSE()),"Not Found")</f>
        <v>22</v>
      </c>
      <c r="F1604" s="46" t="str">
        <f aca="false">IFERROR(VLOOKUP(Orders!E1604,Sales_Reps!$A$2:$E$31,3,FALSE()),"Not Found")</f>
        <v>South</v>
      </c>
      <c r="G1604" s="46" t="n">
        <f aca="false">IFERROR(VLOOKUP(Orders!D1604,Products!$A$2:$F$61,4,FALSE()),"")</f>
        <v>861</v>
      </c>
      <c r="H1604" s="47" t="n">
        <f aca="false">IF(G1604="","",(Orders!G1604-G1604)/Orders!G1604)</f>
        <v>0.397902097902098</v>
      </c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  <c r="AB1604" s="46"/>
      <c r="AC1604" s="46"/>
      <c r="AD1604" s="46"/>
      <c r="AE1604" s="46"/>
      <c r="AF1604" s="46"/>
      <c r="AG1604" s="46"/>
      <c r="AH1604" s="46"/>
      <c r="AI1604" s="46"/>
      <c r="AJ1604" s="46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</row>
    <row r="1605" customFormat="false" ht="15" hidden="false" customHeight="false" outlineLevel="0" collapsed="false">
      <c r="A1605" s="46" t="str">
        <f aca="false">Orders!A1605</f>
        <v>ORD-01604</v>
      </c>
      <c r="B1605" s="46" t="str">
        <f aca="false">PROPER(TRIM(Orders!K1605))</f>
        <v>Chennai</v>
      </c>
      <c r="C1605" s="46" t="str">
        <f aca="false">IFERROR(VLOOKUP(Orders!D1605,Products!$A$2:$F$61,3,FALSE()),"Not Found")</f>
        <v>Sports</v>
      </c>
      <c r="D1605" s="46" t="str">
        <f aca="false">IFERROR(VLOOKUP(Orders!C1605,Customers!$A$2:$F$301,5,FALSE()),"Not Found")</f>
        <v>Retail</v>
      </c>
      <c r="E1605" s="46" t="n">
        <f aca="false">IFERROR(VLOOKUP(Orders!C1605,Customers!$A$2:$F$301,3,FALSE()),"Not Found")</f>
        <v>32</v>
      </c>
      <c r="F1605" s="46" t="str">
        <f aca="false">IFERROR(VLOOKUP(Orders!E1605,Sales_Reps!$A$2:$E$31,3,FALSE()),"Not Found")</f>
        <v>South</v>
      </c>
      <c r="G1605" s="46" t="n">
        <f aca="false">IFERROR(VLOOKUP(Orders!D1605,Products!$A$2:$F$61,4,FALSE()),"")</f>
        <v>705</v>
      </c>
      <c r="H1605" s="47" t="n">
        <f aca="false">IF(G1605="","",(Orders!G1605-G1605)/Orders!G1605)</f>
        <v>0.265625</v>
      </c>
      <c r="I1605" s="46"/>
      <c r="J1605" s="46"/>
      <c r="K1605" s="46"/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</row>
    <row r="1606" customFormat="false" ht="15" hidden="false" customHeight="false" outlineLevel="0" collapsed="false">
      <c r="A1606" s="46" t="str">
        <f aca="false">Orders!A1606</f>
        <v>ORD-01605</v>
      </c>
      <c r="B1606" s="46" t="str">
        <f aca="false">PROPER(TRIM(Orders!K1606))</f>
        <v>Bengaluru</v>
      </c>
      <c r="C1606" s="46" t="str">
        <f aca="false">IFERROR(VLOOKUP(Orders!D1606,Products!$A$2:$F$61,3,FALSE()),"Not Found")</f>
        <v>Home</v>
      </c>
      <c r="D1606" s="46" t="str">
        <f aca="false">IFERROR(VLOOKUP(Orders!C1606,Customers!$A$2:$F$301,5,FALSE()),"Not Found")</f>
        <v>Retail</v>
      </c>
      <c r="E1606" s="46" t="n">
        <f aca="false">IFERROR(VLOOKUP(Orders!C1606,Customers!$A$2:$F$301,3,FALSE()),"Not Found")</f>
        <v>27</v>
      </c>
      <c r="F1606" s="46" t="str">
        <f aca="false">IFERROR(VLOOKUP(Orders!E1606,Sales_Reps!$A$2:$E$31,3,FALSE()),"Not Found")</f>
        <v>South</v>
      </c>
      <c r="G1606" s="46" t="n">
        <f aca="false">IFERROR(VLOOKUP(Orders!D1606,Products!$A$2:$F$61,4,FALSE()),"")</f>
        <v>1556</v>
      </c>
      <c r="H1606" s="47" t="n">
        <f aca="false">IF(G1606="","",(Orders!G1606-G1606)/Orders!G1606)</f>
        <v>0.521230769230769</v>
      </c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</row>
    <row r="1607" customFormat="false" ht="15" hidden="false" customHeight="false" outlineLevel="0" collapsed="false">
      <c r="A1607" s="46" t="str">
        <f aca="false">Orders!A1607</f>
        <v>ORD-01606</v>
      </c>
      <c r="B1607" s="46" t="str">
        <f aca="false">PROPER(TRIM(Orders!K1607))</f>
        <v>Hyderabad</v>
      </c>
      <c r="C1607" s="46" t="str">
        <f aca="false">IFERROR(VLOOKUP(Orders!D1607,Products!$A$2:$F$61,3,FALSE()),"Not Found")</f>
        <v>Sports</v>
      </c>
      <c r="D1607" s="46" t="str">
        <f aca="false">IFERROR(VLOOKUP(Orders!C1607,Customers!$A$2:$F$301,5,FALSE()),"Not Found")</f>
        <v>Corporate</v>
      </c>
      <c r="E1607" s="46" t="n">
        <f aca="false">IFERROR(VLOOKUP(Orders!C1607,Customers!$A$2:$F$301,3,FALSE()),"Not Found")</f>
        <v>22</v>
      </c>
      <c r="F1607" s="46" t="str">
        <f aca="false">IFERROR(VLOOKUP(Orders!E1607,Sales_Reps!$A$2:$E$31,3,FALSE()),"Not Found")</f>
        <v>East</v>
      </c>
      <c r="G1607" s="46" t="n">
        <f aca="false">IFERROR(VLOOKUP(Orders!D1607,Products!$A$2:$F$61,4,FALSE()),"")</f>
        <v>2467</v>
      </c>
      <c r="H1607" s="47" t="n">
        <f aca="false">IF(G1607="","",(Orders!G1607-G1607)/Orders!G1607)</f>
        <v>0.284927536231884</v>
      </c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</row>
    <row r="1608" customFormat="false" ht="15" hidden="false" customHeight="false" outlineLevel="0" collapsed="false">
      <c r="A1608" s="46" t="str">
        <f aca="false">Orders!A1608</f>
        <v>ORD-01607</v>
      </c>
      <c r="B1608" s="46" t="str">
        <f aca="false">PROPER(TRIM(Orders!K1608))</f>
        <v>Hyderabad</v>
      </c>
      <c r="C1608" s="46" t="str">
        <f aca="false">IFERROR(VLOOKUP(Orders!D1608,Products!$A$2:$F$61,3,FALSE()),"Not Found")</f>
        <v>Grocery</v>
      </c>
      <c r="D1608" s="46" t="str">
        <f aca="false">IFERROR(VLOOKUP(Orders!C1608,Customers!$A$2:$F$301,5,FALSE()),"Not Found")</f>
        <v>SMB</v>
      </c>
      <c r="E1608" s="46" t="n">
        <f aca="false">IFERROR(VLOOKUP(Orders!C1608,Customers!$A$2:$F$301,3,FALSE()),"Not Found")</f>
        <v>40</v>
      </c>
      <c r="F1608" s="46" t="str">
        <f aca="false">IFERROR(VLOOKUP(Orders!E1608,Sales_Reps!$A$2:$E$31,3,FALSE()),"Not Found")</f>
        <v>South</v>
      </c>
      <c r="G1608" s="46" t="n">
        <f aca="false">IFERROR(VLOOKUP(Orders!D1608,Products!$A$2:$F$61,4,FALSE()),"")</f>
        <v>1203</v>
      </c>
      <c r="H1608" s="47" t="n">
        <f aca="false">IF(G1608="","",(Orders!G1608-G1608)/Orders!G1608)</f>
        <v>0.470044052863436</v>
      </c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</row>
    <row r="1609" customFormat="false" ht="15" hidden="false" customHeight="false" outlineLevel="0" collapsed="false">
      <c r="A1609" s="46" t="str">
        <f aca="false">Orders!A1609</f>
        <v>ORD-01608</v>
      </c>
      <c r="B1609" s="46" t="str">
        <f aca="false">PROPER(TRIM(Orders!K1609))</f>
        <v>Bengaluru</v>
      </c>
      <c r="C1609" s="46" t="str">
        <f aca="false">IFERROR(VLOOKUP(Orders!D1609,Products!$A$2:$F$61,3,FALSE()),"Not Found")</f>
        <v>Beauty</v>
      </c>
      <c r="D1609" s="46" t="str">
        <f aca="false">IFERROR(VLOOKUP(Orders!C1609,Customers!$A$2:$F$301,5,FALSE()),"Not Found")</f>
        <v>Retail</v>
      </c>
      <c r="E1609" s="46" t="n">
        <f aca="false">IFERROR(VLOOKUP(Orders!C1609,Customers!$A$2:$F$301,3,FALSE()),"Not Found")</f>
        <v>46</v>
      </c>
      <c r="F1609" s="46" t="str">
        <f aca="false">IFERROR(VLOOKUP(Orders!E1609,Sales_Reps!$A$2:$E$31,3,FALSE()),"Not Found")</f>
        <v>East</v>
      </c>
      <c r="G1609" s="46" t="n">
        <f aca="false">IFERROR(VLOOKUP(Orders!D1609,Products!$A$2:$F$61,4,FALSE()),"")</f>
        <v>1626</v>
      </c>
      <c r="H1609" s="47" t="n">
        <f aca="false">IF(G1609="","",(Orders!G1609-G1609)/Orders!G1609)</f>
        <v>0.46158940397351</v>
      </c>
      <c r="I1609" s="46"/>
      <c r="J1609" s="46"/>
      <c r="K1609" s="46"/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/>
      <c r="AE1609" s="46"/>
      <c r="AF1609" s="46"/>
      <c r="AG1609" s="46"/>
      <c r="AH1609" s="46"/>
      <c r="AI1609" s="46"/>
      <c r="AJ1609" s="46"/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</row>
    <row r="1610" customFormat="false" ht="15" hidden="false" customHeight="false" outlineLevel="0" collapsed="false">
      <c r="A1610" s="46" t="str">
        <f aca="false">Orders!A1610</f>
        <v>ORD-01609</v>
      </c>
      <c r="B1610" s="46" t="str">
        <f aca="false">PROPER(TRIM(Orders!K1610))</f>
        <v>Bengaluru</v>
      </c>
      <c r="C1610" s="46" t="str">
        <f aca="false">IFERROR(VLOOKUP(Orders!D1610,Products!$A$2:$F$61,3,FALSE()),"Not Found")</f>
        <v>Electronics</v>
      </c>
      <c r="D1610" s="46" t="str">
        <f aca="false">IFERROR(VLOOKUP(Orders!C1610,Customers!$A$2:$F$301,5,FALSE()),"Not Found")</f>
        <v>Retail</v>
      </c>
      <c r="E1610" s="46" t="n">
        <f aca="false">IFERROR(VLOOKUP(Orders!C1610,Customers!$A$2:$F$301,3,FALSE()),"Not Found")</f>
        <v>55</v>
      </c>
      <c r="F1610" s="46" t="str">
        <f aca="false">IFERROR(VLOOKUP(Orders!E1610,Sales_Reps!$A$2:$E$31,3,FALSE()),"Not Found")</f>
        <v>North</v>
      </c>
      <c r="G1610" s="46" t="n">
        <f aca="false">IFERROR(VLOOKUP(Orders!D1610,Products!$A$2:$F$61,4,FALSE()),"")</f>
        <v>1149</v>
      </c>
      <c r="H1610" s="47" t="n">
        <f aca="false">IF(G1610="","",(Orders!G1610-G1610)/Orders!G1610)</f>
        <v>0.564772727272727</v>
      </c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</row>
    <row r="1611" customFormat="false" ht="15" hidden="false" customHeight="false" outlineLevel="0" collapsed="false">
      <c r="A1611" s="46" t="str">
        <f aca="false">Orders!A1611</f>
        <v>ORD-01610</v>
      </c>
      <c r="B1611" s="46" t="str">
        <f aca="false">PROPER(TRIM(Orders!K1611))</f>
        <v>Bengaluru</v>
      </c>
      <c r="C1611" s="46" t="str">
        <f aca="false">IFERROR(VLOOKUP(Orders!D1611,Products!$A$2:$F$61,3,FALSE()),"Not Found")</f>
        <v>Grocery</v>
      </c>
      <c r="D1611" s="46" t="str">
        <f aca="false">IFERROR(VLOOKUP(Orders!C1611,Customers!$A$2:$F$301,5,FALSE()),"Not Found")</f>
        <v>Retail</v>
      </c>
      <c r="E1611" s="46" t="n">
        <f aca="false">IFERROR(VLOOKUP(Orders!C1611,Customers!$A$2:$F$301,3,FALSE()),"Not Found")</f>
        <v>42</v>
      </c>
      <c r="F1611" s="46" t="str">
        <f aca="false">IFERROR(VLOOKUP(Orders!E1611,Sales_Reps!$A$2:$E$31,3,FALSE()),"Not Found")</f>
        <v>West</v>
      </c>
      <c r="G1611" s="46" t="n">
        <f aca="false">IFERROR(VLOOKUP(Orders!D1611,Products!$A$2:$F$61,4,FALSE()),"")</f>
        <v>1203</v>
      </c>
      <c r="H1611" s="47" t="n">
        <f aca="false">IF(G1611="","",(Orders!G1611-G1611)/Orders!G1611)</f>
        <v>0.470044052863436</v>
      </c>
      <c r="I1611" s="46"/>
      <c r="J1611" s="46"/>
      <c r="K1611" s="46"/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</row>
    <row r="1612" customFormat="false" ht="15" hidden="false" customHeight="false" outlineLevel="0" collapsed="false">
      <c r="A1612" s="46" t="str">
        <f aca="false">Orders!A1612</f>
        <v>ORD-01611</v>
      </c>
      <c r="B1612" s="46" t="str">
        <f aca="false">PROPER(TRIM(Orders!K1612))</f>
        <v>Chennai</v>
      </c>
      <c r="C1612" s="46" t="str">
        <f aca="false">IFERROR(VLOOKUP(Orders!D1612,Products!$A$2:$F$61,3,FALSE()),"Not Found")</f>
        <v>Grocery</v>
      </c>
      <c r="D1612" s="46" t="str">
        <f aca="false">IFERROR(VLOOKUP(Orders!C1612,Customers!$A$2:$F$301,5,FALSE()),"Not Found")</f>
        <v>Retail</v>
      </c>
      <c r="E1612" s="46" t="n">
        <f aca="false">IFERROR(VLOOKUP(Orders!C1612,Customers!$A$2:$F$301,3,FALSE()),"Not Found")</f>
        <v>36</v>
      </c>
      <c r="F1612" s="46" t="str">
        <f aca="false">IFERROR(VLOOKUP(Orders!E1612,Sales_Reps!$A$2:$E$31,3,FALSE()),"Not Found")</f>
        <v>West</v>
      </c>
      <c r="G1612" s="46" t="n">
        <f aca="false">IFERROR(VLOOKUP(Orders!D1612,Products!$A$2:$F$61,4,FALSE()),"")</f>
        <v>1435</v>
      </c>
      <c r="H1612" s="47" t="n">
        <f aca="false">IF(G1612="","",(Orders!G1612-G1612)/Orders!G1612)</f>
        <v>0.480072463768116</v>
      </c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</row>
    <row r="1613" customFormat="false" ht="15" hidden="false" customHeight="false" outlineLevel="0" collapsed="false">
      <c r="A1613" s="46" t="str">
        <f aca="false">Orders!A1613</f>
        <v>ORD-01612</v>
      </c>
      <c r="B1613" s="46" t="str">
        <f aca="false">PROPER(TRIM(Orders!K1613))</f>
        <v>Hyderabad</v>
      </c>
      <c r="C1613" s="46" t="str">
        <f aca="false">IFERROR(VLOOKUP(Orders!D1613,Products!$A$2:$F$61,3,FALSE()),"Not Found")</f>
        <v>Apparel</v>
      </c>
      <c r="D1613" s="46" t="str">
        <f aca="false">IFERROR(VLOOKUP(Orders!C1613,Customers!$A$2:$F$301,5,FALSE()),"Not Found")</f>
        <v>Retail</v>
      </c>
      <c r="E1613" s="46" t="n">
        <f aca="false">IFERROR(VLOOKUP(Orders!C1613,Customers!$A$2:$F$301,3,FALSE()),"Not Found")</f>
        <v>31</v>
      </c>
      <c r="F1613" s="46" t="str">
        <f aca="false">IFERROR(VLOOKUP(Orders!E1613,Sales_Reps!$A$2:$E$31,3,FALSE()),"Not Found")</f>
        <v>East</v>
      </c>
      <c r="G1613" s="46" t="n">
        <f aca="false">IFERROR(VLOOKUP(Orders!D1613,Products!$A$2:$F$61,4,FALSE()),"")</f>
        <v>2509</v>
      </c>
      <c r="H1613" s="47" t="n">
        <f aca="false">IF(G1613="","",(Orders!G1613-G1613)/Orders!G1613)</f>
        <v>0.306906077348066</v>
      </c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  <c r="AA1613" s="46"/>
      <c r="AB1613" s="46"/>
      <c r="AC1613" s="46"/>
      <c r="AD1613" s="46"/>
      <c r="AE1613" s="46"/>
      <c r="AF1613" s="46"/>
      <c r="AG1613" s="46"/>
      <c r="AH1613" s="46"/>
      <c r="AI1613" s="46"/>
      <c r="AJ1613" s="46"/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</row>
    <row r="1614" customFormat="false" ht="15" hidden="false" customHeight="false" outlineLevel="0" collapsed="false">
      <c r="A1614" s="46" t="str">
        <f aca="false">Orders!A1614</f>
        <v>ORD-01613</v>
      </c>
      <c r="B1614" s="46" t="str">
        <f aca="false">PROPER(TRIM(Orders!K1614))</f>
        <v>Pune</v>
      </c>
      <c r="C1614" s="46" t="str">
        <f aca="false">IFERROR(VLOOKUP(Orders!D1614,Products!$A$2:$F$61,3,FALSE()),"Not Found")</f>
        <v>Beauty</v>
      </c>
      <c r="D1614" s="46" t="str">
        <f aca="false">IFERROR(VLOOKUP(Orders!C1614,Customers!$A$2:$F$301,5,FALSE()),"Not Found")</f>
        <v>Retail</v>
      </c>
      <c r="E1614" s="46" t="n">
        <f aca="false">IFERROR(VLOOKUP(Orders!C1614,Customers!$A$2:$F$301,3,FALSE()),"Not Found")</f>
        <v>54</v>
      </c>
      <c r="F1614" s="46" t="str">
        <f aca="false">IFERROR(VLOOKUP(Orders!E1614,Sales_Reps!$A$2:$E$31,3,FALSE()),"Not Found")</f>
        <v>East</v>
      </c>
      <c r="G1614" s="46" t="n">
        <f aca="false">IFERROR(VLOOKUP(Orders!D1614,Products!$A$2:$F$61,4,FALSE()),"")</f>
        <v>1219</v>
      </c>
      <c r="H1614" s="47" t="n">
        <f aca="false">IF(G1614="","",(Orders!G1614-G1614)/Orders!G1614)</f>
        <v>0.467685589519651</v>
      </c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</row>
    <row r="1615" customFormat="false" ht="15" hidden="false" customHeight="false" outlineLevel="0" collapsed="false">
      <c r="A1615" s="46" t="str">
        <f aca="false">Orders!A1615</f>
        <v>ORD-01614</v>
      </c>
      <c r="B1615" s="46" t="str">
        <f aca="false">PROPER(TRIM(Orders!K1615))</f>
        <v>Bengaluru</v>
      </c>
      <c r="C1615" s="46" t="str">
        <f aca="false">IFERROR(VLOOKUP(Orders!D1615,Products!$A$2:$F$61,3,FALSE()),"Not Found")</f>
        <v>Beauty</v>
      </c>
      <c r="D1615" s="46" t="str">
        <f aca="false">IFERROR(VLOOKUP(Orders!C1615,Customers!$A$2:$F$301,5,FALSE()),"Not Found")</f>
        <v>Corporate</v>
      </c>
      <c r="E1615" s="46" t="n">
        <f aca="false">IFERROR(VLOOKUP(Orders!C1615,Customers!$A$2:$F$301,3,FALSE()),"Not Found")</f>
        <v>41</v>
      </c>
      <c r="F1615" s="46" t="str">
        <f aca="false">IFERROR(VLOOKUP(Orders!E1615,Sales_Reps!$A$2:$E$31,3,FALSE()),"Not Found")</f>
        <v>East</v>
      </c>
      <c r="G1615" s="46" t="n">
        <f aca="false">IFERROR(VLOOKUP(Orders!D1615,Products!$A$2:$F$61,4,FALSE()),"")</f>
        <v>1222</v>
      </c>
      <c r="H1615" s="47" t="n">
        <f aca="false">IF(G1615="","",(Orders!G1615-G1615)/Orders!G1615)</f>
        <v>0.259393939393939</v>
      </c>
      <c r="I1615" s="46"/>
      <c r="J1615" s="46"/>
      <c r="K1615" s="46"/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</row>
    <row r="1616" customFormat="false" ht="15" hidden="false" customHeight="false" outlineLevel="0" collapsed="false">
      <c r="A1616" s="46" t="str">
        <f aca="false">Orders!A1616</f>
        <v>ORD-01615</v>
      </c>
      <c r="B1616" s="46" t="str">
        <f aca="false">PROPER(TRIM(Orders!K1616))</f>
        <v>Mumbai</v>
      </c>
      <c r="C1616" s="46" t="str">
        <f aca="false">IFERROR(VLOOKUP(Orders!D1616,Products!$A$2:$F$61,3,FALSE()),"Not Found")</f>
        <v>Electronics</v>
      </c>
      <c r="D1616" s="46" t="str">
        <f aca="false">IFERROR(VLOOKUP(Orders!C1616,Customers!$A$2:$F$301,5,FALSE()),"Not Found")</f>
        <v>Corporate</v>
      </c>
      <c r="E1616" s="46" t="n">
        <f aca="false">IFERROR(VLOOKUP(Orders!C1616,Customers!$A$2:$F$301,3,FALSE()),"Not Found")</f>
        <v>35</v>
      </c>
      <c r="F1616" s="46" t="str">
        <f aca="false">IFERROR(VLOOKUP(Orders!E1616,Sales_Reps!$A$2:$E$31,3,FALSE()),"Not Found")</f>
        <v>East</v>
      </c>
      <c r="G1616" s="46" t="n">
        <f aca="false">IFERROR(VLOOKUP(Orders!D1616,Products!$A$2:$F$61,4,FALSE()),"")</f>
        <v>2405</v>
      </c>
      <c r="H1616" s="47" t="n">
        <f aca="false">IF(G1616="","",(Orders!G1616-G1616)/Orders!G1616)</f>
        <v>0.548780487804878</v>
      </c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</row>
    <row r="1617" customFormat="false" ht="15" hidden="false" customHeight="false" outlineLevel="0" collapsed="false">
      <c r="A1617" s="46" t="str">
        <f aca="false">Orders!A1617</f>
        <v>ORD-01616</v>
      </c>
      <c r="B1617" s="46" t="str">
        <f aca="false">PROPER(TRIM(Orders!K1617))</f>
        <v>Mumbai</v>
      </c>
      <c r="C1617" s="46" t="str">
        <f aca="false">IFERROR(VLOOKUP(Orders!D1617,Products!$A$2:$F$61,3,FALSE()),"Not Found")</f>
        <v>Home</v>
      </c>
      <c r="D1617" s="46" t="str">
        <f aca="false">IFERROR(VLOOKUP(Orders!C1617,Customers!$A$2:$F$301,5,FALSE()),"Not Found")</f>
        <v>Retail</v>
      </c>
      <c r="E1617" s="46" t="n">
        <f aca="false">IFERROR(VLOOKUP(Orders!C1617,Customers!$A$2:$F$301,3,FALSE()),"Not Found")</f>
        <v>35</v>
      </c>
      <c r="F1617" s="46" t="str">
        <f aca="false">IFERROR(VLOOKUP(Orders!E1617,Sales_Reps!$A$2:$E$31,3,FALSE()),"Not Found")</f>
        <v>East</v>
      </c>
      <c r="G1617" s="46" t="n">
        <f aca="false">IFERROR(VLOOKUP(Orders!D1617,Products!$A$2:$F$61,4,FALSE()),"")</f>
        <v>519</v>
      </c>
      <c r="H1617" s="47" t="n">
        <f aca="false">IF(G1617="","",(Orders!G1617-G1617)/Orders!G1617)</f>
        <v>0.519444444444445</v>
      </c>
      <c r="I1617" s="46"/>
      <c r="J1617" s="46"/>
      <c r="K1617" s="46"/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6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</row>
    <row r="1618" customFormat="false" ht="15" hidden="false" customHeight="false" outlineLevel="0" collapsed="false">
      <c r="A1618" s="46" t="str">
        <f aca="false">Orders!A1618</f>
        <v>ORD-01617</v>
      </c>
      <c r="B1618" s="46" t="str">
        <f aca="false">PROPER(TRIM(Orders!K1618))</f>
        <v>Delhi</v>
      </c>
      <c r="C1618" s="46" t="str">
        <f aca="false">IFERROR(VLOOKUP(Orders!D1618,Products!$A$2:$F$61,3,FALSE()),"Not Found")</f>
        <v>Electronics</v>
      </c>
      <c r="D1618" s="46" t="str">
        <f aca="false">IFERROR(VLOOKUP(Orders!C1618,Customers!$A$2:$F$301,5,FALSE()),"Not Found")</f>
        <v>Corporate</v>
      </c>
      <c r="E1618" s="46" t="n">
        <f aca="false">IFERROR(VLOOKUP(Orders!C1618,Customers!$A$2:$F$301,3,FALSE()),"Not Found")</f>
        <v>46</v>
      </c>
      <c r="F1618" s="46" t="str">
        <f aca="false">IFERROR(VLOOKUP(Orders!E1618,Sales_Reps!$A$2:$E$31,3,FALSE()),"Not Found")</f>
        <v>East</v>
      </c>
      <c r="G1618" s="46" t="n">
        <f aca="false">IFERROR(VLOOKUP(Orders!D1618,Products!$A$2:$F$61,4,FALSE()),"")</f>
        <v>517</v>
      </c>
      <c r="H1618" s="47" t="n">
        <f aca="false">IF(G1618="","",(Orders!G1618-G1618)/Orders!G1618)</f>
        <v>0.576229508196721</v>
      </c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</row>
    <row r="1619" customFormat="false" ht="15" hidden="false" customHeight="false" outlineLevel="0" collapsed="false">
      <c r="A1619" s="46" t="str">
        <f aca="false">Orders!A1619</f>
        <v>ORD-01618</v>
      </c>
      <c r="B1619" s="46" t="str">
        <f aca="false">PROPER(TRIM(Orders!K1619))</f>
        <v>Hyderabad</v>
      </c>
      <c r="C1619" s="46" t="str">
        <f aca="false">IFERROR(VLOOKUP(Orders!D1619,Products!$A$2:$F$61,3,FALSE()),"Not Found")</f>
        <v>Home</v>
      </c>
      <c r="D1619" s="46" t="str">
        <f aca="false">IFERROR(VLOOKUP(Orders!C1619,Customers!$A$2:$F$301,5,FALSE()),"Not Found")</f>
        <v>Corporate</v>
      </c>
      <c r="E1619" s="46" t="n">
        <f aca="false">IFERROR(VLOOKUP(Orders!C1619,Customers!$A$2:$F$301,3,FALSE()),"Not Found")</f>
        <v>46</v>
      </c>
      <c r="F1619" s="46" t="str">
        <f aca="false">IFERROR(VLOOKUP(Orders!E1619,Sales_Reps!$A$2:$E$31,3,FALSE()),"Not Found")</f>
        <v>West</v>
      </c>
      <c r="G1619" s="46" t="n">
        <f aca="false">IFERROR(VLOOKUP(Orders!D1619,Products!$A$2:$F$61,4,FALSE()),"")</f>
        <v>329</v>
      </c>
      <c r="H1619" s="47" t="n">
        <f aca="false">IF(G1619="","",(Orders!G1619-G1619)/Orders!G1619)</f>
        <v>0.501515151515152</v>
      </c>
      <c r="I1619" s="46"/>
      <c r="J1619" s="46"/>
      <c r="K1619" s="46"/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  <c r="AA1619" s="46"/>
      <c r="AB1619" s="46"/>
      <c r="AC1619" s="46"/>
      <c r="AD1619" s="46"/>
      <c r="AE1619" s="46"/>
      <c r="AF1619" s="46"/>
      <c r="AG1619" s="46"/>
      <c r="AH1619" s="46"/>
      <c r="AI1619" s="46"/>
      <c r="AJ1619" s="46"/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</row>
    <row r="1620" customFormat="false" ht="15" hidden="false" customHeight="false" outlineLevel="0" collapsed="false">
      <c r="A1620" s="46" t="str">
        <f aca="false">Orders!A1620</f>
        <v>ORD-01619</v>
      </c>
      <c r="B1620" s="46" t="str">
        <f aca="false">PROPER(TRIM(Orders!K1620))</f>
        <v>Pune</v>
      </c>
      <c r="C1620" s="46" t="str">
        <f aca="false">IFERROR(VLOOKUP(Orders!D1620,Products!$A$2:$F$61,3,FALSE()),"Not Found")</f>
        <v>Home</v>
      </c>
      <c r="D1620" s="46" t="str">
        <f aca="false">IFERROR(VLOOKUP(Orders!C1620,Customers!$A$2:$F$301,5,FALSE()),"Not Found")</f>
        <v>Retail</v>
      </c>
      <c r="E1620" s="46" t="n">
        <f aca="false">IFERROR(VLOOKUP(Orders!C1620,Customers!$A$2:$F$301,3,FALSE()),"Not Found")</f>
        <v>65</v>
      </c>
      <c r="F1620" s="46" t="str">
        <f aca="false">IFERROR(VLOOKUP(Orders!E1620,Sales_Reps!$A$2:$E$31,3,FALSE()),"Not Found")</f>
        <v>East</v>
      </c>
      <c r="G1620" s="46" t="n">
        <f aca="false">IFERROR(VLOOKUP(Orders!D1620,Products!$A$2:$F$61,4,FALSE()),"")</f>
        <v>519</v>
      </c>
      <c r="H1620" s="47" t="n">
        <f aca="false">IF(G1620="","",(Orders!G1620-G1620)/Orders!G1620)</f>
        <v>0.519444444444445</v>
      </c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</row>
    <row r="1621" customFormat="false" ht="15" hidden="false" customHeight="false" outlineLevel="0" collapsed="false">
      <c r="A1621" s="46" t="str">
        <f aca="false">Orders!A1621</f>
        <v>ORD-01620</v>
      </c>
      <c r="B1621" s="46" t="str">
        <f aca="false">PROPER(TRIM(Orders!K1621))</f>
        <v>Chennai</v>
      </c>
      <c r="C1621" s="46" t="str">
        <f aca="false">IFERROR(VLOOKUP(Orders!D1621,Products!$A$2:$F$61,3,FALSE()),"Not Found")</f>
        <v>Grocery</v>
      </c>
      <c r="D1621" s="46" t="str">
        <f aca="false">IFERROR(VLOOKUP(Orders!C1621,Customers!$A$2:$F$301,5,FALSE()),"Not Found")</f>
        <v>Corporate</v>
      </c>
      <c r="E1621" s="46" t="n">
        <f aca="false">IFERROR(VLOOKUP(Orders!C1621,Customers!$A$2:$F$301,3,FALSE()),"Not Found")</f>
        <v>30</v>
      </c>
      <c r="F1621" s="46" t="str">
        <f aca="false">IFERROR(VLOOKUP(Orders!E1621,Sales_Reps!$A$2:$E$31,3,FALSE()),"Not Found")</f>
        <v>East</v>
      </c>
      <c r="G1621" s="46" t="n">
        <f aca="false">IFERROR(VLOOKUP(Orders!D1621,Products!$A$2:$F$61,4,FALSE()),"")</f>
        <v>1412</v>
      </c>
      <c r="H1621" s="47" t="n">
        <f aca="false">IF(G1621="","",(Orders!G1621-G1621)/Orders!G1621)</f>
        <v>0.377973568281938</v>
      </c>
      <c r="I1621" s="46"/>
      <c r="J1621" s="46"/>
      <c r="K1621" s="46"/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</row>
    <row r="1622" customFormat="false" ht="15" hidden="false" customHeight="false" outlineLevel="0" collapsed="false">
      <c r="A1622" s="46" t="str">
        <f aca="false">Orders!A1622</f>
        <v>ORD-01621</v>
      </c>
      <c r="B1622" s="46" t="str">
        <f aca="false">PROPER(TRIM(Orders!K1622))</f>
        <v>Delhi</v>
      </c>
      <c r="C1622" s="46" t="str">
        <f aca="false">IFERROR(VLOOKUP(Orders!D1622,Products!$A$2:$F$61,3,FALSE()),"Not Found")</f>
        <v>Home</v>
      </c>
      <c r="D1622" s="46" t="str">
        <f aca="false">IFERROR(VLOOKUP(Orders!C1622,Customers!$A$2:$F$301,5,FALSE()),"Not Found")</f>
        <v>SMB</v>
      </c>
      <c r="E1622" s="46" t="n">
        <f aca="false">IFERROR(VLOOKUP(Orders!C1622,Customers!$A$2:$F$301,3,FALSE()),"Not Found")</f>
        <v>29</v>
      </c>
      <c r="F1622" s="46" t="str">
        <f aca="false">IFERROR(VLOOKUP(Orders!E1622,Sales_Reps!$A$2:$E$31,3,FALSE()),"Not Found")</f>
        <v>West</v>
      </c>
      <c r="G1622" s="46" t="n">
        <f aca="false">IFERROR(VLOOKUP(Orders!D1622,Products!$A$2:$F$61,4,FALSE()),"")</f>
        <v>288</v>
      </c>
      <c r="H1622" s="47" t="n">
        <f aca="false">IF(G1622="","",(Orders!G1622-G1622)/Orders!G1622)</f>
        <v>0.221621621621622</v>
      </c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</row>
    <row r="1623" customFormat="false" ht="15" hidden="false" customHeight="false" outlineLevel="0" collapsed="false">
      <c r="A1623" s="46" t="str">
        <f aca="false">Orders!A1623</f>
        <v>ORD-01622</v>
      </c>
      <c r="B1623" s="46" t="str">
        <f aca="false">PROPER(TRIM(Orders!K1623))</f>
        <v>Mumbai</v>
      </c>
      <c r="C1623" s="46" t="str">
        <f aca="false">IFERROR(VLOOKUP(Orders!D1623,Products!$A$2:$F$61,3,FALSE()),"Not Found")</f>
        <v>Grocery</v>
      </c>
      <c r="D1623" s="46" t="str">
        <f aca="false">IFERROR(VLOOKUP(Orders!C1623,Customers!$A$2:$F$301,5,FALSE()),"Not Found")</f>
        <v>Retail</v>
      </c>
      <c r="E1623" s="46" t="n">
        <f aca="false">IFERROR(VLOOKUP(Orders!C1623,Customers!$A$2:$F$301,3,FALSE()),"Not Found")</f>
        <v>57</v>
      </c>
      <c r="F1623" s="46" t="str">
        <f aca="false">IFERROR(VLOOKUP(Orders!E1623,Sales_Reps!$A$2:$E$31,3,FALSE()),"Not Found")</f>
        <v>South</v>
      </c>
      <c r="G1623" s="46" t="n">
        <f aca="false">IFERROR(VLOOKUP(Orders!D1623,Products!$A$2:$F$61,4,FALSE()),"")</f>
        <v>434</v>
      </c>
      <c r="H1623" s="47" t="n">
        <f aca="false">IF(G1623="","",(Orders!G1623-G1623)/Orders!G1623)</f>
        <v>0.552577319587629</v>
      </c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</row>
    <row r="1624" customFormat="false" ht="15" hidden="false" customHeight="false" outlineLevel="0" collapsed="false">
      <c r="A1624" s="46" t="str">
        <f aca="false">Orders!A1624</f>
        <v>ORD-00613</v>
      </c>
      <c r="B1624" s="46" t="str">
        <f aca="false">PROPER(TRIM(Orders!K1624))</f>
        <v>Pune</v>
      </c>
      <c r="C1624" s="46" t="str">
        <f aca="false">IFERROR(VLOOKUP(Orders!D1624,Products!$A$2:$F$61,3,FALSE()),"Not Found")</f>
        <v>Apparel</v>
      </c>
      <c r="D1624" s="46" t="str">
        <f aca="false">IFERROR(VLOOKUP(Orders!C1624,Customers!$A$2:$F$301,5,FALSE()),"Not Found")</f>
        <v>Retail</v>
      </c>
      <c r="E1624" s="46" t="n">
        <f aca="false">IFERROR(VLOOKUP(Orders!C1624,Customers!$A$2:$F$301,3,FALSE()),"Not Found")</f>
        <v>54</v>
      </c>
      <c r="F1624" s="46" t="str">
        <f aca="false">IFERROR(VLOOKUP(Orders!E1624,Sales_Reps!$A$2:$E$31,3,FALSE()),"Not Found")</f>
        <v>North</v>
      </c>
      <c r="G1624" s="46" t="n">
        <f aca="false">IFERROR(VLOOKUP(Orders!D1624,Products!$A$2:$F$61,4,FALSE()),"")</f>
        <v>396</v>
      </c>
      <c r="H1624" s="47" t="n">
        <f aca="false">IF(G1624="","",(Orders!G1624-G1624)/Orders!G1624)</f>
        <v>0.361290322580645</v>
      </c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/>
      <c r="AE1624" s="46"/>
      <c r="AF1624" s="46"/>
      <c r="AG1624" s="46"/>
      <c r="AH1624" s="46"/>
      <c r="AI1624" s="46"/>
      <c r="AJ1624" s="46"/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46"/>
      <c r="AY1624" s="46"/>
      <c r="AZ1624" s="46"/>
    </row>
    <row r="1625" customFormat="false" ht="15" hidden="false" customHeight="false" outlineLevel="0" collapsed="false">
      <c r="A1625" s="46" t="str">
        <f aca="false">Orders!A1625</f>
        <v>ORD-01624</v>
      </c>
      <c r="B1625" s="46" t="str">
        <f aca="false">PROPER(TRIM(Orders!K1625))</f>
        <v>Mumbai</v>
      </c>
      <c r="C1625" s="46" t="str">
        <f aca="false">IFERROR(VLOOKUP(Orders!D1625,Products!$A$2:$F$61,3,FALSE()),"Not Found")</f>
        <v>Grocery</v>
      </c>
      <c r="D1625" s="46" t="str">
        <f aca="false">IFERROR(VLOOKUP(Orders!C1625,Customers!$A$2:$F$301,5,FALSE()),"Not Found")</f>
        <v>Corporate</v>
      </c>
      <c r="E1625" s="46" t="n">
        <f aca="false">IFERROR(VLOOKUP(Orders!C1625,Customers!$A$2:$F$301,3,FALSE()),"Not Found")</f>
        <v>62</v>
      </c>
      <c r="F1625" s="46" t="str">
        <f aca="false">IFERROR(VLOOKUP(Orders!E1625,Sales_Reps!$A$2:$E$31,3,FALSE()),"Not Found")</f>
        <v>West</v>
      </c>
      <c r="G1625" s="46" t="n">
        <f aca="false">IFERROR(VLOOKUP(Orders!D1625,Products!$A$2:$F$61,4,FALSE()),"")</f>
        <v>2214</v>
      </c>
      <c r="H1625" s="47" t="n">
        <f aca="false">IF(G1625="","",(Orders!G1625-G1625)/Orders!G1625)</f>
        <v>0.395081967213115</v>
      </c>
      <c r="I1625" s="46"/>
      <c r="J1625" s="46"/>
      <c r="K1625" s="46"/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46"/>
      <c r="AY1625" s="46"/>
      <c r="AZ1625" s="46"/>
    </row>
    <row r="1626" customFormat="false" ht="15" hidden="false" customHeight="false" outlineLevel="0" collapsed="false">
      <c r="A1626" s="46" t="str">
        <f aca="false">Orders!A1626</f>
        <v>ORD-01625</v>
      </c>
      <c r="B1626" s="46" t="str">
        <f aca="false">PROPER(TRIM(Orders!K1626))</f>
        <v>Delhi</v>
      </c>
      <c r="C1626" s="46" t="str">
        <f aca="false">IFERROR(VLOOKUP(Orders!D1626,Products!$A$2:$F$61,3,FALSE()),"Not Found")</f>
        <v>Grocery</v>
      </c>
      <c r="D1626" s="46" t="str">
        <f aca="false">IFERROR(VLOOKUP(Orders!C1626,Customers!$A$2:$F$301,5,FALSE()),"Not Found")</f>
        <v>Corporate</v>
      </c>
      <c r="E1626" s="46" t="n">
        <f aca="false">IFERROR(VLOOKUP(Orders!C1626,Customers!$A$2:$F$301,3,FALSE()),"Not Found")</f>
        <v>46</v>
      </c>
      <c r="F1626" s="46" t="str">
        <f aca="false">IFERROR(VLOOKUP(Orders!E1626,Sales_Reps!$A$2:$E$31,3,FALSE()),"Not Found")</f>
        <v>West</v>
      </c>
      <c r="G1626" s="46" t="n">
        <f aca="false">IFERROR(VLOOKUP(Orders!D1626,Products!$A$2:$F$61,4,FALSE()),"")</f>
        <v>1010</v>
      </c>
      <c r="H1626" s="47" t="n">
        <f aca="false">IF(G1626="","",(Orders!G1626-G1626)/Orders!G1626)</f>
        <v>0.542986425339367</v>
      </c>
      <c r="I1626" s="46"/>
      <c r="J1626" s="46"/>
      <c r="K1626" s="46"/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</row>
    <row r="1627" customFormat="false" ht="15" hidden="false" customHeight="false" outlineLevel="0" collapsed="false">
      <c r="A1627" s="46" t="str">
        <f aca="false">Orders!A1627</f>
        <v>ORD-01626</v>
      </c>
      <c r="B1627" s="46" t="str">
        <f aca="false">PROPER(TRIM(Orders!K1627))</f>
        <v>Delhi</v>
      </c>
      <c r="C1627" s="46" t="str">
        <f aca="false">IFERROR(VLOOKUP(Orders!D1627,Products!$A$2:$F$61,3,FALSE()),"Not Found")</f>
        <v>Sports</v>
      </c>
      <c r="D1627" s="46" t="str">
        <f aca="false">IFERROR(VLOOKUP(Orders!C1627,Customers!$A$2:$F$301,5,FALSE()),"Not Found")</f>
        <v>Retail</v>
      </c>
      <c r="E1627" s="46" t="n">
        <f aca="false">IFERROR(VLOOKUP(Orders!C1627,Customers!$A$2:$F$301,3,FALSE()),"Not Found")</f>
        <v>53</v>
      </c>
      <c r="F1627" s="46" t="str">
        <f aca="false">IFERROR(VLOOKUP(Orders!E1627,Sales_Reps!$A$2:$E$31,3,FALSE()),"Not Found")</f>
        <v>West</v>
      </c>
      <c r="G1627" s="46" t="n">
        <f aca="false">IFERROR(VLOOKUP(Orders!D1627,Products!$A$2:$F$61,4,FALSE()),"")</f>
        <v>1860</v>
      </c>
      <c r="H1627" s="47" t="n">
        <f aca="false">IF(G1627="","",(Orders!G1627-G1627)/Orders!G1627)</f>
        <v>0.507936507936508</v>
      </c>
      <c r="I1627" s="46"/>
      <c r="J1627" s="46"/>
      <c r="K1627" s="46"/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</row>
    <row r="1628" customFormat="false" ht="15" hidden="false" customHeight="false" outlineLevel="0" collapsed="false">
      <c r="A1628" s="46" t="str">
        <f aca="false">Orders!A1628</f>
        <v>ORD-01627</v>
      </c>
      <c r="B1628" s="46" t="str">
        <f aca="false">PROPER(TRIM(Orders!K1628))</f>
        <v>Delhi</v>
      </c>
      <c r="C1628" s="46" t="str">
        <f aca="false">IFERROR(VLOOKUP(Orders!D1628,Products!$A$2:$F$61,3,FALSE()),"Not Found")</f>
        <v>Electronics</v>
      </c>
      <c r="D1628" s="46" t="str">
        <f aca="false">IFERROR(VLOOKUP(Orders!C1628,Customers!$A$2:$F$301,5,FALSE()),"Not Found")</f>
        <v>Retail</v>
      </c>
      <c r="E1628" s="46" t="n">
        <f aca="false">IFERROR(VLOOKUP(Orders!C1628,Customers!$A$2:$F$301,3,FALSE()),"Not Found")</f>
        <v>35</v>
      </c>
      <c r="F1628" s="46" t="str">
        <f aca="false">IFERROR(VLOOKUP(Orders!E1628,Sales_Reps!$A$2:$E$31,3,FALSE()),"Not Found")</f>
        <v>North</v>
      </c>
      <c r="G1628" s="46" t="n">
        <f aca="false">IFERROR(VLOOKUP(Orders!D1628,Products!$A$2:$F$61,4,FALSE()),"")</f>
        <v>1052</v>
      </c>
      <c r="H1628" s="47" t="n">
        <f aca="false">IF(G1628="","",(Orders!G1628-G1628)/Orders!G1628)</f>
        <v>0.595384615384615</v>
      </c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</row>
    <row r="1629" customFormat="false" ht="15" hidden="false" customHeight="false" outlineLevel="0" collapsed="false">
      <c r="A1629" s="46" t="str">
        <f aca="false">Orders!A1629</f>
        <v>ORD-01628</v>
      </c>
      <c r="B1629" s="46" t="str">
        <f aca="false">PROPER(TRIM(Orders!K1629))</f>
        <v>Mumbai</v>
      </c>
      <c r="C1629" s="46" t="str">
        <f aca="false">IFERROR(VLOOKUP(Orders!D1629,Products!$A$2:$F$61,3,FALSE()),"Not Found")</f>
        <v>Grocery</v>
      </c>
      <c r="D1629" s="46" t="str">
        <f aca="false">IFERROR(VLOOKUP(Orders!C1629,Customers!$A$2:$F$301,5,FALSE()),"Not Found")</f>
        <v>Corporate</v>
      </c>
      <c r="E1629" s="46" t="n">
        <f aca="false">IFERROR(VLOOKUP(Orders!C1629,Customers!$A$2:$F$301,3,FALSE()),"Not Found")</f>
        <v>60</v>
      </c>
      <c r="F1629" s="46" t="str">
        <f aca="false">IFERROR(VLOOKUP(Orders!E1629,Sales_Reps!$A$2:$E$31,3,FALSE()),"Not Found")</f>
        <v>East</v>
      </c>
      <c r="G1629" s="46" t="n">
        <f aca="false">IFERROR(VLOOKUP(Orders!D1629,Products!$A$2:$F$61,4,FALSE()),"")</f>
        <v>2436</v>
      </c>
      <c r="H1629" s="47" t="n">
        <f aca="false">IF(G1629="","",(Orders!G1629-G1629)/Orders!G1629)</f>
        <v>0.355555555555556</v>
      </c>
      <c r="I1629" s="46"/>
      <c r="J1629" s="46"/>
      <c r="K1629" s="46"/>
      <c r="L1629" s="46"/>
      <c r="M1629" s="46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  <c r="Y1629" s="46"/>
      <c r="Z1629" s="46"/>
      <c r="AA1629" s="46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46"/>
      <c r="AY1629" s="46"/>
      <c r="AZ1629" s="46"/>
    </row>
    <row r="1630" customFormat="false" ht="15" hidden="false" customHeight="false" outlineLevel="0" collapsed="false">
      <c r="A1630" s="46" t="str">
        <f aca="false">Orders!A1630</f>
        <v>ORD-01629</v>
      </c>
      <c r="B1630" s="46" t="str">
        <f aca="false">PROPER(TRIM(Orders!K1630))</f>
        <v>Bengaluru</v>
      </c>
      <c r="C1630" s="46" t="str">
        <f aca="false">IFERROR(VLOOKUP(Orders!D1630,Products!$A$2:$F$61,3,FALSE()),"Not Found")</f>
        <v>Electronics</v>
      </c>
      <c r="D1630" s="46" t="str">
        <f aca="false">IFERROR(VLOOKUP(Orders!C1630,Customers!$A$2:$F$301,5,FALSE()),"Not Found")</f>
        <v>SMB</v>
      </c>
      <c r="E1630" s="46" t="n">
        <f aca="false">IFERROR(VLOOKUP(Orders!C1630,Customers!$A$2:$F$301,3,FALSE()),"Not Found")</f>
        <v>34</v>
      </c>
      <c r="F1630" s="46" t="str">
        <f aca="false">IFERROR(VLOOKUP(Orders!E1630,Sales_Reps!$A$2:$E$31,3,FALSE()),"Not Found")</f>
        <v>North</v>
      </c>
      <c r="G1630" s="46" t="n">
        <f aca="false">IFERROR(VLOOKUP(Orders!D1630,Products!$A$2:$F$61,4,FALSE()),"")</f>
        <v>1149</v>
      </c>
      <c r="H1630" s="47" t="n">
        <f aca="false">IF(G1630="","",(Orders!G1630-G1630)/Orders!G1630)</f>
        <v>0.564772727272727</v>
      </c>
      <c r="I1630" s="46"/>
      <c r="J1630" s="46"/>
      <c r="K1630" s="46"/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</row>
    <row r="1631" customFormat="false" ht="15" hidden="false" customHeight="false" outlineLevel="0" collapsed="false">
      <c r="A1631" s="46" t="str">
        <f aca="false">Orders!A1631</f>
        <v>ORD-01630</v>
      </c>
      <c r="B1631" s="46" t="str">
        <f aca="false">PROPER(TRIM(Orders!K1631))</f>
        <v>Bengaluru</v>
      </c>
      <c r="C1631" s="46" t="str">
        <f aca="false">IFERROR(VLOOKUP(Orders!D1631,Products!$A$2:$F$61,3,FALSE()),"Not Found")</f>
        <v>Home</v>
      </c>
      <c r="D1631" s="46" t="str">
        <f aca="false">IFERROR(VLOOKUP(Orders!C1631,Customers!$A$2:$F$301,5,FALSE()),"Not Found")</f>
        <v>Retail</v>
      </c>
      <c r="E1631" s="46" t="n">
        <f aca="false">IFERROR(VLOOKUP(Orders!C1631,Customers!$A$2:$F$301,3,FALSE()),"Not Found")</f>
        <v>35</v>
      </c>
      <c r="F1631" s="46" t="str">
        <f aca="false">IFERROR(VLOOKUP(Orders!E1631,Sales_Reps!$A$2:$E$31,3,FALSE()),"Not Found")</f>
        <v>South</v>
      </c>
      <c r="G1631" s="46" t="n">
        <f aca="false">IFERROR(VLOOKUP(Orders!D1631,Products!$A$2:$F$61,4,FALSE()),"")</f>
        <v>464</v>
      </c>
      <c r="H1631" s="47" t="n">
        <f aca="false">IF(G1631="","",(Orders!G1631-G1631)/Orders!G1631)</f>
        <v>0.574311926605505</v>
      </c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/>
      <c r="AD1631" s="46"/>
      <c r="AE1631" s="46"/>
      <c r="AF1631" s="46"/>
      <c r="AG1631" s="46"/>
      <c r="AH1631" s="46"/>
      <c r="AI1631" s="46"/>
      <c r="AJ1631" s="46"/>
      <c r="AK1631" s="4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</row>
    <row r="1632" customFormat="false" ht="15" hidden="false" customHeight="false" outlineLevel="0" collapsed="false">
      <c r="A1632" s="46" t="str">
        <f aca="false">Orders!A1632</f>
        <v>ORD-01631</v>
      </c>
      <c r="B1632" s="46" t="str">
        <f aca="false">PROPER(TRIM(Orders!K1632))</f>
        <v>Chennai</v>
      </c>
      <c r="C1632" s="46" t="str">
        <f aca="false">IFERROR(VLOOKUP(Orders!D1632,Products!$A$2:$F$61,3,FALSE()),"Not Found")</f>
        <v>Apparel</v>
      </c>
      <c r="D1632" s="46" t="str">
        <f aca="false">IFERROR(VLOOKUP(Orders!C1632,Customers!$A$2:$F$301,5,FALSE()),"Not Found")</f>
        <v>SMB</v>
      </c>
      <c r="E1632" s="46" t="n">
        <f aca="false">IFERROR(VLOOKUP(Orders!C1632,Customers!$A$2:$F$301,3,FALSE()),"Not Found")</f>
        <v>46</v>
      </c>
      <c r="F1632" s="46" t="str">
        <f aca="false">IFERROR(VLOOKUP(Orders!E1632,Sales_Reps!$A$2:$E$31,3,FALSE()),"Not Found")</f>
        <v>West</v>
      </c>
      <c r="G1632" s="46" t="n">
        <f aca="false">IFERROR(VLOOKUP(Orders!D1632,Products!$A$2:$F$61,4,FALSE()),"")</f>
        <v>1748</v>
      </c>
      <c r="H1632" s="47" t="n">
        <f aca="false">IF(G1632="","",(Orders!G1632-G1632)/Orders!G1632)</f>
        <v>0.493333333333333</v>
      </c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</row>
    <row r="1633" customFormat="false" ht="15" hidden="false" customHeight="false" outlineLevel="0" collapsed="false">
      <c r="A1633" s="46" t="str">
        <f aca="false">Orders!A1633</f>
        <v>ORD-01632</v>
      </c>
      <c r="B1633" s="46" t="str">
        <f aca="false">PROPER(TRIM(Orders!K1633))</f>
        <v>Pune</v>
      </c>
      <c r="C1633" s="46" t="str">
        <f aca="false">IFERROR(VLOOKUP(Orders!D1633,Products!$A$2:$F$61,3,FALSE()),"Not Found")</f>
        <v>Beauty</v>
      </c>
      <c r="D1633" s="46" t="str">
        <f aca="false">IFERROR(VLOOKUP(Orders!C1633,Customers!$A$2:$F$301,5,FALSE()),"Not Found")</f>
        <v>Retail</v>
      </c>
      <c r="E1633" s="46" t="n">
        <f aca="false">IFERROR(VLOOKUP(Orders!C1633,Customers!$A$2:$F$301,3,FALSE()),"Not Found")</f>
        <v>42</v>
      </c>
      <c r="F1633" s="46" t="str">
        <f aca="false">IFERROR(VLOOKUP(Orders!E1633,Sales_Reps!$A$2:$E$31,3,FALSE()),"Not Found")</f>
        <v>South</v>
      </c>
      <c r="G1633" s="46" t="n">
        <f aca="false">IFERROR(VLOOKUP(Orders!D1633,Products!$A$2:$F$61,4,FALSE()),"")</f>
        <v>675</v>
      </c>
      <c r="H1633" s="47" t="n">
        <f aca="false">IF(G1633="","",(Orders!G1633-G1633)/Orders!G1633)</f>
        <v>0.296875</v>
      </c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  <c r="AA1633" s="46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</row>
    <row r="1634" customFormat="false" ht="15" hidden="false" customHeight="false" outlineLevel="0" collapsed="false">
      <c r="A1634" s="46" t="str">
        <f aca="false">Orders!A1634</f>
        <v>ORD-01633</v>
      </c>
      <c r="B1634" s="46" t="str">
        <f aca="false">PROPER(TRIM(Orders!K1634))</f>
        <v>Pune</v>
      </c>
      <c r="C1634" s="46" t="str">
        <f aca="false">IFERROR(VLOOKUP(Orders!D1634,Products!$A$2:$F$61,3,FALSE()),"Not Found")</f>
        <v>Grocery</v>
      </c>
      <c r="D1634" s="46" t="str">
        <f aca="false">IFERROR(VLOOKUP(Orders!C1634,Customers!$A$2:$F$301,5,FALSE()),"Not Found")</f>
        <v>SMB</v>
      </c>
      <c r="E1634" s="46" t="n">
        <f aca="false">IFERROR(VLOOKUP(Orders!C1634,Customers!$A$2:$F$301,3,FALSE()),"Not Found")</f>
        <v>49</v>
      </c>
      <c r="F1634" s="46" t="str">
        <f aca="false">IFERROR(VLOOKUP(Orders!E1634,Sales_Reps!$A$2:$E$31,3,FALSE()),"Not Found")</f>
        <v>West</v>
      </c>
      <c r="G1634" s="46" t="n">
        <f aca="false">IFERROR(VLOOKUP(Orders!D1634,Products!$A$2:$F$61,4,FALSE()),"")</f>
        <v>2214</v>
      </c>
      <c r="H1634" s="47" t="n">
        <f aca="false">IF(G1634="","",(Orders!G1634-G1634)/Orders!G1634)</f>
        <v>0.395081967213115</v>
      </c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</row>
    <row r="1635" customFormat="false" ht="15" hidden="false" customHeight="false" outlineLevel="0" collapsed="false">
      <c r="A1635" s="46" t="str">
        <f aca="false">Orders!A1635</f>
        <v>ORD-01634</v>
      </c>
      <c r="B1635" s="46" t="str">
        <f aca="false">PROPER(TRIM(Orders!K1635))</f>
        <v>Delhi</v>
      </c>
      <c r="C1635" s="46" t="str">
        <f aca="false">IFERROR(VLOOKUP(Orders!D1635,Products!$A$2:$F$61,3,FALSE()),"Not Found")</f>
        <v>Home</v>
      </c>
      <c r="D1635" s="46" t="str">
        <f aca="false">IFERROR(VLOOKUP(Orders!C1635,Customers!$A$2:$F$301,5,FALSE()),"Not Found")</f>
        <v>Retail</v>
      </c>
      <c r="E1635" s="46" t="n">
        <f aca="false">IFERROR(VLOOKUP(Orders!C1635,Customers!$A$2:$F$301,3,FALSE()),"Not Found")</f>
        <v>43</v>
      </c>
      <c r="F1635" s="46" t="str">
        <f aca="false">IFERROR(VLOOKUP(Orders!E1635,Sales_Reps!$A$2:$E$31,3,FALSE()),"Not Found")</f>
        <v>North</v>
      </c>
      <c r="G1635" s="46" t="n">
        <f aca="false">IFERROR(VLOOKUP(Orders!D1635,Products!$A$2:$F$61,4,FALSE()),"")</f>
        <v>2135</v>
      </c>
      <c r="H1635" s="47" t="n">
        <f aca="false">IF(G1635="","",(Orders!G1635-G1635)/Orders!G1635)</f>
        <v>0.427613941018767</v>
      </c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  <c r="AB1635" s="46"/>
      <c r="AC1635" s="46"/>
      <c r="AD1635" s="46"/>
      <c r="AE1635" s="46"/>
      <c r="AF1635" s="46"/>
      <c r="AG1635" s="46"/>
      <c r="AH1635" s="46"/>
      <c r="AI1635" s="46"/>
      <c r="AJ1635" s="46"/>
      <c r="AK1635" s="4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</row>
    <row r="1636" customFormat="false" ht="15" hidden="false" customHeight="false" outlineLevel="0" collapsed="false">
      <c r="A1636" s="46" t="str">
        <f aca="false">Orders!A1636</f>
        <v>ORD-01635</v>
      </c>
      <c r="B1636" s="46" t="str">
        <f aca="false">PROPER(TRIM(Orders!K1636))</f>
        <v>Mumbai</v>
      </c>
      <c r="C1636" s="46" t="str">
        <f aca="false">IFERROR(VLOOKUP(Orders!D1636,Products!$A$2:$F$61,3,FALSE()),"Not Found")</f>
        <v>Grocery</v>
      </c>
      <c r="D1636" s="46" t="str">
        <f aca="false">IFERROR(VLOOKUP(Orders!C1636,Customers!$A$2:$F$301,5,FALSE()),"Not Found")</f>
        <v>Corporate</v>
      </c>
      <c r="E1636" s="46" t="n">
        <f aca="false">IFERROR(VLOOKUP(Orders!C1636,Customers!$A$2:$F$301,3,FALSE()),"Not Found")</f>
        <v>60</v>
      </c>
      <c r="F1636" s="46" t="str">
        <f aca="false">IFERROR(VLOOKUP(Orders!E1636,Sales_Reps!$A$2:$E$31,3,FALSE()),"Not Found")</f>
        <v>North</v>
      </c>
      <c r="G1636" s="46" t="n">
        <f aca="false">IFERROR(VLOOKUP(Orders!D1636,Products!$A$2:$F$61,4,FALSE()),"")</f>
        <v>2027</v>
      </c>
      <c r="H1636" s="47" t="n">
        <f aca="false">IF(G1636="","",(Orders!G1636-G1636)/Orders!G1636)</f>
        <v>0.501965601965602</v>
      </c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</row>
    <row r="1637" customFormat="false" ht="15" hidden="false" customHeight="false" outlineLevel="0" collapsed="false">
      <c r="A1637" s="46" t="str">
        <f aca="false">Orders!A1637</f>
        <v>ORD-01636</v>
      </c>
      <c r="B1637" s="46" t="str">
        <f aca="false">PROPER(TRIM(Orders!K1637))</f>
        <v>Mumbai</v>
      </c>
      <c r="C1637" s="46" t="str">
        <f aca="false">IFERROR(VLOOKUP(Orders!D1637,Products!$A$2:$F$61,3,FALSE()),"Not Found")</f>
        <v>Electronics</v>
      </c>
      <c r="D1637" s="46" t="str">
        <f aca="false">IFERROR(VLOOKUP(Orders!C1637,Customers!$A$2:$F$301,5,FALSE()),"Not Found")</f>
        <v>SMB</v>
      </c>
      <c r="E1637" s="46" t="n">
        <f aca="false">IFERROR(VLOOKUP(Orders!C1637,Customers!$A$2:$F$301,3,FALSE()),"Not Found")</f>
        <v>65</v>
      </c>
      <c r="F1637" s="46" t="str">
        <f aca="false">IFERROR(VLOOKUP(Orders!E1637,Sales_Reps!$A$2:$E$31,3,FALSE()),"Not Found")</f>
        <v>East</v>
      </c>
      <c r="G1637" s="46" t="n">
        <f aca="false">IFERROR(VLOOKUP(Orders!D1637,Products!$A$2:$F$61,4,FALSE()),"")</f>
        <v>1259</v>
      </c>
      <c r="H1637" s="47" t="n">
        <f aca="false">IF(G1637="","",(Orders!G1637-G1637)/Orders!G1637)</f>
        <v>0.526691729323308</v>
      </c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  <c r="AA1637" s="46"/>
      <c r="AB1637" s="46"/>
      <c r="AC1637" s="46"/>
      <c r="AD1637" s="46"/>
      <c r="AE1637" s="46"/>
      <c r="AF1637" s="46"/>
      <c r="AG1637" s="46"/>
      <c r="AH1637" s="46"/>
      <c r="AI1637" s="46"/>
      <c r="AJ1637" s="46"/>
      <c r="AK1637" s="4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</row>
    <row r="1638" customFormat="false" ht="15" hidden="false" customHeight="false" outlineLevel="0" collapsed="false">
      <c r="A1638" s="46" t="str">
        <f aca="false">Orders!A1638</f>
        <v>ORD-01637</v>
      </c>
      <c r="B1638" s="46" t="str">
        <f aca="false">PROPER(TRIM(Orders!K1638))</f>
        <v>Pune</v>
      </c>
      <c r="C1638" s="46" t="str">
        <f aca="false">IFERROR(VLOOKUP(Orders!D1638,Products!$A$2:$F$61,3,FALSE()),"Not Found")</f>
        <v>Home</v>
      </c>
      <c r="D1638" s="46" t="str">
        <f aca="false">IFERROR(VLOOKUP(Orders!C1638,Customers!$A$2:$F$301,5,FALSE()),"Not Found")</f>
        <v>Retail</v>
      </c>
      <c r="E1638" s="46" t="n">
        <f aca="false">IFERROR(VLOOKUP(Orders!C1638,Customers!$A$2:$F$301,3,FALSE()),"Not Found")</f>
        <v>63</v>
      </c>
      <c r="F1638" s="46" t="str">
        <f aca="false">IFERROR(VLOOKUP(Orders!E1638,Sales_Reps!$A$2:$E$31,3,FALSE()),"Not Found")</f>
        <v>North</v>
      </c>
      <c r="G1638" s="46" t="n">
        <f aca="false">IFERROR(VLOOKUP(Orders!D1638,Products!$A$2:$F$61,4,FALSE()),"")</f>
        <v>1143</v>
      </c>
      <c r="H1638" s="47" t="n">
        <f aca="false">IF(G1638="","",(Orders!G1638-G1638)/Orders!G1638)</f>
        <v>0.436945812807882</v>
      </c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</row>
    <row r="1639" customFormat="false" ht="15" hidden="false" customHeight="false" outlineLevel="0" collapsed="false">
      <c r="A1639" s="46" t="str">
        <f aca="false">Orders!A1639</f>
        <v>ORD-01638</v>
      </c>
      <c r="B1639" s="46" t="str">
        <f aca="false">PROPER(TRIM(Orders!K1639))</f>
        <v>Chennai</v>
      </c>
      <c r="C1639" s="46" t="str">
        <f aca="false">IFERROR(VLOOKUP(Orders!D1639,Products!$A$2:$F$61,3,FALSE()),"Not Found")</f>
        <v>Grocery</v>
      </c>
      <c r="D1639" s="46" t="str">
        <f aca="false">IFERROR(VLOOKUP(Orders!C1639,Customers!$A$2:$F$301,5,FALSE()),"Not Found")</f>
        <v>Retail</v>
      </c>
      <c r="E1639" s="46" t="n">
        <f aca="false">IFERROR(VLOOKUP(Orders!C1639,Customers!$A$2:$F$301,3,FALSE()),"Not Found")</f>
        <v>28</v>
      </c>
      <c r="F1639" s="46" t="str">
        <f aca="false">IFERROR(VLOOKUP(Orders!E1639,Sales_Reps!$A$2:$E$31,3,FALSE()),"Not Found")</f>
        <v>North</v>
      </c>
      <c r="G1639" s="46" t="n">
        <f aca="false">IFERROR(VLOOKUP(Orders!D1639,Products!$A$2:$F$61,4,FALSE()),"")</f>
        <v>2214</v>
      </c>
      <c r="H1639" s="47" t="n">
        <f aca="false">IF(G1639="","",(Orders!G1639-G1639)/Orders!G1639)</f>
        <v>0.395081967213115</v>
      </c>
      <c r="I1639" s="46"/>
      <c r="J1639" s="46"/>
      <c r="K1639" s="46"/>
      <c r="L1639" s="46"/>
      <c r="M1639" s="46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  <c r="Y1639" s="46"/>
      <c r="Z1639" s="46"/>
      <c r="AA1639" s="46"/>
      <c r="AB1639" s="46"/>
      <c r="AC1639" s="46"/>
      <c r="AD1639" s="46"/>
      <c r="AE1639" s="46"/>
      <c r="AF1639" s="46"/>
      <c r="AG1639" s="46"/>
      <c r="AH1639" s="46"/>
      <c r="AI1639" s="46"/>
      <c r="AJ1639" s="46"/>
      <c r="AK1639" s="4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</row>
    <row r="1640" customFormat="false" ht="15" hidden="false" customHeight="false" outlineLevel="0" collapsed="false">
      <c r="A1640" s="46" t="str">
        <f aca="false">Orders!A1640</f>
        <v>ORD-01639</v>
      </c>
      <c r="B1640" s="46" t="str">
        <f aca="false">PROPER(TRIM(Orders!K1640))</f>
        <v>Bengaluru</v>
      </c>
      <c r="C1640" s="46" t="str">
        <f aca="false">IFERROR(VLOOKUP(Orders!D1640,Products!$A$2:$F$61,3,FALSE()),"Not Found")</f>
        <v>Electronics</v>
      </c>
      <c r="D1640" s="46" t="str">
        <f aca="false">IFERROR(VLOOKUP(Orders!C1640,Customers!$A$2:$F$301,5,FALSE()),"Not Found")</f>
        <v>Retail</v>
      </c>
      <c r="E1640" s="46" t="n">
        <f aca="false">IFERROR(VLOOKUP(Orders!C1640,Customers!$A$2:$F$301,3,FALSE()),"Not Found")</f>
        <v>42</v>
      </c>
      <c r="F1640" s="46" t="str">
        <f aca="false">IFERROR(VLOOKUP(Orders!E1640,Sales_Reps!$A$2:$E$31,3,FALSE()),"Not Found")</f>
        <v>North</v>
      </c>
      <c r="G1640" s="46" t="n">
        <f aca="false">IFERROR(VLOOKUP(Orders!D1640,Products!$A$2:$F$61,4,FALSE()),"")</f>
        <v>1259</v>
      </c>
      <c r="H1640" s="47" t="n">
        <f aca="false">IF(G1640="","",(Orders!G1640-G1640)/Orders!G1640)</f>
        <v>0.526691729323308</v>
      </c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</row>
    <row r="1641" customFormat="false" ht="15" hidden="false" customHeight="false" outlineLevel="0" collapsed="false">
      <c r="A1641" s="46" t="str">
        <f aca="false">Orders!A1641</f>
        <v>ORD-01640</v>
      </c>
      <c r="B1641" s="46" t="str">
        <f aca="false">PROPER(TRIM(Orders!K1641))</f>
        <v>Hyderabad</v>
      </c>
      <c r="C1641" s="46" t="str">
        <f aca="false">IFERROR(VLOOKUP(Orders!D1641,Products!$A$2:$F$61,3,FALSE()),"Not Found")</f>
        <v>Beauty</v>
      </c>
      <c r="D1641" s="46" t="str">
        <f aca="false">IFERROR(VLOOKUP(Orders!C1641,Customers!$A$2:$F$301,5,FALSE()),"Not Found")</f>
        <v>SMB</v>
      </c>
      <c r="E1641" s="46" t="n">
        <f aca="false">IFERROR(VLOOKUP(Orders!C1641,Customers!$A$2:$F$301,3,FALSE()),"Not Found")</f>
        <v>48</v>
      </c>
      <c r="F1641" s="46" t="str">
        <f aca="false">IFERROR(VLOOKUP(Orders!E1641,Sales_Reps!$A$2:$E$31,3,FALSE()),"Not Found")</f>
        <v>South</v>
      </c>
      <c r="G1641" s="46" t="n">
        <f aca="false">IFERROR(VLOOKUP(Orders!D1641,Products!$A$2:$F$61,4,FALSE()),"")</f>
        <v>2768</v>
      </c>
      <c r="H1641" s="47" t="n">
        <f aca="false">IF(G1641="","",(Orders!G1641-G1641)/Orders!G1641)</f>
        <v>0.432786885245902</v>
      </c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  <c r="AA1641" s="46"/>
      <c r="AB1641" s="46"/>
      <c r="AC1641" s="46"/>
      <c r="AD1641" s="46"/>
      <c r="AE1641" s="46"/>
      <c r="AF1641" s="46"/>
      <c r="AG1641" s="46"/>
      <c r="AH1641" s="46"/>
      <c r="AI1641" s="46"/>
      <c r="AJ1641" s="46"/>
      <c r="AK1641" s="4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</row>
    <row r="1642" customFormat="false" ht="15" hidden="false" customHeight="false" outlineLevel="0" collapsed="false">
      <c r="A1642" s="46" t="str">
        <f aca="false">Orders!A1642</f>
        <v>ORD-01641</v>
      </c>
      <c r="B1642" s="46" t="str">
        <f aca="false">PROPER(TRIM(Orders!K1642))</f>
        <v>Pune</v>
      </c>
      <c r="C1642" s="46" t="str">
        <f aca="false">IFERROR(VLOOKUP(Orders!D1642,Products!$A$2:$F$61,3,FALSE()),"Not Found")</f>
        <v>Apparel</v>
      </c>
      <c r="D1642" s="46" t="str">
        <f aca="false">IFERROR(VLOOKUP(Orders!C1642,Customers!$A$2:$F$301,5,FALSE()),"Not Found")</f>
        <v>Retail</v>
      </c>
      <c r="E1642" s="46" t="n">
        <f aca="false">IFERROR(VLOOKUP(Orders!C1642,Customers!$A$2:$F$301,3,FALSE()),"Not Found")</f>
        <v>36</v>
      </c>
      <c r="F1642" s="46" t="str">
        <f aca="false">IFERROR(VLOOKUP(Orders!E1642,Sales_Reps!$A$2:$E$31,3,FALSE()),"Not Found")</f>
        <v>South</v>
      </c>
      <c r="G1642" s="46" t="n">
        <f aca="false">IFERROR(VLOOKUP(Orders!D1642,Products!$A$2:$F$61,4,FALSE()),"")</f>
        <v>1748</v>
      </c>
      <c r="H1642" s="47" t="n">
        <f aca="false">IF(G1642="","",(Orders!G1642-G1642)/Orders!G1642)</f>
        <v>0.493333333333333</v>
      </c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</row>
    <row r="1643" customFormat="false" ht="15" hidden="false" customHeight="false" outlineLevel="0" collapsed="false">
      <c r="A1643" s="46" t="str">
        <f aca="false">Orders!A1643</f>
        <v>ORD-01642</v>
      </c>
      <c r="B1643" s="46" t="str">
        <f aca="false">PROPER(TRIM(Orders!K1643))</f>
        <v>Pune</v>
      </c>
      <c r="C1643" s="46" t="str">
        <f aca="false">IFERROR(VLOOKUP(Orders!D1643,Products!$A$2:$F$61,3,FALSE()),"Not Found")</f>
        <v>Beauty</v>
      </c>
      <c r="D1643" s="46" t="str">
        <f aca="false">IFERROR(VLOOKUP(Orders!C1643,Customers!$A$2:$F$301,5,FALSE()),"Not Found")</f>
        <v>SMB</v>
      </c>
      <c r="E1643" s="46" t="n">
        <f aca="false">IFERROR(VLOOKUP(Orders!C1643,Customers!$A$2:$F$301,3,FALSE()),"Not Found")</f>
        <v>54</v>
      </c>
      <c r="F1643" s="46" t="str">
        <f aca="false">IFERROR(VLOOKUP(Orders!E1643,Sales_Reps!$A$2:$E$31,3,FALSE()),"Not Found")</f>
        <v>East</v>
      </c>
      <c r="G1643" s="46" t="n">
        <f aca="false">IFERROR(VLOOKUP(Orders!D1643,Products!$A$2:$F$61,4,FALSE()),"")</f>
        <v>1626</v>
      </c>
      <c r="H1643" s="47" t="n">
        <f aca="false">IF(G1643="","",(Orders!G1643-G1643)/Orders!G1643)</f>
        <v>0.46158940397351</v>
      </c>
      <c r="I1643" s="46"/>
      <c r="J1643" s="46"/>
      <c r="K1643" s="46"/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  <c r="AA1643" s="46"/>
      <c r="AB1643" s="46"/>
      <c r="AC1643" s="46"/>
      <c r="AD1643" s="46"/>
      <c r="AE1643" s="46"/>
      <c r="AF1643" s="46"/>
      <c r="AG1643" s="46"/>
      <c r="AH1643" s="46"/>
      <c r="AI1643" s="46"/>
      <c r="AJ1643" s="46"/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</row>
    <row r="1644" customFormat="false" ht="15" hidden="false" customHeight="false" outlineLevel="0" collapsed="false">
      <c r="A1644" s="46" t="str">
        <f aca="false">Orders!A1644</f>
        <v>ORD-01643</v>
      </c>
      <c r="B1644" s="46" t="str">
        <f aca="false">PROPER(TRIM(Orders!K1644))</f>
        <v>Delhi</v>
      </c>
      <c r="C1644" s="46" t="str">
        <f aca="false">IFERROR(VLOOKUP(Orders!D1644,Products!$A$2:$F$61,3,FALSE()),"Not Found")</f>
        <v>Sports</v>
      </c>
      <c r="D1644" s="46" t="str">
        <f aca="false">IFERROR(VLOOKUP(Orders!C1644,Customers!$A$2:$F$301,5,FALSE()),"Not Found")</f>
        <v>Retail</v>
      </c>
      <c r="E1644" s="46" t="n">
        <f aca="false">IFERROR(VLOOKUP(Orders!C1644,Customers!$A$2:$F$301,3,FALSE()),"Not Found")</f>
        <v>47</v>
      </c>
      <c r="F1644" s="46" t="str">
        <f aca="false">IFERROR(VLOOKUP(Orders!E1644,Sales_Reps!$A$2:$E$31,3,FALSE()),"Not Found")</f>
        <v>East</v>
      </c>
      <c r="G1644" s="46" t="n">
        <f aca="false">IFERROR(VLOOKUP(Orders!D1644,Products!$A$2:$F$61,4,FALSE()),"")</f>
        <v>2827</v>
      </c>
      <c r="H1644" s="47" t="n">
        <f aca="false">IF(G1644="","",(Orders!G1644-G1644)/Orders!G1644)</f>
        <v>0.592651296829971</v>
      </c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</row>
    <row r="1645" customFormat="false" ht="15" hidden="false" customHeight="false" outlineLevel="0" collapsed="false">
      <c r="A1645" s="46" t="str">
        <f aca="false">Orders!A1645</f>
        <v>ORD-01644</v>
      </c>
      <c r="B1645" s="46" t="str">
        <f aca="false">PROPER(TRIM(Orders!K1645))</f>
        <v>Chennai</v>
      </c>
      <c r="C1645" s="46" t="str">
        <f aca="false">IFERROR(VLOOKUP(Orders!D1645,Products!$A$2:$F$61,3,FALSE()),"Not Found")</f>
        <v>Grocery</v>
      </c>
      <c r="D1645" s="46" t="str">
        <f aca="false">IFERROR(VLOOKUP(Orders!C1645,Customers!$A$2:$F$301,5,FALSE()),"Not Found")</f>
        <v>SMB</v>
      </c>
      <c r="E1645" s="46" t="n">
        <f aca="false">IFERROR(VLOOKUP(Orders!C1645,Customers!$A$2:$F$301,3,FALSE()),"Not Found")</f>
        <v>64</v>
      </c>
      <c r="F1645" s="46" t="str">
        <f aca="false">IFERROR(VLOOKUP(Orders!E1645,Sales_Reps!$A$2:$E$31,3,FALSE()),"Not Found")</f>
        <v>East</v>
      </c>
      <c r="G1645" s="46" t="n">
        <f aca="false">IFERROR(VLOOKUP(Orders!D1645,Products!$A$2:$F$61,4,FALSE()),"")</f>
        <v>1435</v>
      </c>
      <c r="H1645" s="47" t="n">
        <f aca="false">IF(G1645="","",(Orders!G1645-G1645)/Orders!G1645)</f>
        <v>0.480072463768116</v>
      </c>
      <c r="I1645" s="46"/>
      <c r="J1645" s="46"/>
      <c r="K1645" s="46"/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</row>
    <row r="1646" customFormat="false" ht="15" hidden="false" customHeight="false" outlineLevel="0" collapsed="false">
      <c r="A1646" s="46" t="str">
        <f aca="false">Orders!A1646</f>
        <v>ORD-01645</v>
      </c>
      <c r="B1646" s="46" t="str">
        <f aca="false">PROPER(TRIM(Orders!K1646))</f>
        <v>Pune</v>
      </c>
      <c r="C1646" s="46" t="str">
        <f aca="false">IFERROR(VLOOKUP(Orders!D1646,Products!$A$2:$F$61,3,FALSE()),"Not Found")</f>
        <v>Beauty</v>
      </c>
      <c r="D1646" s="46" t="str">
        <f aca="false">IFERROR(VLOOKUP(Orders!C1646,Customers!$A$2:$F$301,5,FALSE()),"Not Found")</f>
        <v>Corporate</v>
      </c>
      <c r="E1646" s="46" t="n">
        <f aca="false">IFERROR(VLOOKUP(Orders!C1646,Customers!$A$2:$F$301,3,FALSE()),"Not Found")</f>
        <v>48</v>
      </c>
      <c r="F1646" s="46" t="str">
        <f aca="false">IFERROR(VLOOKUP(Orders!E1646,Sales_Reps!$A$2:$E$31,3,FALSE()),"Not Found")</f>
        <v>East</v>
      </c>
      <c r="G1646" s="46" t="n">
        <f aca="false">IFERROR(VLOOKUP(Orders!D1646,Products!$A$2:$F$61,4,FALSE()),"")</f>
        <v>675</v>
      </c>
      <c r="H1646" s="47" t="n">
        <f aca="false">IF(G1646="","",(Orders!G1646-G1646)/Orders!G1646)</f>
        <v>0.296875</v>
      </c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/>
      <c r="AE1646" s="46"/>
      <c r="AF1646" s="46"/>
      <c r="AG1646" s="46"/>
      <c r="AH1646" s="46"/>
      <c r="AI1646" s="46"/>
      <c r="AJ1646" s="46"/>
      <c r="AK1646" s="4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</row>
    <row r="1647" customFormat="false" ht="15" hidden="false" customHeight="false" outlineLevel="0" collapsed="false">
      <c r="A1647" s="46" t="str">
        <f aca="false">Orders!A1647</f>
        <v>ORD-01646</v>
      </c>
      <c r="B1647" s="46" t="str">
        <f aca="false">PROPER(TRIM(Orders!K1647))</f>
        <v>Bengaluru</v>
      </c>
      <c r="C1647" s="46" t="str">
        <f aca="false">IFERROR(VLOOKUP(Orders!D1647,Products!$A$2:$F$61,3,FALSE()),"Not Found")</f>
        <v>Beauty</v>
      </c>
      <c r="D1647" s="46" t="str">
        <f aca="false">IFERROR(VLOOKUP(Orders!C1647,Customers!$A$2:$F$301,5,FALSE()),"Not Found")</f>
        <v>Retail</v>
      </c>
      <c r="E1647" s="46" t="n">
        <f aca="false">IFERROR(VLOOKUP(Orders!C1647,Customers!$A$2:$F$301,3,FALSE()),"Not Found")</f>
        <v>52</v>
      </c>
      <c r="F1647" s="46" t="str">
        <f aca="false">IFERROR(VLOOKUP(Orders!E1647,Sales_Reps!$A$2:$E$31,3,FALSE()),"Not Found")</f>
        <v>South</v>
      </c>
      <c r="G1647" s="46" t="n">
        <f aca="false">IFERROR(VLOOKUP(Orders!D1647,Products!$A$2:$F$61,4,FALSE()),"")</f>
        <v>675</v>
      </c>
      <c r="H1647" s="47" t="n">
        <f aca="false">IF(G1647="","",(Orders!G1647-G1647)/Orders!G1647)</f>
        <v>0.296875</v>
      </c>
      <c r="I1647" s="46"/>
      <c r="J1647" s="46"/>
      <c r="K1647" s="46"/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  <c r="AA1647" s="46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</row>
    <row r="1648" customFormat="false" ht="15" hidden="false" customHeight="false" outlineLevel="0" collapsed="false">
      <c r="A1648" s="46" t="str">
        <f aca="false">Orders!A1648</f>
        <v>ORD-01647</v>
      </c>
      <c r="B1648" s="46" t="str">
        <f aca="false">PROPER(TRIM(Orders!K1648))</f>
        <v>Bengaluru</v>
      </c>
      <c r="C1648" s="46" t="str">
        <f aca="false">IFERROR(VLOOKUP(Orders!D1648,Products!$A$2:$F$61,3,FALSE()),"Not Found")</f>
        <v>Grocery</v>
      </c>
      <c r="D1648" s="46" t="str">
        <f aca="false">IFERROR(VLOOKUP(Orders!C1648,Customers!$A$2:$F$301,5,FALSE()),"Not Found")</f>
        <v>Retail</v>
      </c>
      <c r="E1648" s="46" t="n">
        <f aca="false">IFERROR(VLOOKUP(Orders!C1648,Customers!$A$2:$F$301,3,FALSE()),"Not Found")</f>
        <v>55</v>
      </c>
      <c r="F1648" s="46" t="str">
        <f aca="false">IFERROR(VLOOKUP(Orders!E1648,Sales_Reps!$A$2:$E$31,3,FALSE()),"Not Found")</f>
        <v>East</v>
      </c>
      <c r="G1648" s="46" t="n">
        <f aca="false">IFERROR(VLOOKUP(Orders!D1648,Products!$A$2:$F$61,4,FALSE()),"")</f>
        <v>434</v>
      </c>
      <c r="H1648" s="47" t="n">
        <f aca="false">IF(G1648="","",(Orders!G1648-G1648)/Orders!G1648)</f>
        <v>0.552577319587629</v>
      </c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</row>
    <row r="1649" customFormat="false" ht="15" hidden="false" customHeight="false" outlineLevel="0" collapsed="false">
      <c r="A1649" s="46" t="str">
        <f aca="false">Orders!A1649</f>
        <v>ORD-01648</v>
      </c>
      <c r="B1649" s="46" t="str">
        <f aca="false">PROPER(TRIM(Orders!K1649))</f>
        <v>Mumbai</v>
      </c>
      <c r="C1649" s="46" t="str">
        <f aca="false">IFERROR(VLOOKUP(Orders!D1649,Products!$A$2:$F$61,3,FALSE()),"Not Found")</f>
        <v>Beauty</v>
      </c>
      <c r="D1649" s="46" t="str">
        <f aca="false">IFERROR(VLOOKUP(Orders!C1649,Customers!$A$2:$F$301,5,FALSE()),"Not Found")</f>
        <v>Retail</v>
      </c>
      <c r="E1649" s="46" t="n">
        <f aca="false">IFERROR(VLOOKUP(Orders!C1649,Customers!$A$2:$F$301,3,FALSE()),"Not Found")</f>
        <v>57</v>
      </c>
      <c r="F1649" s="46" t="str">
        <f aca="false">IFERROR(VLOOKUP(Orders!E1649,Sales_Reps!$A$2:$E$31,3,FALSE()),"Not Found")</f>
        <v>East</v>
      </c>
      <c r="G1649" s="46" t="n">
        <f aca="false">IFERROR(VLOOKUP(Orders!D1649,Products!$A$2:$F$61,4,FALSE()),"")</f>
        <v>2617</v>
      </c>
      <c r="H1649" s="47" t="n">
        <f aca="false">IF(G1649="","",(Orders!G1649-G1649)/Orders!G1649)</f>
        <v>0.569572368421053</v>
      </c>
      <c r="I1649" s="46"/>
      <c r="J1649" s="46"/>
      <c r="K1649" s="46"/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</row>
    <row r="1650" customFormat="false" ht="15" hidden="false" customHeight="false" outlineLevel="0" collapsed="false">
      <c r="A1650" s="46" t="str">
        <f aca="false">Orders!A1650</f>
        <v>ORD-01649</v>
      </c>
      <c r="B1650" s="46" t="str">
        <f aca="false">PROPER(TRIM(Orders!K1650))</f>
        <v>Delhi</v>
      </c>
      <c r="C1650" s="46" t="str">
        <f aca="false">IFERROR(VLOOKUP(Orders!D1650,Products!$A$2:$F$61,3,FALSE()),"Not Found")</f>
        <v>Grocery</v>
      </c>
      <c r="D1650" s="46" t="str">
        <f aca="false">IFERROR(VLOOKUP(Orders!C1650,Customers!$A$2:$F$301,5,FALSE()),"Not Found")</f>
        <v>Retail</v>
      </c>
      <c r="E1650" s="46" t="n">
        <f aca="false">IFERROR(VLOOKUP(Orders!C1650,Customers!$A$2:$F$301,3,FALSE()),"Not Found")</f>
        <v>47</v>
      </c>
      <c r="F1650" s="46" t="str">
        <f aca="false">IFERROR(VLOOKUP(Orders!E1650,Sales_Reps!$A$2:$E$31,3,FALSE()),"Not Found")</f>
        <v>South</v>
      </c>
      <c r="G1650" s="46" t="n">
        <f aca="false">IFERROR(VLOOKUP(Orders!D1650,Products!$A$2:$F$61,4,FALSE()),"")</f>
        <v>2214</v>
      </c>
      <c r="H1650" s="47" t="n">
        <f aca="false">IF(G1650="","",(Orders!G1650-G1650)/Orders!G1650)</f>
        <v>0.395081967213115</v>
      </c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  <c r="AE1650" s="46"/>
      <c r="AF1650" s="46"/>
      <c r="AG1650" s="46"/>
      <c r="AH1650" s="46"/>
      <c r="AI1650" s="46"/>
      <c r="AJ1650" s="46"/>
      <c r="AK1650" s="4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</row>
    <row r="1651" customFormat="false" ht="15" hidden="false" customHeight="false" outlineLevel="0" collapsed="false">
      <c r="A1651" s="46" t="str">
        <f aca="false">Orders!A1651</f>
        <v>ORD-01650</v>
      </c>
      <c r="B1651" s="46" t="str">
        <f aca="false">PROPER(TRIM(Orders!K1651))</f>
        <v>Chennai</v>
      </c>
      <c r="C1651" s="46" t="str">
        <f aca="false">IFERROR(VLOOKUP(Orders!D1651,Products!$A$2:$F$61,3,FALSE()),"Not Found")</f>
        <v>Home</v>
      </c>
      <c r="D1651" s="46" t="str">
        <f aca="false">IFERROR(VLOOKUP(Orders!C1651,Customers!$A$2:$F$301,5,FALSE()),"Not Found")</f>
        <v>SMB</v>
      </c>
      <c r="E1651" s="46" t="n">
        <f aca="false">IFERROR(VLOOKUP(Orders!C1651,Customers!$A$2:$F$301,3,FALSE()),"Not Found")</f>
        <v>57</v>
      </c>
      <c r="F1651" s="46" t="str">
        <f aca="false">IFERROR(VLOOKUP(Orders!E1651,Sales_Reps!$A$2:$E$31,3,FALSE()),"Not Found")</f>
        <v>North</v>
      </c>
      <c r="G1651" s="46" t="n">
        <f aca="false">IFERROR(VLOOKUP(Orders!D1651,Products!$A$2:$F$61,4,FALSE()),"")</f>
        <v>2135</v>
      </c>
      <c r="H1651" s="47" t="n">
        <f aca="false">IF(G1651="","",(Orders!G1651-G1651)/Orders!G1651)</f>
        <v>0.427613941018767</v>
      </c>
      <c r="I1651" s="46"/>
      <c r="J1651" s="46"/>
      <c r="K1651" s="46"/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  <c r="Y1651" s="46"/>
      <c r="Z1651" s="46"/>
      <c r="AA1651" s="46"/>
      <c r="AB1651" s="46"/>
      <c r="AC1651" s="46"/>
      <c r="AD1651" s="46"/>
      <c r="AE1651" s="46"/>
      <c r="AF1651" s="46"/>
      <c r="AG1651" s="46"/>
      <c r="AH1651" s="46"/>
      <c r="AI1651" s="46"/>
      <c r="AJ1651" s="46"/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</row>
    <row r="1652" customFormat="false" ht="15" hidden="false" customHeight="false" outlineLevel="0" collapsed="false">
      <c r="A1652" s="46" t="str">
        <f aca="false">Orders!A1652</f>
        <v>ORD-01651</v>
      </c>
      <c r="B1652" s="46" t="str">
        <f aca="false">PROPER(TRIM(Orders!K1652))</f>
        <v>Delhi</v>
      </c>
      <c r="C1652" s="46" t="str">
        <f aca="false">IFERROR(VLOOKUP(Orders!D1652,Products!$A$2:$F$61,3,FALSE()),"Not Found")</f>
        <v>Electronics</v>
      </c>
      <c r="D1652" s="46" t="str">
        <f aca="false">IFERROR(VLOOKUP(Orders!C1652,Customers!$A$2:$F$301,5,FALSE()),"Not Found")</f>
        <v>SMB</v>
      </c>
      <c r="E1652" s="46" t="n">
        <f aca="false">IFERROR(VLOOKUP(Orders!C1652,Customers!$A$2:$F$301,3,FALSE()),"Not Found")</f>
        <v>55</v>
      </c>
      <c r="F1652" s="46" t="str">
        <f aca="false">IFERROR(VLOOKUP(Orders!E1652,Sales_Reps!$A$2:$E$31,3,FALSE()),"Not Found")</f>
        <v>West</v>
      </c>
      <c r="G1652" s="46" t="n">
        <f aca="false">IFERROR(VLOOKUP(Orders!D1652,Products!$A$2:$F$61,4,FALSE()),"")</f>
        <v>1559</v>
      </c>
      <c r="H1652" s="47" t="n">
        <f aca="false">IF(G1652="","",(Orders!G1652-G1652)/Orders!G1652)</f>
        <v>0.597157622739018</v>
      </c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46"/>
      <c r="AE1652" s="46"/>
      <c r="AF1652" s="46"/>
      <c r="AG1652" s="46"/>
      <c r="AH1652" s="46"/>
      <c r="AI1652" s="46"/>
      <c r="AJ1652" s="46"/>
      <c r="AK1652" s="4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</row>
    <row r="1653" customFormat="false" ht="15" hidden="false" customHeight="false" outlineLevel="0" collapsed="false">
      <c r="A1653" s="46" t="str">
        <f aca="false">Orders!A1653</f>
        <v>ORD-01652</v>
      </c>
      <c r="B1653" s="46" t="str">
        <f aca="false">PROPER(TRIM(Orders!K1653))</f>
        <v>Bengaluru</v>
      </c>
      <c r="C1653" s="46" t="str">
        <f aca="false">IFERROR(VLOOKUP(Orders!D1653,Products!$A$2:$F$61,3,FALSE()),"Not Found")</f>
        <v>Grocery</v>
      </c>
      <c r="D1653" s="46" t="str">
        <f aca="false">IFERROR(VLOOKUP(Orders!C1653,Customers!$A$2:$F$301,5,FALSE()),"Not Found")</f>
        <v>Corporate</v>
      </c>
      <c r="E1653" s="46" t="n">
        <f aca="false">IFERROR(VLOOKUP(Orders!C1653,Customers!$A$2:$F$301,3,FALSE()),"Not Found")</f>
        <v>42</v>
      </c>
      <c r="F1653" s="46" t="str">
        <f aca="false">IFERROR(VLOOKUP(Orders!E1653,Sales_Reps!$A$2:$E$31,3,FALSE()),"Not Found")</f>
        <v>South</v>
      </c>
      <c r="G1653" s="46" t="n">
        <f aca="false">IFERROR(VLOOKUP(Orders!D1653,Products!$A$2:$F$61,4,FALSE()),"")</f>
        <v>1435</v>
      </c>
      <c r="H1653" s="47" t="n">
        <f aca="false">IF(G1653="","",(Orders!G1653-G1653)/Orders!G1653)</f>
        <v>0.480072463768116</v>
      </c>
      <c r="I1653" s="46"/>
      <c r="J1653" s="46"/>
      <c r="K1653" s="46"/>
      <c r="L1653" s="46"/>
      <c r="M1653" s="46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</row>
    <row r="1654" customFormat="false" ht="15" hidden="false" customHeight="false" outlineLevel="0" collapsed="false">
      <c r="A1654" s="46" t="str">
        <f aca="false">Orders!A1654</f>
        <v>ORD-01653</v>
      </c>
      <c r="B1654" s="46" t="str">
        <f aca="false">PROPER(TRIM(Orders!K1654))</f>
        <v>Hyderabad</v>
      </c>
      <c r="C1654" s="46" t="str">
        <f aca="false">IFERROR(VLOOKUP(Orders!D1654,Products!$A$2:$F$61,3,FALSE()),"Not Found")</f>
        <v>Grocery</v>
      </c>
      <c r="D1654" s="46" t="str">
        <f aca="false">IFERROR(VLOOKUP(Orders!C1654,Customers!$A$2:$F$301,5,FALSE()),"Not Found")</f>
        <v>Retail</v>
      </c>
      <c r="E1654" s="46" t="n">
        <f aca="false">IFERROR(VLOOKUP(Orders!C1654,Customers!$A$2:$F$301,3,FALSE()),"Not Found")</f>
        <v>26</v>
      </c>
      <c r="F1654" s="46" t="str">
        <f aca="false">IFERROR(VLOOKUP(Orders!E1654,Sales_Reps!$A$2:$E$31,3,FALSE()),"Not Found")</f>
        <v>East</v>
      </c>
      <c r="G1654" s="46" t="n">
        <f aca="false">IFERROR(VLOOKUP(Orders!D1654,Products!$A$2:$F$61,4,FALSE()),"")</f>
        <v>1182</v>
      </c>
      <c r="H1654" s="47" t="n">
        <f aca="false">IF(G1654="","",(Orders!G1654-G1654)/Orders!G1654)</f>
        <v>0.503361344537815</v>
      </c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</row>
    <row r="1655" customFormat="false" ht="15" hidden="false" customHeight="false" outlineLevel="0" collapsed="false">
      <c r="A1655" s="46" t="str">
        <f aca="false">Orders!A1655</f>
        <v>ORD-01654</v>
      </c>
      <c r="B1655" s="46" t="str">
        <f aca="false">PROPER(TRIM(Orders!K1655))</f>
        <v>Mumbai</v>
      </c>
      <c r="C1655" s="46" t="str">
        <f aca="false">IFERROR(VLOOKUP(Orders!D1655,Products!$A$2:$F$61,3,FALSE()),"Not Found")</f>
        <v>Beauty</v>
      </c>
      <c r="D1655" s="46" t="str">
        <f aca="false">IFERROR(VLOOKUP(Orders!C1655,Customers!$A$2:$F$301,5,FALSE()),"Not Found")</f>
        <v>Not Found</v>
      </c>
      <c r="E1655" s="46" t="str">
        <f aca="false">IFERROR(VLOOKUP(Orders!C1655,Customers!$A$2:$F$301,3,FALSE()),"Not Found")</f>
        <v>Not Found</v>
      </c>
      <c r="F1655" s="46" t="str">
        <f aca="false">IFERROR(VLOOKUP(Orders!E1655,Sales_Reps!$A$2:$E$31,3,FALSE()),"Not Found")</f>
        <v>South</v>
      </c>
      <c r="G1655" s="46" t="n">
        <f aca="false">IFERROR(VLOOKUP(Orders!D1655,Products!$A$2:$F$61,4,FALSE()),"")</f>
        <v>2617</v>
      </c>
      <c r="H1655" s="47" t="n">
        <f aca="false">IF(G1655="","",(Orders!G1655-G1655)/Orders!G1655)</f>
        <v>0.569572368421053</v>
      </c>
      <c r="I1655" s="46"/>
      <c r="J1655" s="46"/>
      <c r="K1655" s="46"/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</row>
    <row r="1656" customFormat="false" ht="15" hidden="false" customHeight="false" outlineLevel="0" collapsed="false">
      <c r="A1656" s="46" t="str">
        <f aca="false">Orders!A1656</f>
        <v>ORD-01655</v>
      </c>
      <c r="B1656" s="46" t="str">
        <f aca="false">PROPER(TRIM(Orders!K1656))</f>
        <v>Hyderabad</v>
      </c>
      <c r="C1656" s="46" t="str">
        <f aca="false">IFERROR(VLOOKUP(Orders!D1656,Products!$A$2:$F$61,3,FALSE()),"Not Found")</f>
        <v>Apparel</v>
      </c>
      <c r="D1656" s="46" t="str">
        <f aca="false">IFERROR(VLOOKUP(Orders!C1656,Customers!$A$2:$F$301,5,FALSE()),"Not Found")</f>
        <v>Retail</v>
      </c>
      <c r="E1656" s="46" t="n">
        <f aca="false">IFERROR(VLOOKUP(Orders!C1656,Customers!$A$2:$F$301,3,FALSE()),"Not Found")</f>
        <v>38</v>
      </c>
      <c r="F1656" s="46" t="str">
        <f aca="false">IFERROR(VLOOKUP(Orders!E1656,Sales_Reps!$A$2:$E$31,3,FALSE()),"Not Found")</f>
        <v>South</v>
      </c>
      <c r="G1656" s="46" t="n">
        <f aca="false">IFERROR(VLOOKUP(Orders!D1656,Products!$A$2:$F$61,4,FALSE()),"")</f>
        <v>396</v>
      </c>
      <c r="H1656" s="47" t="n">
        <f aca="false">IF(G1656="","",(Orders!G1656-G1656)/Orders!G1656)</f>
        <v>0.361290322580645</v>
      </c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/>
      <c r="AB1656" s="46"/>
      <c r="AC1656" s="46"/>
      <c r="AD1656" s="46"/>
      <c r="AE1656" s="46"/>
      <c r="AF1656" s="46"/>
      <c r="AG1656" s="46"/>
      <c r="AH1656" s="46"/>
      <c r="AI1656" s="46"/>
      <c r="AJ1656" s="46"/>
      <c r="AK1656" s="4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</row>
    <row r="1657" customFormat="false" ht="15" hidden="false" customHeight="false" outlineLevel="0" collapsed="false">
      <c r="A1657" s="46" t="str">
        <f aca="false">Orders!A1657</f>
        <v>ORD-01656</v>
      </c>
      <c r="B1657" s="46" t="str">
        <f aca="false">PROPER(TRIM(Orders!K1657))</f>
        <v>Chennai</v>
      </c>
      <c r="C1657" s="46" t="str">
        <f aca="false">IFERROR(VLOOKUP(Orders!D1657,Products!$A$2:$F$61,3,FALSE()),"Not Found")</f>
        <v>Electronics</v>
      </c>
      <c r="D1657" s="46" t="str">
        <f aca="false">IFERROR(VLOOKUP(Orders!C1657,Customers!$A$2:$F$301,5,FALSE()),"Not Found")</f>
        <v>Corporate</v>
      </c>
      <c r="E1657" s="46" t="n">
        <f aca="false">IFERROR(VLOOKUP(Orders!C1657,Customers!$A$2:$F$301,3,FALSE()),"Not Found")</f>
        <v>35</v>
      </c>
      <c r="F1657" s="46" t="str">
        <f aca="false">IFERROR(VLOOKUP(Orders!E1657,Sales_Reps!$A$2:$E$31,3,FALSE()),"Not Found")</f>
        <v>South</v>
      </c>
      <c r="G1657" s="46" t="n">
        <f aca="false">IFERROR(VLOOKUP(Orders!D1657,Products!$A$2:$F$61,4,FALSE()),"")</f>
        <v>1559</v>
      </c>
      <c r="H1657" s="47" t="n">
        <f aca="false">IF(G1657="","",(Orders!G1657-G1657)/Orders!G1657)</f>
        <v>0.597157622739018</v>
      </c>
      <c r="I1657" s="46"/>
      <c r="J1657" s="46"/>
      <c r="K1657" s="46"/>
      <c r="L1657" s="46"/>
      <c r="M1657" s="46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  <c r="X1657" s="46"/>
      <c r="Y1657" s="46"/>
      <c r="Z1657" s="46"/>
      <c r="AA1657" s="46"/>
      <c r="AB1657" s="46"/>
      <c r="AC1657" s="46"/>
      <c r="AD1657" s="46"/>
      <c r="AE1657" s="46"/>
      <c r="AF1657" s="46"/>
      <c r="AG1657" s="46"/>
      <c r="AH1657" s="46"/>
      <c r="AI1657" s="46"/>
      <c r="AJ1657" s="46"/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</row>
    <row r="1658" customFormat="false" ht="15" hidden="false" customHeight="false" outlineLevel="0" collapsed="false">
      <c r="A1658" s="46" t="str">
        <f aca="false">Orders!A1658</f>
        <v>ORD-01657</v>
      </c>
      <c r="B1658" s="46" t="str">
        <f aca="false">PROPER(TRIM(Orders!K1658))</f>
        <v>Bengaluru</v>
      </c>
      <c r="C1658" s="46" t="str">
        <f aca="false">IFERROR(VLOOKUP(Orders!D1658,Products!$A$2:$F$61,3,FALSE()),"Not Found")</f>
        <v>Electronics</v>
      </c>
      <c r="D1658" s="46" t="str">
        <f aca="false">IFERROR(VLOOKUP(Orders!C1658,Customers!$A$2:$F$301,5,FALSE()),"Not Found")</f>
        <v>SMB</v>
      </c>
      <c r="E1658" s="46" t="n">
        <f aca="false">IFERROR(VLOOKUP(Orders!C1658,Customers!$A$2:$F$301,3,FALSE()),"Not Found")</f>
        <v>44</v>
      </c>
      <c r="F1658" s="46" t="str">
        <f aca="false">IFERROR(VLOOKUP(Orders!E1658,Sales_Reps!$A$2:$E$31,3,FALSE()),"Not Found")</f>
        <v>East</v>
      </c>
      <c r="G1658" s="46" t="n">
        <f aca="false">IFERROR(VLOOKUP(Orders!D1658,Products!$A$2:$F$61,4,FALSE()),"")</f>
        <v>1665</v>
      </c>
      <c r="H1658" s="47" t="n">
        <f aca="false">IF(G1658="","",(Orders!G1658-G1658)/Orders!G1658)</f>
        <v>0.533613445378151</v>
      </c>
      <c r="I1658" s="46"/>
      <c r="J1658" s="46"/>
      <c r="K1658" s="46"/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/>
      <c r="AE1658" s="46"/>
      <c r="AF1658" s="46"/>
      <c r="AG1658" s="46"/>
      <c r="AH1658" s="46"/>
      <c r="AI1658" s="46"/>
      <c r="AJ1658" s="46"/>
      <c r="AK1658" s="4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</row>
    <row r="1659" customFormat="false" ht="15" hidden="false" customHeight="false" outlineLevel="0" collapsed="false">
      <c r="A1659" s="46" t="str">
        <f aca="false">Orders!A1659</f>
        <v>ORD-01658</v>
      </c>
      <c r="B1659" s="46" t="str">
        <f aca="false">PROPER(TRIM(Orders!K1659))</f>
        <v>Bengaluru</v>
      </c>
      <c r="C1659" s="46" t="str">
        <f aca="false">IFERROR(VLOOKUP(Orders!D1659,Products!$A$2:$F$61,3,FALSE()),"Not Found")</f>
        <v>Grocery</v>
      </c>
      <c r="D1659" s="46" t="str">
        <f aca="false">IFERROR(VLOOKUP(Orders!C1659,Customers!$A$2:$F$301,5,FALSE()),"Not Found")</f>
        <v>Retail</v>
      </c>
      <c r="E1659" s="46" t="n">
        <f aca="false">IFERROR(VLOOKUP(Orders!C1659,Customers!$A$2:$F$301,3,FALSE()),"Not Found")</f>
        <v>34</v>
      </c>
      <c r="F1659" s="46" t="str">
        <f aca="false">IFERROR(VLOOKUP(Orders!E1659,Sales_Reps!$A$2:$E$31,3,FALSE()),"Not Found")</f>
        <v>South</v>
      </c>
      <c r="G1659" s="46" t="n">
        <f aca="false">IFERROR(VLOOKUP(Orders!D1659,Products!$A$2:$F$61,4,FALSE()),"")</f>
        <v>2027</v>
      </c>
      <c r="H1659" s="47" t="n">
        <f aca="false">IF(G1659="","",(Orders!G1659-G1659)/Orders!G1659)</f>
        <v>0.501965601965602</v>
      </c>
      <c r="I1659" s="46"/>
      <c r="J1659" s="46"/>
      <c r="K1659" s="46"/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</row>
    <row r="1660" customFormat="false" ht="15" hidden="false" customHeight="false" outlineLevel="0" collapsed="false">
      <c r="A1660" s="46" t="str">
        <f aca="false">Orders!A1660</f>
        <v>ORD-01659</v>
      </c>
      <c r="B1660" s="46" t="str">
        <f aca="false">PROPER(TRIM(Orders!K1660))</f>
        <v>Bengaluru</v>
      </c>
      <c r="C1660" s="46" t="str">
        <f aca="false">IFERROR(VLOOKUP(Orders!D1660,Products!$A$2:$F$61,3,FALSE()),"Not Found")</f>
        <v>Apparel</v>
      </c>
      <c r="D1660" s="46" t="str">
        <f aca="false">IFERROR(VLOOKUP(Orders!C1660,Customers!$A$2:$F$301,5,FALSE()),"Not Found")</f>
        <v>SMB</v>
      </c>
      <c r="E1660" s="46" t="n">
        <f aca="false">IFERROR(VLOOKUP(Orders!C1660,Customers!$A$2:$F$301,3,FALSE()),"Not Found")</f>
        <v>26</v>
      </c>
      <c r="F1660" s="46" t="str">
        <f aca="false">IFERROR(VLOOKUP(Orders!E1660,Sales_Reps!$A$2:$E$31,3,FALSE()),"Not Found")</f>
        <v>East</v>
      </c>
      <c r="G1660" s="46" t="n">
        <f aca="false">IFERROR(VLOOKUP(Orders!D1660,Products!$A$2:$F$61,4,FALSE()),"")</f>
        <v>391</v>
      </c>
      <c r="H1660" s="47" t="n">
        <f aca="false">IF(G1660="","",(Orders!G1660-G1660)/Orders!G1660)</f>
        <v>0.523170731707317</v>
      </c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</row>
    <row r="1661" customFormat="false" ht="15" hidden="false" customHeight="false" outlineLevel="0" collapsed="false">
      <c r="A1661" s="46" t="str">
        <f aca="false">Orders!A1661</f>
        <v>ORD-01660</v>
      </c>
      <c r="B1661" s="46" t="str">
        <f aca="false">PROPER(TRIM(Orders!K1661))</f>
        <v>Hyderabad</v>
      </c>
      <c r="C1661" s="46" t="str">
        <f aca="false">IFERROR(VLOOKUP(Orders!D1661,Products!$A$2:$F$61,3,FALSE()),"Not Found")</f>
        <v>Beauty</v>
      </c>
      <c r="D1661" s="46" t="str">
        <f aca="false">IFERROR(VLOOKUP(Orders!C1661,Customers!$A$2:$F$301,5,FALSE()),"Not Found")</f>
        <v>Retail</v>
      </c>
      <c r="E1661" s="46" t="n">
        <f aca="false">IFERROR(VLOOKUP(Orders!C1661,Customers!$A$2:$F$301,3,FALSE()),"Not Found")</f>
        <v>29</v>
      </c>
      <c r="F1661" s="46" t="str">
        <f aca="false">IFERROR(VLOOKUP(Orders!E1661,Sales_Reps!$A$2:$E$31,3,FALSE()),"Not Found")</f>
        <v>West</v>
      </c>
      <c r="G1661" s="46" t="n">
        <f aca="false">IFERROR(VLOOKUP(Orders!D1661,Products!$A$2:$F$61,4,FALSE()),"")</f>
        <v>1626</v>
      </c>
      <c r="H1661" s="47" t="n">
        <f aca="false">IF(G1661="","",(Orders!G1661-G1661)/Orders!G1661)</f>
        <v>0.46158940397351</v>
      </c>
      <c r="I1661" s="46"/>
      <c r="J1661" s="46"/>
      <c r="K1661" s="46"/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</row>
    <row r="1662" customFormat="false" ht="15" hidden="false" customHeight="false" outlineLevel="0" collapsed="false">
      <c r="A1662" s="46" t="str">
        <f aca="false">Orders!A1662</f>
        <v>ORD-01661</v>
      </c>
      <c r="B1662" s="46" t="str">
        <f aca="false">PROPER(TRIM(Orders!K1662))</f>
        <v>Hyderabad</v>
      </c>
      <c r="C1662" s="46" t="str">
        <f aca="false">IFERROR(VLOOKUP(Orders!D1662,Products!$A$2:$F$61,3,FALSE()),"Not Found")</f>
        <v>Apparel</v>
      </c>
      <c r="D1662" s="46" t="str">
        <f aca="false">IFERROR(VLOOKUP(Orders!C1662,Customers!$A$2:$F$301,5,FALSE()),"Not Found")</f>
        <v>Corporate</v>
      </c>
      <c r="E1662" s="46" t="n">
        <f aca="false">IFERROR(VLOOKUP(Orders!C1662,Customers!$A$2:$F$301,3,FALSE()),"Not Found")</f>
        <v>22</v>
      </c>
      <c r="F1662" s="46" t="str">
        <f aca="false">IFERROR(VLOOKUP(Orders!E1662,Sales_Reps!$A$2:$E$31,3,FALSE()),"Not Found")</f>
        <v>East</v>
      </c>
      <c r="G1662" s="46" t="n">
        <f aca="false">IFERROR(VLOOKUP(Orders!D1662,Products!$A$2:$F$61,4,FALSE()),"")</f>
        <v>2629</v>
      </c>
      <c r="H1662" s="47" t="n">
        <f aca="false">IF(G1662="","",(Orders!G1662-G1662)/Orders!G1662)</f>
        <v>0.261516853932584</v>
      </c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</row>
    <row r="1663" customFormat="false" ht="15" hidden="false" customHeight="false" outlineLevel="0" collapsed="false">
      <c r="A1663" s="46" t="str">
        <f aca="false">Orders!A1663</f>
        <v>ORD-01662</v>
      </c>
      <c r="B1663" s="46" t="str">
        <f aca="false">PROPER(TRIM(Orders!K1663))</f>
        <v>Hyderabad</v>
      </c>
      <c r="C1663" s="46" t="str">
        <f aca="false">IFERROR(VLOOKUP(Orders!D1663,Products!$A$2:$F$61,3,FALSE()),"Not Found")</f>
        <v>Beauty</v>
      </c>
      <c r="D1663" s="46" t="str">
        <f aca="false">IFERROR(VLOOKUP(Orders!C1663,Customers!$A$2:$F$301,5,FALSE()),"Not Found")</f>
        <v>Corporate</v>
      </c>
      <c r="E1663" s="46" t="n">
        <f aca="false">IFERROR(VLOOKUP(Orders!C1663,Customers!$A$2:$F$301,3,FALSE()),"Not Found")</f>
        <v>29</v>
      </c>
      <c r="F1663" s="46" t="str">
        <f aca="false">IFERROR(VLOOKUP(Orders!E1663,Sales_Reps!$A$2:$E$31,3,FALSE()),"Not Found")</f>
        <v>North</v>
      </c>
      <c r="G1663" s="46" t="n">
        <f aca="false">IFERROR(VLOOKUP(Orders!D1663,Products!$A$2:$F$61,4,FALSE()),"")</f>
        <v>1728</v>
      </c>
      <c r="H1663" s="47" t="n">
        <f aca="false">IF(G1663="","",(Orders!G1663-G1663)/Orders!G1663)</f>
        <v>0.484179104477612</v>
      </c>
      <c r="I1663" s="46"/>
      <c r="J1663" s="46"/>
      <c r="K1663" s="46"/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  <c r="Y1663" s="46"/>
      <c r="Z1663" s="46"/>
      <c r="AA1663" s="46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</row>
    <row r="1664" customFormat="false" ht="15" hidden="false" customHeight="false" outlineLevel="0" collapsed="false">
      <c r="A1664" s="46" t="str">
        <f aca="false">Orders!A1664</f>
        <v>ORD-01663</v>
      </c>
      <c r="B1664" s="46" t="str">
        <f aca="false">PROPER(TRIM(Orders!K1664))</f>
        <v>Pune</v>
      </c>
      <c r="C1664" s="46" t="str">
        <f aca="false">IFERROR(VLOOKUP(Orders!D1664,Products!$A$2:$F$61,3,FALSE()),"Not Found")</f>
        <v>Beauty</v>
      </c>
      <c r="D1664" s="46" t="str">
        <f aca="false">IFERROR(VLOOKUP(Orders!C1664,Customers!$A$2:$F$301,5,FALSE()),"Not Found")</f>
        <v>Retail</v>
      </c>
      <c r="E1664" s="46" t="n">
        <f aca="false">IFERROR(VLOOKUP(Orders!C1664,Customers!$A$2:$F$301,3,FALSE()),"Not Found")</f>
        <v>48</v>
      </c>
      <c r="F1664" s="46" t="str">
        <f aca="false">IFERROR(VLOOKUP(Orders!E1664,Sales_Reps!$A$2:$E$31,3,FALSE()),"Not Found")</f>
        <v>West</v>
      </c>
      <c r="G1664" s="46" t="n">
        <f aca="false">IFERROR(VLOOKUP(Orders!D1664,Products!$A$2:$F$61,4,FALSE()),"")</f>
        <v>1219</v>
      </c>
      <c r="H1664" s="47" t="n">
        <f aca="false">IF(G1664="","",(Orders!G1664-G1664)/Orders!G1664)</f>
        <v>0.467685589519651</v>
      </c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46"/>
      <c r="AE1664" s="46"/>
      <c r="AF1664" s="46"/>
      <c r="AG1664" s="46"/>
      <c r="AH1664" s="46"/>
      <c r="AI1664" s="46"/>
      <c r="AJ1664" s="46"/>
      <c r="AK1664" s="4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</row>
    <row r="1665" customFormat="false" ht="15" hidden="false" customHeight="false" outlineLevel="0" collapsed="false">
      <c r="A1665" s="46" t="str">
        <f aca="false">Orders!A1665</f>
        <v>ORD-01664</v>
      </c>
      <c r="B1665" s="46" t="str">
        <f aca="false">PROPER(TRIM(Orders!K1665))</f>
        <v>Mumbai</v>
      </c>
      <c r="C1665" s="46" t="str">
        <f aca="false">IFERROR(VLOOKUP(Orders!D1665,Products!$A$2:$F$61,3,FALSE()),"Not Found")</f>
        <v>Grocery</v>
      </c>
      <c r="D1665" s="46" t="str">
        <f aca="false">IFERROR(VLOOKUP(Orders!C1665,Customers!$A$2:$F$301,5,FALSE()),"Not Found")</f>
        <v>Retail</v>
      </c>
      <c r="E1665" s="46" t="n">
        <f aca="false">IFERROR(VLOOKUP(Orders!C1665,Customers!$A$2:$F$301,3,FALSE()),"Not Found")</f>
        <v>61</v>
      </c>
      <c r="F1665" s="46" t="str">
        <f aca="false">IFERROR(VLOOKUP(Orders!E1665,Sales_Reps!$A$2:$E$31,3,FALSE()),"Not Found")</f>
        <v>North</v>
      </c>
      <c r="G1665" s="46" t="n">
        <f aca="false">IFERROR(VLOOKUP(Orders!D1665,Products!$A$2:$F$61,4,FALSE()),"")</f>
        <v>2214</v>
      </c>
      <c r="H1665" s="47" t="n">
        <f aca="false">IF(G1665="","",(Orders!G1665-G1665)/Orders!G1665)</f>
        <v>0.395081967213115</v>
      </c>
      <c r="I1665" s="46"/>
      <c r="J1665" s="46"/>
      <c r="K1665" s="46"/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  <c r="Y1665" s="46"/>
      <c r="Z1665" s="46"/>
      <c r="AA1665" s="46"/>
      <c r="AB1665" s="46"/>
      <c r="AC1665" s="46"/>
      <c r="AD1665" s="46"/>
      <c r="AE1665" s="46"/>
      <c r="AF1665" s="46"/>
      <c r="AG1665" s="46"/>
      <c r="AH1665" s="46"/>
      <c r="AI1665" s="46"/>
      <c r="AJ1665" s="46"/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</row>
    <row r="1666" customFormat="false" ht="15" hidden="false" customHeight="false" outlineLevel="0" collapsed="false">
      <c r="A1666" s="46" t="str">
        <f aca="false">Orders!A1666</f>
        <v>ORD-01665</v>
      </c>
      <c r="B1666" s="46" t="str">
        <f aca="false">PROPER(TRIM(Orders!K1666))</f>
        <v>Mumbai</v>
      </c>
      <c r="C1666" s="46" t="str">
        <f aca="false">IFERROR(VLOOKUP(Orders!D1666,Products!$A$2:$F$61,3,FALSE()),"Not Found")</f>
        <v>Electronics</v>
      </c>
      <c r="D1666" s="46" t="str">
        <f aca="false">IFERROR(VLOOKUP(Orders!C1666,Customers!$A$2:$F$301,5,FALSE()),"Not Found")</f>
        <v>Corporate</v>
      </c>
      <c r="E1666" s="46" t="n">
        <f aca="false">IFERROR(VLOOKUP(Orders!C1666,Customers!$A$2:$F$301,3,FALSE()),"Not Found")</f>
        <v>55</v>
      </c>
      <c r="F1666" s="46" t="str">
        <f aca="false">IFERROR(VLOOKUP(Orders!E1666,Sales_Reps!$A$2:$E$31,3,FALSE()),"Not Found")</f>
        <v>South</v>
      </c>
      <c r="G1666" s="46" t="n">
        <f aca="false">IFERROR(VLOOKUP(Orders!D1666,Products!$A$2:$F$61,4,FALSE()),"")</f>
        <v>1149</v>
      </c>
      <c r="H1666" s="47" t="n">
        <f aca="false">IF(G1666="","",(Orders!G1666-G1666)/Orders!G1666)</f>
        <v>0.564772727272727</v>
      </c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</row>
    <row r="1667" customFormat="false" ht="15" hidden="false" customHeight="false" outlineLevel="0" collapsed="false">
      <c r="A1667" s="46" t="str">
        <f aca="false">Orders!A1667</f>
        <v>ORD-01666</v>
      </c>
      <c r="B1667" s="46" t="str">
        <f aca="false">PROPER(TRIM(Orders!K1667))</f>
        <v>Pune</v>
      </c>
      <c r="C1667" s="46" t="str">
        <f aca="false">IFERROR(VLOOKUP(Orders!D1667,Products!$A$2:$F$61,3,FALSE()),"Not Found")</f>
        <v>Home</v>
      </c>
      <c r="D1667" s="46" t="str">
        <f aca="false">IFERROR(VLOOKUP(Orders!C1667,Customers!$A$2:$F$301,5,FALSE()),"Not Found")</f>
        <v>Retail</v>
      </c>
      <c r="E1667" s="46" t="n">
        <f aca="false">IFERROR(VLOOKUP(Orders!C1667,Customers!$A$2:$F$301,3,FALSE()),"Not Found")</f>
        <v>63</v>
      </c>
      <c r="F1667" s="46" t="str">
        <f aca="false">IFERROR(VLOOKUP(Orders!E1667,Sales_Reps!$A$2:$E$31,3,FALSE()),"Not Found")</f>
        <v>North</v>
      </c>
      <c r="G1667" s="46" t="n">
        <f aca="false">IFERROR(VLOOKUP(Orders!D1667,Products!$A$2:$F$61,4,FALSE()),"")</f>
        <v>288</v>
      </c>
      <c r="H1667" s="47" t="n">
        <f aca="false">IF(G1667="","",(Orders!G1667-G1667)/Orders!G1667)</f>
        <v>0.221621621621622</v>
      </c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6"/>
      <c r="AA1667" s="46"/>
      <c r="AB1667" s="46"/>
      <c r="AC1667" s="46"/>
      <c r="AD1667" s="46"/>
      <c r="AE1667" s="46"/>
      <c r="AF1667" s="46"/>
      <c r="AG1667" s="46"/>
      <c r="AH1667" s="46"/>
      <c r="AI1667" s="46"/>
      <c r="AJ1667" s="46"/>
      <c r="AK1667" s="4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</row>
    <row r="1668" customFormat="false" ht="15" hidden="false" customHeight="false" outlineLevel="0" collapsed="false">
      <c r="A1668" s="46" t="str">
        <f aca="false">Orders!A1668</f>
        <v>ORD-01667</v>
      </c>
      <c r="B1668" s="46" t="str">
        <f aca="false">PROPER(TRIM(Orders!K1668))</f>
        <v>Chennai</v>
      </c>
      <c r="C1668" s="46" t="str">
        <f aca="false">IFERROR(VLOOKUP(Orders!D1668,Products!$A$2:$F$61,3,FALSE()),"Not Found")</f>
        <v>Grocery</v>
      </c>
      <c r="D1668" s="46" t="str">
        <f aca="false">IFERROR(VLOOKUP(Orders!C1668,Customers!$A$2:$F$301,5,FALSE()),"Not Found")</f>
        <v>Retail</v>
      </c>
      <c r="E1668" s="46" t="n">
        <f aca="false">IFERROR(VLOOKUP(Orders!C1668,Customers!$A$2:$F$301,3,FALSE()),"Not Found")</f>
        <v>49</v>
      </c>
      <c r="F1668" s="46" t="str">
        <f aca="false">IFERROR(VLOOKUP(Orders!E1668,Sales_Reps!$A$2:$E$31,3,FALSE()),"Not Found")</f>
        <v>North</v>
      </c>
      <c r="G1668" s="46" t="n">
        <f aca="false">IFERROR(VLOOKUP(Orders!D1668,Products!$A$2:$F$61,4,FALSE()),"")</f>
        <v>1203</v>
      </c>
      <c r="H1668" s="47" t="n">
        <f aca="false">IF(G1668="","",(Orders!G1668-G1668)/Orders!G1668)</f>
        <v>0.470044052863436</v>
      </c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</row>
    <row r="1669" customFormat="false" ht="15" hidden="false" customHeight="false" outlineLevel="0" collapsed="false">
      <c r="A1669" s="46" t="str">
        <f aca="false">Orders!A1669</f>
        <v>ORD-01668</v>
      </c>
      <c r="B1669" s="46" t="str">
        <f aca="false">PROPER(TRIM(Orders!K1669))</f>
        <v>Bengaluru</v>
      </c>
      <c r="C1669" s="46" t="str">
        <f aca="false">IFERROR(VLOOKUP(Orders!D1669,Products!$A$2:$F$61,3,FALSE()),"Not Found")</f>
        <v>Home</v>
      </c>
      <c r="D1669" s="46" t="str">
        <f aca="false">IFERROR(VLOOKUP(Orders!C1669,Customers!$A$2:$F$301,5,FALSE()),"Not Found")</f>
        <v>Retail</v>
      </c>
      <c r="E1669" s="46" t="n">
        <f aca="false">IFERROR(VLOOKUP(Orders!C1669,Customers!$A$2:$F$301,3,FALSE()),"Not Found")</f>
        <v>37</v>
      </c>
      <c r="F1669" s="46" t="str">
        <f aca="false">IFERROR(VLOOKUP(Orders!E1669,Sales_Reps!$A$2:$E$31,3,FALSE()),"Not Found")</f>
        <v>South</v>
      </c>
      <c r="G1669" s="46" t="n">
        <f aca="false">IFERROR(VLOOKUP(Orders!D1669,Products!$A$2:$F$61,4,FALSE()),"")</f>
        <v>329</v>
      </c>
      <c r="H1669" s="47" t="n">
        <f aca="false">IF(G1669="","",(Orders!G1669-G1669)/Orders!G1669)</f>
        <v>0.501515151515152</v>
      </c>
      <c r="I1669" s="46"/>
      <c r="J1669" s="46"/>
      <c r="K1669" s="46"/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6"/>
      <c r="AA1669" s="46"/>
      <c r="AB1669" s="46"/>
      <c r="AC1669" s="46"/>
      <c r="AD1669" s="46"/>
      <c r="AE1669" s="46"/>
      <c r="AF1669" s="46"/>
      <c r="AG1669" s="46"/>
      <c r="AH1669" s="46"/>
      <c r="AI1669" s="46"/>
      <c r="AJ1669" s="46"/>
      <c r="AK1669" s="4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</row>
    <row r="1670" customFormat="false" ht="15" hidden="false" customHeight="false" outlineLevel="0" collapsed="false">
      <c r="A1670" s="46" t="str">
        <f aca="false">Orders!A1670</f>
        <v>ORD-01669</v>
      </c>
      <c r="B1670" s="46" t="str">
        <f aca="false">PROPER(TRIM(Orders!K1670))</f>
        <v>Bengaluru</v>
      </c>
      <c r="C1670" s="46" t="str">
        <f aca="false">IFERROR(VLOOKUP(Orders!D1670,Products!$A$2:$F$61,3,FALSE()),"Not Found")</f>
        <v>Sports</v>
      </c>
      <c r="D1670" s="46" t="str">
        <f aca="false">IFERROR(VLOOKUP(Orders!C1670,Customers!$A$2:$F$301,5,FALSE()),"Not Found")</f>
        <v>Not Found</v>
      </c>
      <c r="E1670" s="46" t="str">
        <f aca="false">IFERROR(VLOOKUP(Orders!C1670,Customers!$A$2:$F$301,3,FALSE()),"Not Found")</f>
        <v>Not Found</v>
      </c>
      <c r="F1670" s="46" t="str">
        <f aca="false">IFERROR(VLOOKUP(Orders!E1670,Sales_Reps!$A$2:$E$31,3,FALSE()),"Not Found")</f>
        <v>North</v>
      </c>
      <c r="G1670" s="46" t="n">
        <f aca="false">IFERROR(VLOOKUP(Orders!D1670,Products!$A$2:$F$61,4,FALSE()),"")</f>
        <v>705</v>
      </c>
      <c r="H1670" s="47" t="n">
        <f aca="false">IF(G1670="","",(Orders!G1670-G1670)/Orders!G1670)</f>
        <v>0.265625</v>
      </c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  <c r="Y1670" s="46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</row>
    <row r="1671" customFormat="false" ht="15" hidden="false" customHeight="false" outlineLevel="0" collapsed="false">
      <c r="A1671" s="46" t="str">
        <f aca="false">Orders!A1671</f>
        <v>ORD-01670</v>
      </c>
      <c r="B1671" s="46" t="str">
        <f aca="false">PROPER(TRIM(Orders!K1671))</f>
        <v>Hyderabad</v>
      </c>
      <c r="C1671" s="46" t="str">
        <f aca="false">IFERROR(VLOOKUP(Orders!D1671,Products!$A$2:$F$61,3,FALSE()),"Not Found")</f>
        <v>Beauty</v>
      </c>
      <c r="D1671" s="46" t="str">
        <f aca="false">IFERROR(VLOOKUP(Orders!C1671,Customers!$A$2:$F$301,5,FALSE()),"Not Found")</f>
        <v>Retail</v>
      </c>
      <c r="E1671" s="46" t="n">
        <f aca="false">IFERROR(VLOOKUP(Orders!C1671,Customers!$A$2:$F$301,3,FALSE()),"Not Found")</f>
        <v>32</v>
      </c>
      <c r="F1671" s="46" t="str">
        <f aca="false">IFERROR(VLOOKUP(Orders!E1671,Sales_Reps!$A$2:$E$31,3,FALSE()),"Not Found")</f>
        <v>South</v>
      </c>
      <c r="G1671" s="46" t="n">
        <f aca="false">IFERROR(VLOOKUP(Orders!D1671,Products!$A$2:$F$61,4,FALSE()),"")</f>
        <v>2237</v>
      </c>
      <c r="H1671" s="47" t="n">
        <f aca="false">IF(G1671="","",(Orders!G1671-G1671)/Orders!G1671)</f>
        <v>0.561372549019608</v>
      </c>
      <c r="I1671" s="46"/>
      <c r="J1671" s="46"/>
      <c r="K1671" s="46"/>
      <c r="L1671" s="46"/>
      <c r="M1671" s="46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</row>
    <row r="1672" customFormat="false" ht="15" hidden="false" customHeight="false" outlineLevel="0" collapsed="false">
      <c r="A1672" s="46" t="str">
        <f aca="false">Orders!A1672</f>
        <v>ORD-01671</v>
      </c>
      <c r="B1672" s="46" t="str">
        <f aca="false">PROPER(TRIM(Orders!K1672))</f>
        <v>Pune</v>
      </c>
      <c r="C1672" s="46" t="str">
        <f aca="false">IFERROR(VLOOKUP(Orders!D1672,Products!$A$2:$F$61,3,FALSE()),"Not Found")</f>
        <v>Apparel</v>
      </c>
      <c r="D1672" s="46" t="str">
        <f aca="false">IFERROR(VLOOKUP(Orders!C1672,Customers!$A$2:$F$301,5,FALSE()),"Not Found")</f>
        <v>Retail</v>
      </c>
      <c r="E1672" s="46" t="n">
        <f aca="false">IFERROR(VLOOKUP(Orders!C1672,Customers!$A$2:$F$301,3,FALSE()),"Not Found")</f>
        <v>25</v>
      </c>
      <c r="F1672" s="46" t="str">
        <f aca="false">IFERROR(VLOOKUP(Orders!E1672,Sales_Reps!$A$2:$E$31,3,FALSE()),"Not Found")</f>
        <v>North</v>
      </c>
      <c r="G1672" s="46" t="n">
        <f aca="false">IFERROR(VLOOKUP(Orders!D1672,Products!$A$2:$F$61,4,FALSE()),"")</f>
        <v>1886</v>
      </c>
      <c r="H1672" s="47" t="n">
        <f aca="false">IF(G1672="","",(Orders!G1672-G1672)/Orders!G1672)</f>
        <v>0.403164556962025</v>
      </c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</row>
    <row r="1673" customFormat="false" ht="15" hidden="false" customHeight="false" outlineLevel="0" collapsed="false">
      <c r="A1673" s="46" t="str">
        <f aca="false">Orders!A1673</f>
        <v>ORD-01672</v>
      </c>
      <c r="B1673" s="46" t="str">
        <f aca="false">PROPER(TRIM(Orders!K1673))</f>
        <v>Bengaluru</v>
      </c>
      <c r="C1673" s="46" t="str">
        <f aca="false">IFERROR(VLOOKUP(Orders!D1673,Products!$A$2:$F$61,3,FALSE()),"Not Found")</f>
        <v>Beauty</v>
      </c>
      <c r="D1673" s="46" t="str">
        <f aca="false">IFERROR(VLOOKUP(Orders!C1673,Customers!$A$2:$F$301,5,FALSE()),"Not Found")</f>
        <v>Not Found</v>
      </c>
      <c r="E1673" s="46" t="str">
        <f aca="false">IFERROR(VLOOKUP(Orders!C1673,Customers!$A$2:$F$301,3,FALSE()),"Not Found")</f>
        <v>Not Found</v>
      </c>
      <c r="F1673" s="46" t="str">
        <f aca="false">IFERROR(VLOOKUP(Orders!E1673,Sales_Reps!$A$2:$E$31,3,FALSE()),"Not Found")</f>
        <v>North</v>
      </c>
      <c r="G1673" s="46" t="n">
        <f aca="false">IFERROR(VLOOKUP(Orders!D1673,Products!$A$2:$F$61,4,FALSE()),"")</f>
        <v>647</v>
      </c>
      <c r="H1673" s="47" t="n">
        <f aca="false">IF(G1673="","",(Orders!G1673-G1673)/Orders!G1673)</f>
        <v>0.57987012987013</v>
      </c>
      <c r="I1673" s="46"/>
      <c r="J1673" s="46"/>
      <c r="K1673" s="46"/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</row>
    <row r="1674" customFormat="false" ht="15" hidden="false" customHeight="false" outlineLevel="0" collapsed="false">
      <c r="A1674" s="46" t="str">
        <f aca="false">Orders!A1674</f>
        <v>ORD-01673</v>
      </c>
      <c r="B1674" s="46" t="str">
        <f aca="false">PROPER(TRIM(Orders!K1674))</f>
        <v>Bengaluru</v>
      </c>
      <c r="C1674" s="46" t="str">
        <f aca="false">IFERROR(VLOOKUP(Orders!D1674,Products!$A$2:$F$61,3,FALSE()),"Not Found")</f>
        <v>Beauty</v>
      </c>
      <c r="D1674" s="46" t="str">
        <f aca="false">IFERROR(VLOOKUP(Orders!C1674,Customers!$A$2:$F$301,5,FALSE()),"Not Found")</f>
        <v>SMB</v>
      </c>
      <c r="E1674" s="46" t="n">
        <f aca="false">IFERROR(VLOOKUP(Orders!C1674,Customers!$A$2:$F$301,3,FALSE()),"Not Found")</f>
        <v>46</v>
      </c>
      <c r="F1674" s="46" t="str">
        <f aca="false">IFERROR(VLOOKUP(Orders!E1674,Sales_Reps!$A$2:$E$31,3,FALSE()),"Not Found")</f>
        <v>West</v>
      </c>
      <c r="G1674" s="46" t="n">
        <f aca="false">IFERROR(VLOOKUP(Orders!D1674,Products!$A$2:$F$61,4,FALSE()),"")</f>
        <v>2420</v>
      </c>
      <c r="H1674" s="47" t="n">
        <f aca="false">IF(G1674="","",(Orders!G1674-G1674)/Orders!G1674)</f>
        <v>0.298550724637681</v>
      </c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</row>
    <row r="1675" customFormat="false" ht="15" hidden="false" customHeight="false" outlineLevel="0" collapsed="false">
      <c r="A1675" s="46" t="str">
        <f aca="false">Orders!A1675</f>
        <v>ORD-01674</v>
      </c>
      <c r="B1675" s="46" t="str">
        <f aca="false">PROPER(TRIM(Orders!K1675))</f>
        <v>Mumbai</v>
      </c>
      <c r="C1675" s="46" t="str">
        <f aca="false">IFERROR(VLOOKUP(Orders!D1675,Products!$A$2:$F$61,3,FALSE()),"Not Found")</f>
        <v>Grocery</v>
      </c>
      <c r="D1675" s="46" t="str">
        <f aca="false">IFERROR(VLOOKUP(Orders!C1675,Customers!$A$2:$F$301,5,FALSE()),"Not Found")</f>
        <v>Retail</v>
      </c>
      <c r="E1675" s="46" t="n">
        <f aca="false">IFERROR(VLOOKUP(Orders!C1675,Customers!$A$2:$F$301,3,FALSE()),"Not Found")</f>
        <v>61</v>
      </c>
      <c r="F1675" s="46" t="str">
        <f aca="false">IFERROR(VLOOKUP(Orders!E1675,Sales_Reps!$A$2:$E$31,3,FALSE()),"Not Found")</f>
        <v>West</v>
      </c>
      <c r="G1675" s="46" t="n">
        <f aca="false">IFERROR(VLOOKUP(Orders!D1675,Products!$A$2:$F$61,4,FALSE()),"")</f>
        <v>1182</v>
      </c>
      <c r="H1675" s="47" t="n">
        <f aca="false">IF(G1675="","",(Orders!G1675-G1675)/Orders!G1675)</f>
        <v>0.503361344537815</v>
      </c>
      <c r="I1675" s="46"/>
      <c r="J1675" s="46"/>
      <c r="K1675" s="46"/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</row>
    <row r="1676" customFormat="false" ht="15" hidden="false" customHeight="false" outlineLevel="0" collapsed="false">
      <c r="A1676" s="46" t="str">
        <f aca="false">Orders!A1676</f>
        <v>ORD-01675</v>
      </c>
      <c r="B1676" s="46" t="str">
        <f aca="false">PROPER(TRIM(Orders!K1676))</f>
        <v>Pune</v>
      </c>
      <c r="C1676" s="46" t="str">
        <f aca="false">IFERROR(VLOOKUP(Orders!D1676,Products!$A$2:$F$61,3,FALSE()),"Not Found")</f>
        <v>Home</v>
      </c>
      <c r="D1676" s="46" t="str">
        <f aca="false">IFERROR(VLOOKUP(Orders!C1676,Customers!$A$2:$F$301,5,FALSE()),"Not Found")</f>
        <v>Retail</v>
      </c>
      <c r="E1676" s="46" t="n">
        <f aca="false">IFERROR(VLOOKUP(Orders!C1676,Customers!$A$2:$F$301,3,FALSE()),"Not Found")</f>
        <v>25</v>
      </c>
      <c r="F1676" s="46" t="str">
        <f aca="false">IFERROR(VLOOKUP(Orders!E1676,Sales_Reps!$A$2:$E$31,3,FALSE()),"Not Found")</f>
        <v>North</v>
      </c>
      <c r="G1676" s="46" t="n">
        <f aca="false">IFERROR(VLOOKUP(Orders!D1676,Products!$A$2:$F$61,4,FALSE()),"")</f>
        <v>2135</v>
      </c>
      <c r="H1676" s="47" t="n">
        <f aca="false">IF(G1676="","",(Orders!G1676-G1676)/Orders!G1676)</f>
        <v>0.427613941018767</v>
      </c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</row>
    <row r="1677" customFormat="false" ht="15" hidden="false" customHeight="false" outlineLevel="0" collapsed="false">
      <c r="A1677" s="46" t="str">
        <f aca="false">Orders!A1677</f>
        <v>ORD-01676</v>
      </c>
      <c r="B1677" s="46" t="str">
        <f aca="false">PROPER(TRIM(Orders!K1677))</f>
        <v>Pune</v>
      </c>
      <c r="C1677" s="46" t="str">
        <f aca="false">IFERROR(VLOOKUP(Orders!D1677,Products!$A$2:$F$61,3,FALSE()),"Not Found")</f>
        <v>Home</v>
      </c>
      <c r="D1677" s="46" t="str">
        <f aca="false">IFERROR(VLOOKUP(Orders!C1677,Customers!$A$2:$F$301,5,FALSE()),"Not Found")</f>
        <v>Retail</v>
      </c>
      <c r="E1677" s="46" t="n">
        <f aca="false">IFERROR(VLOOKUP(Orders!C1677,Customers!$A$2:$F$301,3,FALSE()),"Not Found")</f>
        <v>43</v>
      </c>
      <c r="F1677" s="46" t="str">
        <f aca="false">IFERROR(VLOOKUP(Orders!E1677,Sales_Reps!$A$2:$E$31,3,FALSE()),"Not Found")</f>
        <v>North</v>
      </c>
      <c r="G1677" s="46" t="n">
        <f aca="false">IFERROR(VLOOKUP(Orders!D1677,Products!$A$2:$F$61,4,FALSE()),"")</f>
        <v>1556</v>
      </c>
      <c r="H1677" s="47" t="n">
        <f aca="false">IF(G1677="","",(Orders!G1677-G1677)/Orders!G1677)</f>
        <v>0.521230769230769</v>
      </c>
      <c r="I1677" s="46"/>
      <c r="J1677" s="46"/>
      <c r="K1677" s="46"/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</row>
    <row r="1678" customFormat="false" ht="15" hidden="false" customHeight="false" outlineLevel="0" collapsed="false">
      <c r="A1678" s="46" t="str">
        <f aca="false">Orders!A1678</f>
        <v>ORD-01677</v>
      </c>
      <c r="B1678" s="46" t="str">
        <f aca="false">PROPER(TRIM(Orders!K1678))</f>
        <v>Pune</v>
      </c>
      <c r="C1678" s="46" t="str">
        <f aca="false">IFERROR(VLOOKUP(Orders!D1678,Products!$A$2:$F$61,3,FALSE()),"Not Found")</f>
        <v>Sports</v>
      </c>
      <c r="D1678" s="46" t="str">
        <f aca="false">IFERROR(VLOOKUP(Orders!C1678,Customers!$A$2:$F$301,5,FALSE()),"Not Found")</f>
        <v>Retail</v>
      </c>
      <c r="E1678" s="46" t="n">
        <f aca="false">IFERROR(VLOOKUP(Orders!C1678,Customers!$A$2:$F$301,3,FALSE()),"Not Found")</f>
        <v>35</v>
      </c>
      <c r="F1678" s="46" t="str">
        <f aca="false">IFERROR(VLOOKUP(Orders!E1678,Sales_Reps!$A$2:$E$31,3,FALSE()),"Not Found")</f>
        <v>East</v>
      </c>
      <c r="G1678" s="46" t="n">
        <f aca="false">IFERROR(VLOOKUP(Orders!D1678,Products!$A$2:$F$61,4,FALSE()),"")</f>
        <v>302</v>
      </c>
      <c r="H1678" s="47" t="n">
        <f aca="false">IF(G1678="","",(Orders!G1678-G1678)/Orders!G1678)</f>
        <v>0.357446808510638</v>
      </c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</row>
    <row r="1679" customFormat="false" ht="15" hidden="false" customHeight="false" outlineLevel="0" collapsed="false">
      <c r="A1679" s="46" t="str">
        <f aca="false">Orders!A1679</f>
        <v>ORD-01678</v>
      </c>
      <c r="B1679" s="46" t="str">
        <f aca="false">PROPER(TRIM(Orders!K1679))</f>
        <v>Bengaluru</v>
      </c>
      <c r="C1679" s="46" t="str">
        <f aca="false">IFERROR(VLOOKUP(Orders!D1679,Products!$A$2:$F$61,3,FALSE()),"Not Found")</f>
        <v>Beauty</v>
      </c>
      <c r="D1679" s="46" t="str">
        <f aca="false">IFERROR(VLOOKUP(Orders!C1679,Customers!$A$2:$F$301,5,FALSE()),"Not Found")</f>
        <v>Corporate</v>
      </c>
      <c r="E1679" s="46" t="n">
        <f aca="false">IFERROR(VLOOKUP(Orders!C1679,Customers!$A$2:$F$301,3,FALSE()),"Not Found")</f>
        <v>43</v>
      </c>
      <c r="F1679" s="46" t="str">
        <f aca="false">IFERROR(VLOOKUP(Orders!E1679,Sales_Reps!$A$2:$E$31,3,FALSE()),"Not Found")</f>
        <v>West</v>
      </c>
      <c r="G1679" s="46" t="n">
        <f aca="false">IFERROR(VLOOKUP(Orders!D1679,Products!$A$2:$F$61,4,FALSE()),"")</f>
        <v>1219</v>
      </c>
      <c r="H1679" s="47" t="n">
        <f aca="false">IF(G1679="","",(Orders!G1679-G1679)/Orders!G1679)</f>
        <v>0.467685589519651</v>
      </c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</row>
    <row r="1680" customFormat="false" ht="15" hidden="false" customHeight="false" outlineLevel="0" collapsed="false">
      <c r="A1680" s="46" t="str">
        <f aca="false">Orders!A1680</f>
        <v>ORD-01679</v>
      </c>
      <c r="B1680" s="46" t="str">
        <f aca="false">PROPER(TRIM(Orders!K1680))</f>
        <v>Hyderabad</v>
      </c>
      <c r="C1680" s="46" t="str">
        <f aca="false">IFERROR(VLOOKUP(Orders!D1680,Products!$A$2:$F$61,3,FALSE()),"Not Found")</f>
        <v>Electronics</v>
      </c>
      <c r="D1680" s="46" t="str">
        <f aca="false">IFERROR(VLOOKUP(Orders!C1680,Customers!$A$2:$F$301,5,FALSE()),"Not Found")</f>
        <v>Retail</v>
      </c>
      <c r="E1680" s="46" t="n">
        <f aca="false">IFERROR(VLOOKUP(Orders!C1680,Customers!$A$2:$F$301,3,FALSE()),"Not Found")</f>
        <v>31</v>
      </c>
      <c r="F1680" s="46" t="str">
        <f aca="false">IFERROR(VLOOKUP(Orders!E1680,Sales_Reps!$A$2:$E$31,3,FALSE()),"Not Found")</f>
        <v>West</v>
      </c>
      <c r="G1680" s="46" t="n">
        <f aca="false">IFERROR(VLOOKUP(Orders!D1680,Products!$A$2:$F$61,4,FALSE()),"")</f>
        <v>861</v>
      </c>
      <c r="H1680" s="47" t="n">
        <f aca="false">IF(G1680="","",(Orders!G1680-G1680)/Orders!G1680)</f>
        <v>0.397902097902098</v>
      </c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/>
      <c r="AD1680" s="46"/>
      <c r="AE1680" s="46"/>
      <c r="AF1680" s="46"/>
      <c r="AG1680" s="46"/>
      <c r="AH1680" s="46"/>
      <c r="AI1680" s="46"/>
      <c r="AJ1680" s="46"/>
      <c r="AK1680" s="4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</row>
    <row r="1681" customFormat="false" ht="15" hidden="false" customHeight="false" outlineLevel="0" collapsed="false">
      <c r="A1681" s="46" t="str">
        <f aca="false">Orders!A1681</f>
        <v>ORD-01680</v>
      </c>
      <c r="B1681" s="46" t="str">
        <f aca="false">PROPER(TRIM(Orders!K1681))</f>
        <v>Bengaluru</v>
      </c>
      <c r="C1681" s="46" t="str">
        <f aca="false">IFERROR(VLOOKUP(Orders!D1681,Products!$A$2:$F$61,3,FALSE()),"Not Found")</f>
        <v>Sports</v>
      </c>
      <c r="D1681" s="46" t="str">
        <f aca="false">IFERROR(VLOOKUP(Orders!C1681,Customers!$A$2:$F$301,5,FALSE()),"Not Found")</f>
        <v>Retail</v>
      </c>
      <c r="E1681" s="46" t="n">
        <f aca="false">IFERROR(VLOOKUP(Orders!C1681,Customers!$A$2:$F$301,3,FALSE()),"Not Found")</f>
        <v>54</v>
      </c>
      <c r="F1681" s="46" t="str">
        <f aca="false">IFERROR(VLOOKUP(Orders!E1681,Sales_Reps!$A$2:$E$31,3,FALSE()),"Not Found")</f>
        <v>North</v>
      </c>
      <c r="G1681" s="46" t="n">
        <f aca="false">IFERROR(VLOOKUP(Orders!D1681,Products!$A$2:$F$61,4,FALSE()),"")</f>
        <v>2028</v>
      </c>
      <c r="H1681" s="47" t="n">
        <f aca="false">IF(G1681="","",(Orders!G1681-G1681)/Orders!G1681)</f>
        <v>0.290909090909091</v>
      </c>
      <c r="I1681" s="46"/>
      <c r="J1681" s="46"/>
      <c r="K1681" s="46"/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  <c r="AE1681" s="46"/>
      <c r="AF1681" s="46"/>
      <c r="AG1681" s="46"/>
      <c r="AH1681" s="46"/>
      <c r="AI1681" s="46"/>
      <c r="AJ1681" s="46"/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</row>
    <row r="1682" customFormat="false" ht="15" hidden="false" customHeight="false" outlineLevel="0" collapsed="false">
      <c r="A1682" s="46" t="str">
        <f aca="false">Orders!A1682</f>
        <v>ORD-01681</v>
      </c>
      <c r="B1682" s="46" t="str">
        <f aca="false">PROPER(TRIM(Orders!K1682))</f>
        <v>Mumbai</v>
      </c>
      <c r="C1682" s="46" t="str">
        <f aca="false">IFERROR(VLOOKUP(Orders!D1682,Products!$A$2:$F$61,3,FALSE()),"Not Found")</f>
        <v>Beauty</v>
      </c>
      <c r="D1682" s="46" t="str">
        <f aca="false">IFERROR(VLOOKUP(Orders!C1682,Customers!$A$2:$F$301,5,FALSE()),"Not Found")</f>
        <v>Retail</v>
      </c>
      <c r="E1682" s="46" t="n">
        <f aca="false">IFERROR(VLOOKUP(Orders!C1682,Customers!$A$2:$F$301,3,FALSE()),"Not Found")</f>
        <v>65</v>
      </c>
      <c r="F1682" s="46" t="str">
        <f aca="false">IFERROR(VLOOKUP(Orders!E1682,Sales_Reps!$A$2:$E$31,3,FALSE()),"Not Found")</f>
        <v>East</v>
      </c>
      <c r="G1682" s="46" t="n">
        <f aca="false">IFERROR(VLOOKUP(Orders!D1682,Products!$A$2:$F$61,4,FALSE()),"")</f>
        <v>2420</v>
      </c>
      <c r="H1682" s="47" t="n">
        <f aca="false">IF(G1682="","",(Orders!G1682-G1682)/Orders!G1682)</f>
        <v>0.298550724637681</v>
      </c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/>
      <c r="AD1682" s="46"/>
      <c r="AE1682" s="46"/>
      <c r="AF1682" s="46"/>
      <c r="AG1682" s="46"/>
      <c r="AH1682" s="46"/>
      <c r="AI1682" s="46"/>
      <c r="AJ1682" s="46"/>
      <c r="AK1682" s="4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</row>
    <row r="1683" customFormat="false" ht="15" hidden="false" customHeight="false" outlineLevel="0" collapsed="false">
      <c r="A1683" s="46" t="str">
        <f aca="false">Orders!A1683</f>
        <v>ORD-01682</v>
      </c>
      <c r="B1683" s="46" t="str">
        <f aca="false">PROPER(TRIM(Orders!K1683))</f>
        <v>Pune</v>
      </c>
      <c r="C1683" s="46" t="str">
        <f aca="false">IFERROR(VLOOKUP(Orders!D1683,Products!$A$2:$F$61,3,FALSE()),"Not Found")</f>
        <v>Sports</v>
      </c>
      <c r="D1683" s="46" t="str">
        <f aca="false">IFERROR(VLOOKUP(Orders!C1683,Customers!$A$2:$F$301,5,FALSE()),"Not Found")</f>
        <v>Retail</v>
      </c>
      <c r="E1683" s="46" t="n">
        <f aca="false">IFERROR(VLOOKUP(Orders!C1683,Customers!$A$2:$F$301,3,FALSE()),"Not Found")</f>
        <v>62</v>
      </c>
      <c r="F1683" s="46" t="str">
        <f aca="false">IFERROR(VLOOKUP(Orders!E1683,Sales_Reps!$A$2:$E$31,3,FALSE()),"Not Found")</f>
        <v>East</v>
      </c>
      <c r="G1683" s="46" t="n">
        <f aca="false">IFERROR(VLOOKUP(Orders!D1683,Products!$A$2:$F$61,4,FALSE()),"")</f>
        <v>2265</v>
      </c>
      <c r="H1683" s="47" t="n">
        <f aca="false">IF(G1683="","",(Orders!G1683-G1683)/Orders!G1683)</f>
        <v>0.581330868761553</v>
      </c>
      <c r="I1683" s="46"/>
      <c r="J1683" s="46"/>
      <c r="K1683" s="46"/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</row>
    <row r="1684" customFormat="false" ht="15" hidden="false" customHeight="false" outlineLevel="0" collapsed="false">
      <c r="A1684" s="46" t="str">
        <f aca="false">Orders!A1684</f>
        <v>ORD-01683</v>
      </c>
      <c r="B1684" s="46" t="str">
        <f aca="false">PROPER(TRIM(Orders!K1684))</f>
        <v>Pune</v>
      </c>
      <c r="C1684" s="46" t="str">
        <f aca="false">IFERROR(VLOOKUP(Orders!D1684,Products!$A$2:$F$61,3,FALSE()),"Not Found")</f>
        <v>Home</v>
      </c>
      <c r="D1684" s="46" t="str">
        <f aca="false">IFERROR(VLOOKUP(Orders!C1684,Customers!$A$2:$F$301,5,FALSE()),"Not Found")</f>
        <v>Retail</v>
      </c>
      <c r="E1684" s="46" t="n">
        <f aca="false">IFERROR(VLOOKUP(Orders!C1684,Customers!$A$2:$F$301,3,FALSE()),"Not Found")</f>
        <v>62</v>
      </c>
      <c r="F1684" s="46" t="str">
        <f aca="false">IFERROR(VLOOKUP(Orders!E1684,Sales_Reps!$A$2:$E$31,3,FALSE()),"Not Found")</f>
        <v>West</v>
      </c>
      <c r="G1684" s="46" t="n">
        <f aca="false">IFERROR(VLOOKUP(Orders!D1684,Products!$A$2:$F$61,4,FALSE()),"")</f>
        <v>519</v>
      </c>
      <c r="H1684" s="47" t="n">
        <f aca="false">IF(G1684="","",(Orders!G1684-G1684)/Orders!G1684)</f>
        <v>0.519444444444445</v>
      </c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</row>
    <row r="1685" customFormat="false" ht="15" hidden="false" customHeight="false" outlineLevel="0" collapsed="false">
      <c r="A1685" s="46" t="str">
        <f aca="false">Orders!A1685</f>
        <v>ORD-01684</v>
      </c>
      <c r="B1685" s="46" t="str">
        <f aca="false">PROPER(TRIM(Orders!K1685))</f>
        <v>Hyderabad</v>
      </c>
      <c r="C1685" s="46" t="str">
        <f aca="false">IFERROR(VLOOKUP(Orders!D1685,Products!$A$2:$F$61,3,FALSE()),"Not Found")</f>
        <v>Sports</v>
      </c>
      <c r="D1685" s="46" t="str">
        <f aca="false">IFERROR(VLOOKUP(Orders!C1685,Customers!$A$2:$F$301,5,FALSE()),"Not Found")</f>
        <v>Retail</v>
      </c>
      <c r="E1685" s="46" t="n">
        <f aca="false">IFERROR(VLOOKUP(Orders!C1685,Customers!$A$2:$F$301,3,FALSE()),"Not Found")</f>
        <v>46</v>
      </c>
      <c r="F1685" s="46" t="str">
        <f aca="false">IFERROR(VLOOKUP(Orders!E1685,Sales_Reps!$A$2:$E$31,3,FALSE()),"Not Found")</f>
        <v>East</v>
      </c>
      <c r="G1685" s="46" t="n">
        <f aca="false">IFERROR(VLOOKUP(Orders!D1685,Products!$A$2:$F$61,4,FALSE()),"")</f>
        <v>2028</v>
      </c>
      <c r="H1685" s="47" t="n">
        <f aca="false">IF(G1685="","",(Orders!G1685-G1685)/Orders!G1685)</f>
        <v>0.290909090909091</v>
      </c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</row>
    <row r="1686" customFormat="false" ht="15" hidden="false" customHeight="false" outlineLevel="0" collapsed="false">
      <c r="A1686" s="46" t="str">
        <f aca="false">Orders!A1686</f>
        <v>ORD-01685</v>
      </c>
      <c r="B1686" s="46" t="str">
        <f aca="false">PROPER(TRIM(Orders!K1686))</f>
        <v>Hyderabad</v>
      </c>
      <c r="C1686" s="46" t="str">
        <f aca="false">IFERROR(VLOOKUP(Orders!D1686,Products!$A$2:$F$61,3,FALSE()),"Not Found")</f>
        <v>Beauty</v>
      </c>
      <c r="D1686" s="46" t="str">
        <f aca="false">IFERROR(VLOOKUP(Orders!C1686,Customers!$A$2:$F$301,5,FALSE()),"Not Found")</f>
        <v>Not Found</v>
      </c>
      <c r="E1686" s="46" t="str">
        <f aca="false">IFERROR(VLOOKUP(Orders!C1686,Customers!$A$2:$F$301,3,FALSE()),"Not Found")</f>
        <v>Not Found</v>
      </c>
      <c r="F1686" s="46" t="str">
        <f aca="false">IFERROR(VLOOKUP(Orders!E1686,Sales_Reps!$A$2:$E$31,3,FALSE()),"Not Found")</f>
        <v>South</v>
      </c>
      <c r="G1686" s="46" t="n">
        <f aca="false">IFERROR(VLOOKUP(Orders!D1686,Products!$A$2:$F$61,4,FALSE()),"")</f>
        <v>1626</v>
      </c>
      <c r="H1686" s="47" t="n">
        <f aca="false">IF(G1686="","",(Orders!G1686-G1686)/Orders!G1686)</f>
        <v>0.46158940397351</v>
      </c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  <c r="AE1686" s="46"/>
      <c r="AF1686" s="46"/>
      <c r="AG1686" s="46"/>
      <c r="AH1686" s="46"/>
      <c r="AI1686" s="46"/>
      <c r="AJ1686" s="46"/>
      <c r="AK1686" s="4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</row>
    <row r="1687" customFormat="false" ht="15" hidden="false" customHeight="false" outlineLevel="0" collapsed="false">
      <c r="A1687" s="46" t="str">
        <f aca="false">Orders!A1687</f>
        <v>ORD-01686</v>
      </c>
      <c r="B1687" s="46" t="str">
        <f aca="false">PROPER(TRIM(Orders!K1687))</f>
        <v>Mumbai</v>
      </c>
      <c r="C1687" s="46" t="str">
        <f aca="false">IFERROR(VLOOKUP(Orders!D1687,Products!$A$2:$F$61,3,FALSE()),"Not Found")</f>
        <v>Sports</v>
      </c>
      <c r="D1687" s="46" t="str">
        <f aca="false">IFERROR(VLOOKUP(Orders!C1687,Customers!$A$2:$F$301,5,FALSE()),"Not Found")</f>
        <v>SMB</v>
      </c>
      <c r="E1687" s="46" t="n">
        <f aca="false">IFERROR(VLOOKUP(Orders!C1687,Customers!$A$2:$F$301,3,FALSE()),"Not Found")</f>
        <v>54</v>
      </c>
      <c r="F1687" s="46" t="str">
        <f aca="false">IFERROR(VLOOKUP(Orders!E1687,Sales_Reps!$A$2:$E$31,3,FALSE()),"Not Found")</f>
        <v>West</v>
      </c>
      <c r="G1687" s="46" t="n">
        <f aca="false">IFERROR(VLOOKUP(Orders!D1687,Products!$A$2:$F$61,4,FALSE()),"")</f>
        <v>705</v>
      </c>
      <c r="H1687" s="47" t="n">
        <f aca="false">IF(G1687="","",(Orders!G1687-G1687)/Orders!G1687)</f>
        <v>0.265625</v>
      </c>
      <c r="I1687" s="46"/>
      <c r="J1687" s="46"/>
      <c r="K1687" s="46"/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46"/>
      <c r="AE1687" s="46"/>
      <c r="AF1687" s="46"/>
      <c r="AG1687" s="46"/>
      <c r="AH1687" s="46"/>
      <c r="AI1687" s="46"/>
      <c r="AJ1687" s="46"/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</row>
    <row r="1688" customFormat="false" ht="15" hidden="false" customHeight="false" outlineLevel="0" collapsed="false">
      <c r="A1688" s="46" t="str">
        <f aca="false">Orders!A1688</f>
        <v>ORD-01687</v>
      </c>
      <c r="B1688" s="46" t="str">
        <f aca="false">PROPER(TRIM(Orders!K1688))</f>
        <v>Mumbai</v>
      </c>
      <c r="C1688" s="46" t="str">
        <f aca="false">IFERROR(VLOOKUP(Orders!D1688,Products!$A$2:$F$61,3,FALSE()),"Not Found")</f>
        <v>Electronics</v>
      </c>
      <c r="D1688" s="46" t="str">
        <f aca="false">IFERROR(VLOOKUP(Orders!C1688,Customers!$A$2:$F$301,5,FALSE()),"Not Found")</f>
        <v>Corporate</v>
      </c>
      <c r="E1688" s="46" t="n">
        <f aca="false">IFERROR(VLOOKUP(Orders!C1688,Customers!$A$2:$F$301,3,FALSE()),"Not Found")</f>
        <v>60</v>
      </c>
      <c r="F1688" s="46" t="str">
        <f aca="false">IFERROR(VLOOKUP(Orders!E1688,Sales_Reps!$A$2:$E$31,3,FALSE()),"Not Found")</f>
        <v>West</v>
      </c>
      <c r="G1688" s="46" t="n">
        <f aca="false">IFERROR(VLOOKUP(Orders!D1688,Products!$A$2:$F$61,4,FALSE()),"")</f>
        <v>1559</v>
      </c>
      <c r="H1688" s="47" t="n">
        <f aca="false">IF(G1688="","",(Orders!G1688-G1688)/Orders!G1688)</f>
        <v>0.597157622739018</v>
      </c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  <c r="AE1688" s="46"/>
      <c r="AF1688" s="46"/>
      <c r="AG1688" s="46"/>
      <c r="AH1688" s="46"/>
      <c r="AI1688" s="46"/>
      <c r="AJ1688" s="46"/>
      <c r="AK1688" s="4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</row>
    <row r="1689" customFormat="false" ht="15" hidden="false" customHeight="false" outlineLevel="0" collapsed="false">
      <c r="A1689" s="46" t="str">
        <f aca="false">Orders!A1689</f>
        <v>ORD-01688</v>
      </c>
      <c r="B1689" s="46" t="str">
        <f aca="false">PROPER(TRIM(Orders!K1689))</f>
        <v>Pune</v>
      </c>
      <c r="C1689" s="46" t="str">
        <f aca="false">IFERROR(VLOOKUP(Orders!D1689,Products!$A$2:$F$61,3,FALSE()),"Not Found")</f>
        <v>Apparel</v>
      </c>
      <c r="D1689" s="46" t="str">
        <f aca="false">IFERROR(VLOOKUP(Orders!C1689,Customers!$A$2:$F$301,5,FALSE()),"Not Found")</f>
        <v>Retail</v>
      </c>
      <c r="E1689" s="46" t="n">
        <f aca="false">IFERROR(VLOOKUP(Orders!C1689,Customers!$A$2:$F$301,3,FALSE()),"Not Found")</f>
        <v>39</v>
      </c>
      <c r="F1689" s="46" t="str">
        <f aca="false">IFERROR(VLOOKUP(Orders!E1689,Sales_Reps!$A$2:$E$31,3,FALSE()),"Not Found")</f>
        <v>East</v>
      </c>
      <c r="G1689" s="46" t="n">
        <f aca="false">IFERROR(VLOOKUP(Orders!D1689,Products!$A$2:$F$61,4,FALSE()),"")</f>
        <v>1886</v>
      </c>
      <c r="H1689" s="47" t="n">
        <f aca="false">IF(G1689="","",(Orders!G1689-G1689)/Orders!G1689)</f>
        <v>0.403164556962025</v>
      </c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</row>
    <row r="1690" customFormat="false" ht="15" hidden="false" customHeight="false" outlineLevel="0" collapsed="false">
      <c r="A1690" s="46" t="str">
        <f aca="false">Orders!A1690</f>
        <v>ORD-01689</v>
      </c>
      <c r="B1690" s="46" t="str">
        <f aca="false">PROPER(TRIM(Orders!K1690))</f>
        <v>Pune</v>
      </c>
      <c r="C1690" s="46" t="str">
        <f aca="false">IFERROR(VLOOKUP(Orders!D1690,Products!$A$2:$F$61,3,FALSE()),"Not Found")</f>
        <v>Beauty</v>
      </c>
      <c r="D1690" s="46" t="str">
        <f aca="false">IFERROR(VLOOKUP(Orders!C1690,Customers!$A$2:$F$301,5,FALSE()),"Not Found")</f>
        <v>SMB</v>
      </c>
      <c r="E1690" s="46" t="n">
        <f aca="false">IFERROR(VLOOKUP(Orders!C1690,Customers!$A$2:$F$301,3,FALSE()),"Not Found")</f>
        <v>30</v>
      </c>
      <c r="F1690" s="46" t="str">
        <f aca="false">IFERROR(VLOOKUP(Orders!E1690,Sales_Reps!$A$2:$E$31,3,FALSE()),"Not Found")</f>
        <v>West</v>
      </c>
      <c r="G1690" s="46" t="n">
        <f aca="false">IFERROR(VLOOKUP(Orders!D1690,Products!$A$2:$F$61,4,FALSE()),"")</f>
        <v>2420</v>
      </c>
      <c r="H1690" s="47" t="n">
        <f aca="false">IF(G1690="","",(Orders!G1690-G1690)/Orders!G1690)</f>
        <v>0.298550724637681</v>
      </c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</row>
    <row r="1691" customFormat="false" ht="15" hidden="false" customHeight="false" outlineLevel="0" collapsed="false">
      <c r="A1691" s="46" t="str">
        <f aca="false">Orders!A1691</f>
        <v>ORD-01690</v>
      </c>
      <c r="B1691" s="46" t="str">
        <f aca="false">PROPER(TRIM(Orders!K1691))</f>
        <v>Chennai</v>
      </c>
      <c r="C1691" s="46" t="str">
        <f aca="false">IFERROR(VLOOKUP(Orders!D1691,Products!$A$2:$F$61,3,FALSE()),"Not Found")</f>
        <v>Beauty</v>
      </c>
      <c r="D1691" s="46" t="str">
        <f aca="false">IFERROR(VLOOKUP(Orders!C1691,Customers!$A$2:$F$301,5,FALSE()),"Not Found")</f>
        <v>SMB</v>
      </c>
      <c r="E1691" s="46" t="n">
        <f aca="false">IFERROR(VLOOKUP(Orders!C1691,Customers!$A$2:$F$301,3,FALSE()),"Not Found")</f>
        <v>26</v>
      </c>
      <c r="F1691" s="46" t="str">
        <f aca="false">IFERROR(VLOOKUP(Orders!E1691,Sales_Reps!$A$2:$E$31,3,FALSE()),"Not Found")</f>
        <v>East</v>
      </c>
      <c r="G1691" s="46" t="n">
        <f aca="false">IFERROR(VLOOKUP(Orders!D1691,Products!$A$2:$F$61,4,FALSE()),"")</f>
        <v>675</v>
      </c>
      <c r="H1691" s="47" t="n">
        <f aca="false">IF(G1691="","",(Orders!G1691-G1691)/Orders!G1691)</f>
        <v>0.296875</v>
      </c>
      <c r="I1691" s="46"/>
      <c r="J1691" s="46"/>
      <c r="K1691" s="46"/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</row>
    <row r="1692" customFormat="false" ht="15" hidden="false" customHeight="false" outlineLevel="0" collapsed="false">
      <c r="A1692" s="46" t="str">
        <f aca="false">Orders!A1692</f>
        <v>ORD-01691</v>
      </c>
      <c r="B1692" s="46" t="str">
        <f aca="false">PROPER(TRIM(Orders!K1692))</f>
        <v>Bengaluru</v>
      </c>
      <c r="C1692" s="46" t="str">
        <f aca="false">IFERROR(VLOOKUP(Orders!D1692,Products!$A$2:$F$61,3,FALSE()),"Not Found")</f>
        <v>Sports</v>
      </c>
      <c r="D1692" s="46" t="str">
        <f aca="false">IFERROR(VLOOKUP(Orders!C1692,Customers!$A$2:$F$301,5,FALSE()),"Not Found")</f>
        <v>Retail</v>
      </c>
      <c r="E1692" s="46" t="n">
        <f aca="false">IFERROR(VLOOKUP(Orders!C1692,Customers!$A$2:$F$301,3,FALSE()),"Not Found")</f>
        <v>27</v>
      </c>
      <c r="F1692" s="46" t="str">
        <f aca="false">IFERROR(VLOOKUP(Orders!E1692,Sales_Reps!$A$2:$E$31,3,FALSE()),"Not Found")</f>
        <v>East</v>
      </c>
      <c r="G1692" s="46" t="n">
        <f aca="false">IFERROR(VLOOKUP(Orders!D1692,Products!$A$2:$F$61,4,FALSE()),"")</f>
        <v>2827</v>
      </c>
      <c r="H1692" s="47" t="n">
        <f aca="false">IF(G1692="","",(Orders!G1692-G1692)/Orders!G1692)</f>
        <v>0.592651296829971</v>
      </c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</row>
    <row r="1693" customFormat="false" ht="15" hidden="false" customHeight="false" outlineLevel="0" collapsed="false">
      <c r="A1693" s="46" t="str">
        <f aca="false">Orders!A1693</f>
        <v>ORD-01692</v>
      </c>
      <c r="B1693" s="46" t="str">
        <f aca="false">PROPER(TRIM(Orders!K1693))</f>
        <v>Bengaluru</v>
      </c>
      <c r="C1693" s="46" t="str">
        <f aca="false">IFERROR(VLOOKUP(Orders!D1693,Products!$A$2:$F$61,3,FALSE()),"Not Found")</f>
        <v>Sports</v>
      </c>
      <c r="D1693" s="46" t="str">
        <f aca="false">IFERROR(VLOOKUP(Orders!C1693,Customers!$A$2:$F$301,5,FALSE()),"Not Found")</f>
        <v>Corporate</v>
      </c>
      <c r="E1693" s="46" t="n">
        <f aca="false">IFERROR(VLOOKUP(Orders!C1693,Customers!$A$2:$F$301,3,FALSE()),"Not Found")</f>
        <v>26</v>
      </c>
      <c r="F1693" s="46" t="str">
        <f aca="false">IFERROR(VLOOKUP(Orders!E1693,Sales_Reps!$A$2:$E$31,3,FALSE()),"Not Found")</f>
        <v>South</v>
      </c>
      <c r="G1693" s="46" t="n">
        <f aca="false">IFERROR(VLOOKUP(Orders!D1693,Products!$A$2:$F$61,4,FALSE()),"")</f>
        <v>974</v>
      </c>
      <c r="H1693" s="47" t="n">
        <f aca="false">IF(G1693="","",(Orders!G1693-G1693)/Orders!G1693)</f>
        <v>0.594166666666667</v>
      </c>
      <c r="I1693" s="46"/>
      <c r="J1693" s="46"/>
      <c r="K1693" s="46"/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</row>
    <row r="1694" customFormat="false" ht="15" hidden="false" customHeight="false" outlineLevel="0" collapsed="false">
      <c r="A1694" s="46" t="str">
        <f aca="false">Orders!A1694</f>
        <v>ORD-01693</v>
      </c>
      <c r="B1694" s="46" t="str">
        <f aca="false">PROPER(TRIM(Orders!K1694))</f>
        <v>Mumbai</v>
      </c>
      <c r="C1694" s="46" t="str">
        <f aca="false">IFERROR(VLOOKUP(Orders!D1694,Products!$A$2:$F$61,3,FALSE()),"Not Found")</f>
        <v>Sports</v>
      </c>
      <c r="D1694" s="46" t="str">
        <f aca="false">IFERROR(VLOOKUP(Orders!C1694,Customers!$A$2:$F$301,5,FALSE()),"Not Found")</f>
        <v>Retail</v>
      </c>
      <c r="E1694" s="46" t="n">
        <f aca="false">IFERROR(VLOOKUP(Orders!C1694,Customers!$A$2:$F$301,3,FALSE()),"Not Found")</f>
        <v>38</v>
      </c>
      <c r="F1694" s="46" t="str">
        <f aca="false">IFERROR(VLOOKUP(Orders!E1694,Sales_Reps!$A$2:$E$31,3,FALSE()),"Not Found")</f>
        <v>East</v>
      </c>
      <c r="G1694" s="46" t="n">
        <f aca="false">IFERROR(VLOOKUP(Orders!D1694,Products!$A$2:$F$61,4,FALSE()),"")</f>
        <v>2265</v>
      </c>
      <c r="H1694" s="47" t="n">
        <f aca="false">IF(G1694="","",(Orders!G1694-G1694)/Orders!G1694)</f>
        <v>0.581330868761553</v>
      </c>
      <c r="I1694" s="46"/>
      <c r="J1694" s="46"/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46"/>
      <c r="AK1694" s="4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</row>
    <row r="1695" customFormat="false" ht="15" hidden="false" customHeight="false" outlineLevel="0" collapsed="false">
      <c r="A1695" s="46" t="str">
        <f aca="false">Orders!A1695</f>
        <v>ORD-01694</v>
      </c>
      <c r="B1695" s="46" t="str">
        <f aca="false">PROPER(TRIM(Orders!K1695))</f>
        <v>Bengaluru</v>
      </c>
      <c r="C1695" s="46" t="str">
        <f aca="false">IFERROR(VLOOKUP(Orders!D1695,Products!$A$2:$F$61,3,FALSE()),"Not Found")</f>
        <v>Electronics</v>
      </c>
      <c r="D1695" s="46" t="str">
        <f aca="false">IFERROR(VLOOKUP(Orders!C1695,Customers!$A$2:$F$301,5,FALSE()),"Not Found")</f>
        <v>Retail</v>
      </c>
      <c r="E1695" s="46" t="n">
        <f aca="false">IFERROR(VLOOKUP(Orders!C1695,Customers!$A$2:$F$301,3,FALSE()),"Not Found")</f>
        <v>54</v>
      </c>
      <c r="F1695" s="46" t="str">
        <f aca="false">IFERROR(VLOOKUP(Orders!E1695,Sales_Reps!$A$2:$E$31,3,FALSE()),"Not Found")</f>
        <v>North</v>
      </c>
      <c r="G1695" s="46" t="n">
        <f aca="false">IFERROR(VLOOKUP(Orders!D1695,Products!$A$2:$F$61,4,FALSE()),"")</f>
        <v>517</v>
      </c>
      <c r="H1695" s="47" t="n">
        <f aca="false">IF(G1695="","",(Orders!G1695-G1695)/Orders!G1695)</f>
        <v>0.576229508196721</v>
      </c>
      <c r="I1695" s="46"/>
      <c r="J1695" s="46"/>
      <c r="K1695" s="46"/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  <c r="AE1695" s="46"/>
      <c r="AF1695" s="46"/>
      <c r="AG1695" s="46"/>
      <c r="AH1695" s="46"/>
      <c r="AI1695" s="46"/>
      <c r="AJ1695" s="46"/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</row>
    <row r="1696" customFormat="false" ht="15" hidden="false" customHeight="false" outlineLevel="0" collapsed="false">
      <c r="A1696" s="46" t="str">
        <f aca="false">Orders!A1696</f>
        <v>ORD-01695</v>
      </c>
      <c r="B1696" s="46" t="str">
        <f aca="false">PROPER(TRIM(Orders!K1696))</f>
        <v>Delhi</v>
      </c>
      <c r="C1696" s="46" t="str">
        <f aca="false">IFERROR(VLOOKUP(Orders!D1696,Products!$A$2:$F$61,3,FALSE()),"Not Found")</f>
        <v>Home</v>
      </c>
      <c r="D1696" s="46" t="str">
        <f aca="false">IFERROR(VLOOKUP(Orders!C1696,Customers!$A$2:$F$301,5,FALSE()),"Not Found")</f>
        <v>Retail</v>
      </c>
      <c r="E1696" s="46" t="n">
        <f aca="false">IFERROR(VLOOKUP(Orders!C1696,Customers!$A$2:$F$301,3,FALSE()),"Not Found")</f>
        <v>31</v>
      </c>
      <c r="F1696" s="46" t="str">
        <f aca="false">IFERROR(VLOOKUP(Orders!E1696,Sales_Reps!$A$2:$E$31,3,FALSE()),"Not Found")</f>
        <v>East</v>
      </c>
      <c r="G1696" s="46" t="n">
        <f aca="false">IFERROR(VLOOKUP(Orders!D1696,Products!$A$2:$F$61,4,FALSE()),"")</f>
        <v>464</v>
      </c>
      <c r="H1696" s="47" t="n">
        <f aca="false">IF(G1696="","",(Orders!G1696-G1696)/Orders!G1696)</f>
        <v>0.574311926605505</v>
      </c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46"/>
      <c r="AE1696" s="46"/>
      <c r="AF1696" s="46"/>
      <c r="AG1696" s="46"/>
      <c r="AH1696" s="46"/>
      <c r="AI1696" s="46"/>
      <c r="AJ1696" s="46"/>
      <c r="AK1696" s="4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</row>
    <row r="1697" customFormat="false" ht="15" hidden="false" customHeight="false" outlineLevel="0" collapsed="false">
      <c r="A1697" s="46" t="str">
        <f aca="false">Orders!A1697</f>
        <v>ORD-01696</v>
      </c>
      <c r="B1697" s="46" t="str">
        <f aca="false">PROPER(TRIM(Orders!K1697))</f>
        <v>Bengaluru</v>
      </c>
      <c r="C1697" s="46" t="str">
        <f aca="false">IFERROR(VLOOKUP(Orders!D1697,Products!$A$2:$F$61,3,FALSE()),"Not Found")</f>
        <v>Grocery</v>
      </c>
      <c r="D1697" s="46" t="str">
        <f aca="false">IFERROR(VLOOKUP(Orders!C1697,Customers!$A$2:$F$301,5,FALSE()),"Not Found")</f>
        <v>Retail</v>
      </c>
      <c r="E1697" s="46" t="n">
        <f aca="false">IFERROR(VLOOKUP(Orders!C1697,Customers!$A$2:$F$301,3,FALSE()),"Not Found")</f>
        <v>28</v>
      </c>
      <c r="F1697" s="46" t="str">
        <f aca="false">IFERROR(VLOOKUP(Orders!E1697,Sales_Reps!$A$2:$E$31,3,FALSE()),"Not Found")</f>
        <v>East</v>
      </c>
      <c r="G1697" s="46" t="n">
        <f aca="false">IFERROR(VLOOKUP(Orders!D1697,Products!$A$2:$F$61,4,FALSE()),"")</f>
        <v>1435</v>
      </c>
      <c r="H1697" s="47" t="n">
        <f aca="false">IF(G1697="","",(Orders!G1697-G1697)/Orders!G1697)</f>
        <v>0.480072463768116</v>
      </c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</row>
    <row r="1698" customFormat="false" ht="15" hidden="false" customHeight="false" outlineLevel="0" collapsed="false">
      <c r="A1698" s="46" t="str">
        <f aca="false">Orders!A1698</f>
        <v>ORD-01697</v>
      </c>
      <c r="B1698" s="46" t="str">
        <f aca="false">PROPER(TRIM(Orders!K1698))</f>
        <v>Hyderabad</v>
      </c>
      <c r="C1698" s="46" t="str">
        <f aca="false">IFERROR(VLOOKUP(Orders!D1698,Products!$A$2:$F$61,3,FALSE()),"Not Found")</f>
        <v>Electronics</v>
      </c>
      <c r="D1698" s="46" t="str">
        <f aca="false">IFERROR(VLOOKUP(Orders!C1698,Customers!$A$2:$F$301,5,FALSE()),"Not Found")</f>
        <v>SMB</v>
      </c>
      <c r="E1698" s="46" t="n">
        <f aca="false">IFERROR(VLOOKUP(Orders!C1698,Customers!$A$2:$F$301,3,FALSE()),"Not Found")</f>
        <v>43</v>
      </c>
      <c r="F1698" s="46" t="str">
        <f aca="false">IFERROR(VLOOKUP(Orders!E1698,Sales_Reps!$A$2:$E$31,3,FALSE()),"Not Found")</f>
        <v>West</v>
      </c>
      <c r="G1698" s="46" t="n">
        <f aca="false">IFERROR(VLOOKUP(Orders!D1698,Products!$A$2:$F$61,4,FALSE()),"")</f>
        <v>1665</v>
      </c>
      <c r="H1698" s="47" t="n">
        <f aca="false">IF(G1698="","",(Orders!G1698-G1698)/Orders!G1698)</f>
        <v>0.533613445378151</v>
      </c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</row>
    <row r="1699" customFormat="false" ht="15" hidden="false" customHeight="false" outlineLevel="0" collapsed="false">
      <c r="A1699" s="46" t="str">
        <f aca="false">Orders!A1699</f>
        <v>ORD-01698</v>
      </c>
      <c r="B1699" s="46" t="str">
        <f aca="false">PROPER(TRIM(Orders!K1699))</f>
        <v>Hyderabad</v>
      </c>
      <c r="C1699" s="46" t="str">
        <f aca="false">IFERROR(VLOOKUP(Orders!D1699,Products!$A$2:$F$61,3,FALSE()),"Not Found")</f>
        <v>Electronics</v>
      </c>
      <c r="D1699" s="46" t="str">
        <f aca="false">IFERROR(VLOOKUP(Orders!C1699,Customers!$A$2:$F$301,5,FALSE()),"Not Found")</f>
        <v>Retail</v>
      </c>
      <c r="E1699" s="46" t="n">
        <f aca="false">IFERROR(VLOOKUP(Orders!C1699,Customers!$A$2:$F$301,3,FALSE()),"Not Found")</f>
        <v>28</v>
      </c>
      <c r="F1699" s="46" t="str">
        <f aca="false">IFERROR(VLOOKUP(Orders!E1699,Sales_Reps!$A$2:$E$31,3,FALSE()),"Not Found")</f>
        <v>North</v>
      </c>
      <c r="G1699" s="46" t="n">
        <f aca="false">IFERROR(VLOOKUP(Orders!D1699,Products!$A$2:$F$61,4,FALSE()),"")</f>
        <v>517</v>
      </c>
      <c r="H1699" s="47" t="n">
        <f aca="false">IF(G1699="","",(Orders!G1699-G1699)/Orders!G1699)</f>
        <v>0.576229508196721</v>
      </c>
      <c r="I1699" s="46"/>
      <c r="J1699" s="46"/>
      <c r="K1699" s="46"/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6"/>
      <c r="AG1699" s="46"/>
      <c r="AH1699" s="46"/>
      <c r="AI1699" s="46"/>
      <c r="AJ1699" s="46"/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</row>
    <row r="1700" customFormat="false" ht="15" hidden="false" customHeight="false" outlineLevel="0" collapsed="false">
      <c r="A1700" s="46" t="str">
        <f aca="false">Orders!A1700</f>
        <v>ORD-01699</v>
      </c>
      <c r="B1700" s="46" t="str">
        <f aca="false">PROPER(TRIM(Orders!K1700))</f>
        <v>Pune</v>
      </c>
      <c r="C1700" s="46" t="str">
        <f aca="false">IFERROR(VLOOKUP(Orders!D1700,Products!$A$2:$F$61,3,FALSE()),"Not Found")</f>
        <v>Sports</v>
      </c>
      <c r="D1700" s="46" t="str">
        <f aca="false">IFERROR(VLOOKUP(Orders!C1700,Customers!$A$2:$F$301,5,FALSE()),"Not Found")</f>
        <v>Retail</v>
      </c>
      <c r="E1700" s="46" t="n">
        <f aca="false">IFERROR(VLOOKUP(Orders!C1700,Customers!$A$2:$F$301,3,FALSE()),"Not Found")</f>
        <v>39</v>
      </c>
      <c r="F1700" s="46" t="str">
        <f aca="false">IFERROR(VLOOKUP(Orders!E1700,Sales_Reps!$A$2:$E$31,3,FALSE()),"Not Found")</f>
        <v>West</v>
      </c>
      <c r="G1700" s="46" t="n">
        <f aca="false">IFERROR(VLOOKUP(Orders!D1700,Products!$A$2:$F$61,4,FALSE()),"")</f>
        <v>2467</v>
      </c>
      <c r="H1700" s="47" t="n">
        <f aca="false">IF(G1700="","",(Orders!G1700-G1700)/Orders!G1700)</f>
        <v>0.284927536231884</v>
      </c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46"/>
      <c r="AE1700" s="46"/>
      <c r="AF1700" s="46"/>
      <c r="AG1700" s="46"/>
      <c r="AH1700" s="46"/>
      <c r="AI1700" s="46"/>
      <c r="AJ1700" s="46"/>
      <c r="AK1700" s="4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</row>
    <row r="1701" customFormat="false" ht="15" hidden="false" customHeight="false" outlineLevel="0" collapsed="false">
      <c r="A1701" s="46" t="str">
        <f aca="false">Orders!A1701</f>
        <v>ORD-01700</v>
      </c>
      <c r="B1701" s="46" t="str">
        <f aca="false">PROPER(TRIM(Orders!K1701))</f>
        <v>Mumbai</v>
      </c>
      <c r="C1701" s="46" t="str">
        <f aca="false">IFERROR(VLOOKUP(Orders!D1701,Products!$A$2:$F$61,3,FALSE()),"Not Found")</f>
        <v>Grocery</v>
      </c>
      <c r="D1701" s="46" t="str">
        <f aca="false">IFERROR(VLOOKUP(Orders!C1701,Customers!$A$2:$F$301,5,FALSE()),"Not Found")</f>
        <v>Retail</v>
      </c>
      <c r="E1701" s="46" t="n">
        <f aca="false">IFERROR(VLOOKUP(Orders!C1701,Customers!$A$2:$F$301,3,FALSE()),"Not Found")</f>
        <v>36</v>
      </c>
      <c r="F1701" s="46" t="str">
        <f aca="false">IFERROR(VLOOKUP(Orders!E1701,Sales_Reps!$A$2:$E$31,3,FALSE()),"Not Found")</f>
        <v>North</v>
      </c>
      <c r="G1701" s="46" t="n">
        <f aca="false">IFERROR(VLOOKUP(Orders!D1701,Products!$A$2:$F$61,4,FALSE()),"")</f>
        <v>1010</v>
      </c>
      <c r="H1701" s="47" t="n">
        <f aca="false">IF(G1701="","",(Orders!G1701-G1701)/Orders!G1701)</f>
        <v>0.542986425339367</v>
      </c>
      <c r="I1701" s="46"/>
      <c r="J1701" s="46"/>
      <c r="K1701" s="46"/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46"/>
      <c r="AE1701" s="46"/>
      <c r="AF1701" s="46"/>
      <c r="AG1701" s="46"/>
      <c r="AH1701" s="46"/>
      <c r="AI1701" s="46"/>
      <c r="AJ1701" s="46"/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</row>
    <row r="1702" customFormat="false" ht="15" hidden="false" customHeight="false" outlineLevel="0" collapsed="false">
      <c r="A1702" s="46" t="str">
        <f aca="false">Orders!A1702</f>
        <v>ORD-01701</v>
      </c>
      <c r="B1702" s="46" t="str">
        <f aca="false">PROPER(TRIM(Orders!K1702))</f>
        <v>Bengaluru</v>
      </c>
      <c r="C1702" s="46" t="str">
        <f aca="false">IFERROR(VLOOKUP(Orders!D1702,Products!$A$2:$F$61,3,FALSE()),"Not Found")</f>
        <v>Apparel</v>
      </c>
      <c r="D1702" s="46" t="str">
        <f aca="false">IFERROR(VLOOKUP(Orders!C1702,Customers!$A$2:$F$301,5,FALSE()),"Not Found")</f>
        <v>Corporate</v>
      </c>
      <c r="E1702" s="46" t="n">
        <f aca="false">IFERROR(VLOOKUP(Orders!C1702,Customers!$A$2:$F$301,3,FALSE()),"Not Found")</f>
        <v>42</v>
      </c>
      <c r="F1702" s="46" t="str">
        <f aca="false">IFERROR(VLOOKUP(Orders!E1702,Sales_Reps!$A$2:$E$31,3,FALSE()),"Not Found")</f>
        <v>West</v>
      </c>
      <c r="G1702" s="46" t="n">
        <f aca="false">IFERROR(VLOOKUP(Orders!D1702,Products!$A$2:$F$61,4,FALSE()),"")</f>
        <v>1173</v>
      </c>
      <c r="H1702" s="47" t="n">
        <f aca="false">IF(G1702="","",(Orders!G1702-G1702)/Orders!G1702)</f>
        <v>0.527016129032258</v>
      </c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  <c r="AE1702" s="46"/>
      <c r="AF1702" s="46"/>
      <c r="AG1702" s="46"/>
      <c r="AH1702" s="46"/>
      <c r="AI1702" s="46"/>
      <c r="AJ1702" s="46"/>
      <c r="AK1702" s="4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</row>
    <row r="1703" customFormat="false" ht="15" hidden="false" customHeight="false" outlineLevel="0" collapsed="false">
      <c r="A1703" s="46" t="str">
        <f aca="false">Orders!A1703</f>
        <v>ORD-01702</v>
      </c>
      <c r="B1703" s="46" t="str">
        <f aca="false">PROPER(TRIM(Orders!K1703))</f>
        <v>Pune</v>
      </c>
      <c r="C1703" s="46" t="str">
        <f aca="false">IFERROR(VLOOKUP(Orders!D1703,Products!$A$2:$F$61,3,FALSE()),"Not Found")</f>
        <v>Home</v>
      </c>
      <c r="D1703" s="46" t="str">
        <f aca="false">IFERROR(VLOOKUP(Orders!C1703,Customers!$A$2:$F$301,5,FALSE()),"Not Found")</f>
        <v>Retail</v>
      </c>
      <c r="E1703" s="46" t="n">
        <f aca="false">IFERROR(VLOOKUP(Orders!C1703,Customers!$A$2:$F$301,3,FALSE()),"Not Found")</f>
        <v>39</v>
      </c>
      <c r="F1703" s="46" t="str">
        <f aca="false">IFERROR(VLOOKUP(Orders!E1703,Sales_Reps!$A$2:$E$31,3,FALSE()),"Not Found")</f>
        <v>East</v>
      </c>
      <c r="G1703" s="46" t="n">
        <f aca="false">IFERROR(VLOOKUP(Orders!D1703,Products!$A$2:$F$61,4,FALSE()),"")</f>
        <v>1556</v>
      </c>
      <c r="H1703" s="47" t="n">
        <f aca="false">IF(G1703="","",(Orders!G1703-G1703)/Orders!G1703)</f>
        <v>0.521230769230769</v>
      </c>
      <c r="I1703" s="46"/>
      <c r="J1703" s="46"/>
      <c r="K1703" s="46"/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</row>
    <row r="1704" customFormat="false" ht="15" hidden="false" customHeight="false" outlineLevel="0" collapsed="false">
      <c r="A1704" s="46" t="str">
        <f aca="false">Orders!A1704</f>
        <v>ORD-01703</v>
      </c>
      <c r="B1704" s="46" t="str">
        <f aca="false">PROPER(TRIM(Orders!K1704))</f>
        <v>Bengaluru</v>
      </c>
      <c r="C1704" s="46" t="str">
        <f aca="false">IFERROR(VLOOKUP(Orders!D1704,Products!$A$2:$F$61,3,FALSE()),"Not Found")</f>
        <v>Sports</v>
      </c>
      <c r="D1704" s="46" t="str">
        <f aca="false">IFERROR(VLOOKUP(Orders!C1704,Customers!$A$2:$F$301,5,FALSE()),"Not Found")</f>
        <v>Retail</v>
      </c>
      <c r="E1704" s="46" t="n">
        <f aca="false">IFERROR(VLOOKUP(Orders!C1704,Customers!$A$2:$F$301,3,FALSE()),"Not Found")</f>
        <v>37</v>
      </c>
      <c r="F1704" s="46" t="str">
        <f aca="false">IFERROR(VLOOKUP(Orders!E1704,Sales_Reps!$A$2:$E$31,3,FALSE()),"Not Found")</f>
        <v>North</v>
      </c>
      <c r="G1704" s="46" t="n">
        <f aca="false">IFERROR(VLOOKUP(Orders!D1704,Products!$A$2:$F$61,4,FALSE()),"")</f>
        <v>974</v>
      </c>
      <c r="H1704" s="47" t="n">
        <f aca="false">IF(G1704="","",(Orders!G1704-G1704)/Orders!G1704)</f>
        <v>0.594166666666667</v>
      </c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</row>
    <row r="1705" customFormat="false" ht="15" hidden="false" customHeight="false" outlineLevel="0" collapsed="false">
      <c r="A1705" s="46" t="str">
        <f aca="false">Orders!A1705</f>
        <v>ORD-01704</v>
      </c>
      <c r="B1705" s="46" t="str">
        <f aca="false">PROPER(TRIM(Orders!K1705))</f>
        <v>Delhi</v>
      </c>
      <c r="C1705" s="46" t="str">
        <f aca="false">IFERROR(VLOOKUP(Orders!D1705,Products!$A$2:$F$61,3,FALSE()),"Not Found")</f>
        <v>Sports</v>
      </c>
      <c r="D1705" s="46" t="str">
        <f aca="false">IFERROR(VLOOKUP(Orders!C1705,Customers!$A$2:$F$301,5,FALSE()),"Not Found")</f>
        <v>Retail</v>
      </c>
      <c r="E1705" s="46" t="n">
        <f aca="false">IFERROR(VLOOKUP(Orders!C1705,Customers!$A$2:$F$301,3,FALSE()),"Not Found")</f>
        <v>35</v>
      </c>
      <c r="F1705" s="46" t="str">
        <f aca="false">IFERROR(VLOOKUP(Orders!E1705,Sales_Reps!$A$2:$E$31,3,FALSE()),"Not Found")</f>
        <v>North</v>
      </c>
      <c r="G1705" s="46" t="n">
        <f aca="false">IFERROR(VLOOKUP(Orders!D1705,Products!$A$2:$F$61,4,FALSE()),"")</f>
        <v>2265</v>
      </c>
      <c r="H1705" s="47" t="n">
        <f aca="false">IF(G1705="","",(Orders!G1705-G1705)/Orders!G1705)</f>
        <v>0.581330868761553</v>
      </c>
      <c r="I1705" s="46"/>
      <c r="J1705" s="46"/>
      <c r="K1705" s="46"/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  <c r="AB1705" s="46"/>
      <c r="AC1705" s="46"/>
      <c r="AD1705" s="46"/>
      <c r="AE1705" s="46"/>
      <c r="AF1705" s="46"/>
      <c r="AG1705" s="46"/>
      <c r="AH1705" s="46"/>
      <c r="AI1705" s="46"/>
      <c r="AJ1705" s="46"/>
      <c r="AK1705" s="4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</row>
    <row r="1706" customFormat="false" ht="15" hidden="false" customHeight="false" outlineLevel="0" collapsed="false">
      <c r="A1706" s="46" t="str">
        <f aca="false">Orders!A1706</f>
        <v>ORD-01705</v>
      </c>
      <c r="B1706" s="46" t="str">
        <f aca="false">PROPER(TRIM(Orders!K1706))</f>
        <v>Bengaluru</v>
      </c>
      <c r="C1706" s="46" t="str">
        <f aca="false">IFERROR(VLOOKUP(Orders!D1706,Products!$A$2:$F$61,3,FALSE()),"Not Found")</f>
        <v>Electronics</v>
      </c>
      <c r="D1706" s="46" t="str">
        <f aca="false">IFERROR(VLOOKUP(Orders!C1706,Customers!$A$2:$F$301,5,FALSE()),"Not Found")</f>
        <v>Retail</v>
      </c>
      <c r="E1706" s="46" t="n">
        <f aca="false">IFERROR(VLOOKUP(Orders!C1706,Customers!$A$2:$F$301,3,FALSE()),"Not Found")</f>
        <v>52</v>
      </c>
      <c r="F1706" s="46" t="str">
        <f aca="false">IFERROR(VLOOKUP(Orders!E1706,Sales_Reps!$A$2:$E$31,3,FALSE()),"Not Found")</f>
        <v>East</v>
      </c>
      <c r="G1706" s="46" t="n">
        <f aca="false">IFERROR(VLOOKUP(Orders!D1706,Products!$A$2:$F$61,4,FALSE()),"")</f>
        <v>1052</v>
      </c>
      <c r="H1706" s="47" t="n">
        <f aca="false">IF(G1706="","",(Orders!G1706-G1706)/Orders!G1706)</f>
        <v>0.595384615384615</v>
      </c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</row>
    <row r="1707" customFormat="false" ht="15" hidden="false" customHeight="false" outlineLevel="0" collapsed="false">
      <c r="A1707" s="46" t="str">
        <f aca="false">Orders!A1707</f>
        <v>ORD-01706</v>
      </c>
      <c r="B1707" s="46" t="str">
        <f aca="false">PROPER(TRIM(Orders!K1707))</f>
        <v>Mumbai</v>
      </c>
      <c r="C1707" s="46" t="str">
        <f aca="false">IFERROR(VLOOKUP(Orders!D1707,Products!$A$2:$F$61,3,FALSE()),"Not Found")</f>
        <v>Grocery</v>
      </c>
      <c r="D1707" s="46" t="str">
        <f aca="false">IFERROR(VLOOKUP(Orders!C1707,Customers!$A$2:$F$301,5,FALSE()),"Not Found")</f>
        <v>Retail</v>
      </c>
      <c r="E1707" s="46" t="n">
        <f aca="false">IFERROR(VLOOKUP(Orders!C1707,Customers!$A$2:$F$301,3,FALSE()),"Not Found")</f>
        <v>25</v>
      </c>
      <c r="F1707" s="46" t="str">
        <f aca="false">IFERROR(VLOOKUP(Orders!E1707,Sales_Reps!$A$2:$E$31,3,FALSE()),"Not Found")</f>
        <v>North</v>
      </c>
      <c r="G1707" s="46" t="n">
        <f aca="false">IFERROR(VLOOKUP(Orders!D1707,Products!$A$2:$F$61,4,FALSE()),"")</f>
        <v>2911</v>
      </c>
      <c r="H1707" s="47" t="n">
        <f aca="false">IF(G1707="","",(Orders!G1707-G1707)/Orders!G1707)</f>
        <v>0.283004926108374</v>
      </c>
      <c r="I1707" s="46"/>
      <c r="J1707" s="46"/>
      <c r="K1707" s="46"/>
      <c r="L1707" s="46"/>
      <c r="M1707" s="46"/>
      <c r="N1707" s="46"/>
      <c r="O1707" s="46"/>
      <c r="P1707" s="46"/>
      <c r="Q1707" s="46"/>
      <c r="R1707" s="46"/>
      <c r="S1707" s="46"/>
      <c r="T1707" s="46"/>
      <c r="U1707" s="46"/>
      <c r="V1707" s="46"/>
      <c r="W1707" s="46"/>
      <c r="X1707" s="46"/>
      <c r="Y1707" s="46"/>
      <c r="Z1707" s="46"/>
      <c r="AA1707" s="46"/>
      <c r="AB1707" s="46"/>
      <c r="AC1707" s="46"/>
      <c r="AD1707" s="46"/>
      <c r="AE1707" s="46"/>
      <c r="AF1707" s="46"/>
      <c r="AG1707" s="46"/>
      <c r="AH1707" s="46"/>
      <c r="AI1707" s="46"/>
      <c r="AJ1707" s="46"/>
      <c r="AK1707" s="4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</row>
    <row r="1708" customFormat="false" ht="15" hidden="false" customHeight="false" outlineLevel="0" collapsed="false">
      <c r="A1708" s="46" t="str">
        <f aca="false">Orders!A1708</f>
        <v>ORD-01707</v>
      </c>
      <c r="B1708" s="46" t="str">
        <f aca="false">PROPER(TRIM(Orders!K1708))</f>
        <v>Mumbai</v>
      </c>
      <c r="C1708" s="46" t="str">
        <f aca="false">IFERROR(VLOOKUP(Orders!D1708,Products!$A$2:$F$61,3,FALSE()),"Not Found")</f>
        <v>Electronics</v>
      </c>
      <c r="D1708" s="46" t="str">
        <f aca="false">IFERROR(VLOOKUP(Orders!C1708,Customers!$A$2:$F$301,5,FALSE()),"Not Found")</f>
        <v>Retail</v>
      </c>
      <c r="E1708" s="46" t="n">
        <f aca="false">IFERROR(VLOOKUP(Orders!C1708,Customers!$A$2:$F$301,3,FALSE()),"Not Found")</f>
        <v>56</v>
      </c>
      <c r="F1708" s="46" t="str">
        <f aca="false">IFERROR(VLOOKUP(Orders!E1708,Sales_Reps!$A$2:$E$31,3,FALSE()),"Not Found")</f>
        <v>East</v>
      </c>
      <c r="G1708" s="46" t="n">
        <f aca="false">IFERROR(VLOOKUP(Orders!D1708,Products!$A$2:$F$61,4,FALSE()),"")</f>
        <v>2405</v>
      </c>
      <c r="H1708" s="47" t="n">
        <f aca="false">IF(G1708="","",(Orders!G1708-G1708)/Orders!G1708)</f>
        <v>0.548780487804878</v>
      </c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</row>
    <row r="1709" customFormat="false" ht="15" hidden="false" customHeight="false" outlineLevel="0" collapsed="false">
      <c r="A1709" s="46" t="str">
        <f aca="false">Orders!A1709</f>
        <v>ORD-01708</v>
      </c>
      <c r="B1709" s="46" t="str">
        <f aca="false">PROPER(TRIM(Orders!K1709))</f>
        <v>Hyderabad</v>
      </c>
      <c r="C1709" s="46" t="str">
        <f aca="false">IFERROR(VLOOKUP(Orders!D1709,Products!$A$2:$F$61,3,FALSE()),"Not Found")</f>
        <v>Beauty</v>
      </c>
      <c r="D1709" s="46" t="str">
        <f aca="false">IFERROR(VLOOKUP(Orders!C1709,Customers!$A$2:$F$301,5,FALSE()),"Not Found")</f>
        <v>Retail</v>
      </c>
      <c r="E1709" s="46" t="n">
        <f aca="false">IFERROR(VLOOKUP(Orders!C1709,Customers!$A$2:$F$301,3,FALSE()),"Not Found")</f>
        <v>29</v>
      </c>
      <c r="F1709" s="46" t="str">
        <f aca="false">IFERROR(VLOOKUP(Orders!E1709,Sales_Reps!$A$2:$E$31,3,FALSE()),"Not Found")</f>
        <v>West</v>
      </c>
      <c r="G1709" s="46" t="n">
        <f aca="false">IFERROR(VLOOKUP(Orders!D1709,Products!$A$2:$F$61,4,FALSE()),"")</f>
        <v>1728</v>
      </c>
      <c r="H1709" s="47" t="n">
        <f aca="false">IF(G1709="","",(Orders!G1709-G1709)/Orders!G1709)</f>
        <v>0.484179104477612</v>
      </c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46"/>
      <c r="AE1709" s="46"/>
      <c r="AF1709" s="46"/>
      <c r="AG1709" s="46"/>
      <c r="AH1709" s="46"/>
      <c r="AI1709" s="46"/>
      <c r="AJ1709" s="46"/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</row>
    <row r="1710" customFormat="false" ht="15" hidden="false" customHeight="false" outlineLevel="0" collapsed="false">
      <c r="A1710" s="46" t="str">
        <f aca="false">Orders!A1710</f>
        <v>ORD-01709</v>
      </c>
      <c r="B1710" s="46" t="str">
        <f aca="false">PROPER(TRIM(Orders!K1710))</f>
        <v>Mumbai</v>
      </c>
      <c r="C1710" s="46" t="str">
        <f aca="false">IFERROR(VLOOKUP(Orders!D1710,Products!$A$2:$F$61,3,FALSE()),"Not Found")</f>
        <v>Apparel</v>
      </c>
      <c r="D1710" s="46" t="str">
        <f aca="false">IFERROR(VLOOKUP(Orders!C1710,Customers!$A$2:$F$301,5,FALSE()),"Not Found")</f>
        <v>SMB</v>
      </c>
      <c r="E1710" s="46" t="n">
        <f aca="false">IFERROR(VLOOKUP(Orders!C1710,Customers!$A$2:$F$301,3,FALSE()),"Not Found")</f>
        <v>61</v>
      </c>
      <c r="F1710" s="46" t="str">
        <f aca="false">IFERROR(VLOOKUP(Orders!E1710,Sales_Reps!$A$2:$E$31,3,FALSE()),"Not Found")</f>
        <v>South</v>
      </c>
      <c r="G1710" s="46" t="n">
        <f aca="false">IFERROR(VLOOKUP(Orders!D1710,Products!$A$2:$F$61,4,FALSE()),"")</f>
        <v>1075</v>
      </c>
      <c r="H1710" s="47" t="n">
        <f aca="false">IF(G1710="","",(Orders!G1710-G1710)/Orders!G1710)</f>
        <v>0.571713147410359</v>
      </c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</row>
    <row r="1711" customFormat="false" ht="15" hidden="false" customHeight="false" outlineLevel="0" collapsed="false">
      <c r="A1711" s="46" t="str">
        <f aca="false">Orders!A1711</f>
        <v>ORD-01710</v>
      </c>
      <c r="B1711" s="46" t="str">
        <f aca="false">PROPER(TRIM(Orders!K1711))</f>
        <v>Pune</v>
      </c>
      <c r="C1711" s="46" t="str">
        <f aca="false">IFERROR(VLOOKUP(Orders!D1711,Products!$A$2:$F$61,3,FALSE()),"Not Found")</f>
        <v>Beauty</v>
      </c>
      <c r="D1711" s="46" t="str">
        <f aca="false">IFERROR(VLOOKUP(Orders!C1711,Customers!$A$2:$F$301,5,FALSE()),"Not Found")</f>
        <v>SMB</v>
      </c>
      <c r="E1711" s="46" t="n">
        <f aca="false">IFERROR(VLOOKUP(Orders!C1711,Customers!$A$2:$F$301,3,FALSE()),"Not Found")</f>
        <v>44</v>
      </c>
      <c r="F1711" s="46" t="str">
        <f aca="false">IFERROR(VLOOKUP(Orders!E1711,Sales_Reps!$A$2:$E$31,3,FALSE()),"Not Found")</f>
        <v>East</v>
      </c>
      <c r="G1711" s="46" t="n">
        <f aca="false">IFERROR(VLOOKUP(Orders!D1711,Products!$A$2:$F$61,4,FALSE()),"")</f>
        <v>1626</v>
      </c>
      <c r="H1711" s="47" t="n">
        <f aca="false">IF(G1711="","",(Orders!G1711-G1711)/Orders!G1711)</f>
        <v>0.46158940397351</v>
      </c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46"/>
      <c r="AE1711" s="46"/>
      <c r="AF1711" s="46"/>
      <c r="AG1711" s="46"/>
      <c r="AH1711" s="46"/>
      <c r="AI1711" s="46"/>
      <c r="AJ1711" s="46"/>
      <c r="AK1711" s="4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</row>
    <row r="1712" customFormat="false" ht="15" hidden="false" customHeight="false" outlineLevel="0" collapsed="false">
      <c r="A1712" s="46" t="str">
        <f aca="false">Orders!A1712</f>
        <v>ORD-01711</v>
      </c>
      <c r="B1712" s="46" t="str">
        <f aca="false">PROPER(TRIM(Orders!K1712))</f>
        <v>Mumbai</v>
      </c>
      <c r="C1712" s="46" t="str">
        <f aca="false">IFERROR(VLOOKUP(Orders!D1712,Products!$A$2:$F$61,3,FALSE()),"Not Found")</f>
        <v>Apparel</v>
      </c>
      <c r="D1712" s="46" t="str">
        <f aca="false">IFERROR(VLOOKUP(Orders!C1712,Customers!$A$2:$F$301,5,FALSE()),"Not Found")</f>
        <v>Retail</v>
      </c>
      <c r="E1712" s="46" t="n">
        <f aca="false">IFERROR(VLOOKUP(Orders!C1712,Customers!$A$2:$F$301,3,FALSE()),"Not Found")</f>
        <v>40</v>
      </c>
      <c r="F1712" s="46" t="str">
        <f aca="false">IFERROR(VLOOKUP(Orders!E1712,Sales_Reps!$A$2:$E$31,3,FALSE()),"Not Found")</f>
        <v>West</v>
      </c>
      <c r="G1712" s="46" t="n">
        <f aca="false">IFERROR(VLOOKUP(Orders!D1712,Products!$A$2:$F$61,4,FALSE()),"")</f>
        <v>391</v>
      </c>
      <c r="H1712" s="47" t="n">
        <f aca="false">IF(G1712="","",(Orders!G1712-G1712)/Orders!G1712)</f>
        <v>0.523170731707317</v>
      </c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  <c r="AA1712" s="46"/>
      <c r="AB1712" s="46"/>
      <c r="AC1712" s="46"/>
      <c r="AD1712" s="46"/>
      <c r="AE1712" s="46"/>
      <c r="AF1712" s="46"/>
      <c r="AG1712" s="46"/>
      <c r="AH1712" s="46"/>
      <c r="AI1712" s="46"/>
      <c r="AJ1712" s="46"/>
      <c r="AK1712" s="4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</row>
    <row r="1713" customFormat="false" ht="15" hidden="false" customHeight="false" outlineLevel="0" collapsed="false">
      <c r="A1713" s="46" t="str">
        <f aca="false">Orders!A1713</f>
        <v>ORD-01712</v>
      </c>
      <c r="B1713" s="46" t="str">
        <f aca="false">PROPER(TRIM(Orders!K1713))</f>
        <v>Delhi</v>
      </c>
      <c r="C1713" s="46" t="str">
        <f aca="false">IFERROR(VLOOKUP(Orders!D1713,Products!$A$2:$F$61,3,FALSE()),"Not Found")</f>
        <v>Apparel</v>
      </c>
      <c r="D1713" s="46" t="str">
        <f aca="false">IFERROR(VLOOKUP(Orders!C1713,Customers!$A$2:$F$301,5,FALSE()),"Not Found")</f>
        <v>Retail</v>
      </c>
      <c r="E1713" s="46" t="n">
        <f aca="false">IFERROR(VLOOKUP(Orders!C1713,Customers!$A$2:$F$301,3,FALSE()),"Not Found")</f>
        <v>47</v>
      </c>
      <c r="F1713" s="46" t="str">
        <f aca="false">IFERROR(VLOOKUP(Orders!E1713,Sales_Reps!$A$2:$E$31,3,FALSE()),"Not Found")</f>
        <v>West</v>
      </c>
      <c r="G1713" s="46" t="n">
        <f aca="false">IFERROR(VLOOKUP(Orders!D1713,Products!$A$2:$F$61,4,FALSE()),"")</f>
        <v>1886</v>
      </c>
      <c r="H1713" s="47" t="n">
        <f aca="false">IF(G1713="","",(Orders!G1713-G1713)/Orders!G1713)</f>
        <v>0.403164556962025</v>
      </c>
      <c r="I1713" s="46"/>
      <c r="J1713" s="46"/>
      <c r="K1713" s="46"/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  <c r="AE1713" s="46"/>
      <c r="AF1713" s="46"/>
      <c r="AG1713" s="46"/>
      <c r="AH1713" s="46"/>
      <c r="AI1713" s="46"/>
      <c r="AJ1713" s="46"/>
      <c r="AK1713" s="4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</row>
    <row r="1714" customFormat="false" ht="15" hidden="false" customHeight="false" outlineLevel="0" collapsed="false">
      <c r="A1714" s="46" t="str">
        <f aca="false">Orders!A1714</f>
        <v>ORD-01713</v>
      </c>
      <c r="B1714" s="46" t="str">
        <f aca="false">PROPER(TRIM(Orders!K1714))</f>
        <v>Delhi</v>
      </c>
      <c r="C1714" s="46" t="str">
        <f aca="false">IFERROR(VLOOKUP(Orders!D1714,Products!$A$2:$F$61,3,FALSE()),"Not Found")</f>
        <v>Grocery</v>
      </c>
      <c r="D1714" s="46" t="str">
        <f aca="false">IFERROR(VLOOKUP(Orders!C1714,Customers!$A$2:$F$301,5,FALSE()),"Not Found")</f>
        <v>SMB</v>
      </c>
      <c r="E1714" s="46" t="n">
        <f aca="false">IFERROR(VLOOKUP(Orders!C1714,Customers!$A$2:$F$301,3,FALSE()),"Not Found")</f>
        <v>55</v>
      </c>
      <c r="F1714" s="46" t="str">
        <f aca="false">IFERROR(VLOOKUP(Orders!E1714,Sales_Reps!$A$2:$E$31,3,FALSE()),"Not Found")</f>
        <v>South</v>
      </c>
      <c r="G1714" s="46" t="n">
        <f aca="false">IFERROR(VLOOKUP(Orders!D1714,Products!$A$2:$F$61,4,FALSE()),"")</f>
        <v>2214</v>
      </c>
      <c r="H1714" s="47" t="n">
        <f aca="false">IF(G1714="","",(Orders!G1714-G1714)/Orders!G1714)</f>
        <v>0.395081967213115</v>
      </c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46"/>
      <c r="AE1714" s="46"/>
      <c r="AF1714" s="46"/>
      <c r="AG1714" s="46"/>
      <c r="AH1714" s="46"/>
      <c r="AI1714" s="46"/>
      <c r="AJ1714" s="46"/>
      <c r="AK1714" s="4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</row>
    <row r="1715" customFormat="false" ht="15" hidden="false" customHeight="false" outlineLevel="0" collapsed="false">
      <c r="A1715" s="46" t="str">
        <f aca="false">Orders!A1715</f>
        <v>ORD-01714</v>
      </c>
      <c r="B1715" s="46" t="str">
        <f aca="false">PROPER(TRIM(Orders!K1715))</f>
        <v>Delhi</v>
      </c>
      <c r="C1715" s="46" t="str">
        <f aca="false">IFERROR(VLOOKUP(Orders!D1715,Products!$A$2:$F$61,3,FALSE()),"Not Found")</f>
        <v>Apparel</v>
      </c>
      <c r="D1715" s="46" t="str">
        <f aca="false">IFERROR(VLOOKUP(Orders!C1715,Customers!$A$2:$F$301,5,FALSE()),"Not Found")</f>
        <v>Retail</v>
      </c>
      <c r="E1715" s="46" t="n">
        <f aca="false">IFERROR(VLOOKUP(Orders!C1715,Customers!$A$2:$F$301,3,FALSE()),"Not Found")</f>
        <v>52</v>
      </c>
      <c r="F1715" s="46" t="str">
        <f aca="false">IFERROR(VLOOKUP(Orders!E1715,Sales_Reps!$A$2:$E$31,3,FALSE()),"Not Found")</f>
        <v>West</v>
      </c>
      <c r="G1715" s="46" t="n">
        <f aca="false">IFERROR(VLOOKUP(Orders!D1715,Products!$A$2:$F$61,4,FALSE()),"")</f>
        <v>391</v>
      </c>
      <c r="H1715" s="47" t="n">
        <f aca="false">IF(G1715="","",(Orders!G1715-G1715)/Orders!G1715)</f>
        <v>0.523170731707317</v>
      </c>
      <c r="I1715" s="46"/>
      <c r="J1715" s="46"/>
      <c r="K1715" s="46"/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  <c r="Y1715" s="46"/>
      <c r="Z1715" s="46"/>
      <c r="AA1715" s="46"/>
      <c r="AB1715" s="46"/>
      <c r="AC1715" s="46"/>
      <c r="AD1715" s="46"/>
      <c r="AE1715" s="46"/>
      <c r="AF1715" s="46"/>
      <c r="AG1715" s="46"/>
      <c r="AH1715" s="46"/>
      <c r="AI1715" s="46"/>
      <c r="AJ1715" s="46"/>
      <c r="AK1715" s="4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</row>
    <row r="1716" customFormat="false" ht="15" hidden="false" customHeight="false" outlineLevel="0" collapsed="false">
      <c r="A1716" s="46" t="str">
        <f aca="false">Orders!A1716</f>
        <v>ORD-01715</v>
      </c>
      <c r="B1716" s="46" t="str">
        <f aca="false">PROPER(TRIM(Orders!K1716))</f>
        <v>Hyderabad</v>
      </c>
      <c r="C1716" s="46" t="str">
        <f aca="false">IFERROR(VLOOKUP(Orders!D1716,Products!$A$2:$F$61,3,FALSE()),"Not Found")</f>
        <v>Grocery</v>
      </c>
      <c r="D1716" s="46" t="str">
        <f aca="false">IFERROR(VLOOKUP(Orders!C1716,Customers!$A$2:$F$301,5,FALSE()),"Not Found")</f>
        <v>Retail</v>
      </c>
      <c r="E1716" s="46" t="n">
        <f aca="false">IFERROR(VLOOKUP(Orders!C1716,Customers!$A$2:$F$301,3,FALSE()),"Not Found")</f>
        <v>53</v>
      </c>
      <c r="F1716" s="46" t="str">
        <f aca="false">IFERROR(VLOOKUP(Orders!E1716,Sales_Reps!$A$2:$E$31,3,FALSE()),"Not Found")</f>
        <v>East</v>
      </c>
      <c r="G1716" s="46" t="n">
        <f aca="false">IFERROR(VLOOKUP(Orders!D1716,Products!$A$2:$F$61,4,FALSE()),"")</f>
        <v>1182</v>
      </c>
      <c r="H1716" s="47" t="n">
        <f aca="false">IF(G1716="","",(Orders!G1716-G1716)/Orders!G1716)</f>
        <v>0.503361344537815</v>
      </c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  <c r="AE1716" s="46"/>
      <c r="AF1716" s="46"/>
      <c r="AG1716" s="46"/>
      <c r="AH1716" s="46"/>
      <c r="AI1716" s="46"/>
      <c r="AJ1716" s="46"/>
      <c r="AK1716" s="4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</row>
    <row r="1717" customFormat="false" ht="15" hidden="false" customHeight="false" outlineLevel="0" collapsed="false">
      <c r="A1717" s="46" t="str">
        <f aca="false">Orders!A1717</f>
        <v>ORD-01716</v>
      </c>
      <c r="B1717" s="46" t="str">
        <f aca="false">PROPER(TRIM(Orders!K1717))</f>
        <v>Hyderabad</v>
      </c>
      <c r="C1717" s="46" t="str">
        <f aca="false">IFERROR(VLOOKUP(Orders!D1717,Products!$A$2:$F$61,3,FALSE()),"Not Found")</f>
        <v>Electronics</v>
      </c>
      <c r="D1717" s="46" t="str">
        <f aca="false">IFERROR(VLOOKUP(Orders!C1717,Customers!$A$2:$F$301,5,FALSE()),"Not Found")</f>
        <v>SMB</v>
      </c>
      <c r="E1717" s="46" t="n">
        <f aca="false">IFERROR(VLOOKUP(Orders!C1717,Customers!$A$2:$F$301,3,FALSE()),"Not Found")</f>
        <v>43</v>
      </c>
      <c r="F1717" s="46" t="str">
        <f aca="false">IFERROR(VLOOKUP(Orders!E1717,Sales_Reps!$A$2:$E$31,3,FALSE()),"Not Found")</f>
        <v>South</v>
      </c>
      <c r="G1717" s="46" t="n">
        <f aca="false">IFERROR(VLOOKUP(Orders!D1717,Products!$A$2:$F$61,4,FALSE()),"")</f>
        <v>1559</v>
      </c>
      <c r="H1717" s="47" t="n">
        <f aca="false">IF(G1717="","",(Orders!G1717-G1717)/Orders!G1717)</f>
        <v>0.597157622739018</v>
      </c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  <c r="AE1717" s="46"/>
      <c r="AF1717" s="46"/>
      <c r="AG1717" s="46"/>
      <c r="AH1717" s="46"/>
      <c r="AI1717" s="46"/>
      <c r="AJ1717" s="46"/>
      <c r="AK1717" s="4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</row>
    <row r="1718" customFormat="false" ht="15" hidden="false" customHeight="false" outlineLevel="0" collapsed="false">
      <c r="A1718" s="46" t="str">
        <f aca="false">Orders!A1718</f>
        <v>ORD-01717</v>
      </c>
      <c r="B1718" s="46" t="str">
        <f aca="false">PROPER(TRIM(Orders!K1718))</f>
        <v>Chennai</v>
      </c>
      <c r="C1718" s="46" t="str">
        <f aca="false">IFERROR(VLOOKUP(Orders!D1718,Products!$A$2:$F$61,3,FALSE()),"Not Found")</f>
        <v>Electronics</v>
      </c>
      <c r="D1718" s="46" t="str">
        <f aca="false">IFERROR(VLOOKUP(Orders!C1718,Customers!$A$2:$F$301,5,FALSE()),"Not Found")</f>
        <v>Corporate</v>
      </c>
      <c r="E1718" s="46" t="n">
        <f aca="false">IFERROR(VLOOKUP(Orders!C1718,Customers!$A$2:$F$301,3,FALSE()),"Not Found")</f>
        <v>41</v>
      </c>
      <c r="F1718" s="46" t="str">
        <f aca="false">IFERROR(VLOOKUP(Orders!E1718,Sales_Reps!$A$2:$E$31,3,FALSE()),"Not Found")</f>
        <v>North</v>
      </c>
      <c r="G1718" s="46" t="n">
        <f aca="false">IFERROR(VLOOKUP(Orders!D1718,Products!$A$2:$F$61,4,FALSE()),"")</f>
        <v>128</v>
      </c>
      <c r="H1718" s="47" t="n">
        <f aca="false">IF(G1718="","",(Orders!G1718-G1718)/Orders!G1718)</f>
        <v>0.573333333333333</v>
      </c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  <c r="Y1718" s="46"/>
      <c r="Z1718" s="46"/>
      <c r="AA1718" s="46"/>
      <c r="AB1718" s="46"/>
      <c r="AC1718" s="46"/>
      <c r="AD1718" s="46"/>
      <c r="AE1718" s="46"/>
      <c r="AF1718" s="46"/>
      <c r="AG1718" s="46"/>
      <c r="AH1718" s="46"/>
      <c r="AI1718" s="46"/>
      <c r="AJ1718" s="46"/>
      <c r="AK1718" s="4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</row>
    <row r="1719" customFormat="false" ht="15" hidden="false" customHeight="false" outlineLevel="0" collapsed="false">
      <c r="A1719" s="46" t="str">
        <f aca="false">Orders!A1719</f>
        <v>ORD-01718</v>
      </c>
      <c r="B1719" s="46" t="str">
        <f aca="false">PROPER(TRIM(Orders!K1719))</f>
        <v>Bengaluru</v>
      </c>
      <c r="C1719" s="46" t="str">
        <f aca="false">IFERROR(VLOOKUP(Orders!D1719,Products!$A$2:$F$61,3,FALSE()),"Not Found")</f>
        <v>Beauty</v>
      </c>
      <c r="D1719" s="46" t="str">
        <f aca="false">IFERROR(VLOOKUP(Orders!C1719,Customers!$A$2:$F$301,5,FALSE()),"Not Found")</f>
        <v>Retail</v>
      </c>
      <c r="E1719" s="46" t="n">
        <f aca="false">IFERROR(VLOOKUP(Orders!C1719,Customers!$A$2:$F$301,3,FALSE()),"Not Found")</f>
        <v>46</v>
      </c>
      <c r="F1719" s="46" t="str">
        <f aca="false">IFERROR(VLOOKUP(Orders!E1719,Sales_Reps!$A$2:$E$31,3,FALSE()),"Not Found")</f>
        <v>West</v>
      </c>
      <c r="G1719" s="46" t="n">
        <f aca="false">IFERROR(VLOOKUP(Orders!D1719,Products!$A$2:$F$61,4,FALSE()),"")</f>
        <v>2237</v>
      </c>
      <c r="H1719" s="47" t="n">
        <f aca="false">IF(G1719="","",(Orders!G1719-G1719)/Orders!G1719)</f>
        <v>0.561372549019608</v>
      </c>
      <c r="I1719" s="46"/>
      <c r="J1719" s="46"/>
      <c r="K1719" s="46"/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  <c r="Y1719" s="46"/>
      <c r="Z1719" s="46"/>
      <c r="AA1719" s="46"/>
      <c r="AB1719" s="46"/>
      <c r="AC1719" s="46"/>
      <c r="AD1719" s="46"/>
      <c r="AE1719" s="46"/>
      <c r="AF1719" s="46"/>
      <c r="AG1719" s="46"/>
      <c r="AH1719" s="46"/>
      <c r="AI1719" s="46"/>
      <c r="AJ1719" s="46"/>
      <c r="AK1719" s="4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</row>
    <row r="1720" customFormat="false" ht="15" hidden="false" customHeight="false" outlineLevel="0" collapsed="false">
      <c r="A1720" s="46" t="str">
        <f aca="false">Orders!A1720</f>
        <v>ORD-01719</v>
      </c>
      <c r="B1720" s="46" t="str">
        <f aca="false">PROPER(TRIM(Orders!K1720))</f>
        <v>Mumbai</v>
      </c>
      <c r="C1720" s="46" t="str">
        <f aca="false">IFERROR(VLOOKUP(Orders!D1720,Products!$A$2:$F$61,3,FALSE()),"Not Found")</f>
        <v>Grocery</v>
      </c>
      <c r="D1720" s="46" t="str">
        <f aca="false">IFERROR(VLOOKUP(Orders!C1720,Customers!$A$2:$F$301,5,FALSE()),"Not Found")</f>
        <v>Retail</v>
      </c>
      <c r="E1720" s="46" t="n">
        <f aca="false">IFERROR(VLOOKUP(Orders!C1720,Customers!$A$2:$F$301,3,FALSE()),"Not Found")</f>
        <v>37</v>
      </c>
      <c r="F1720" s="46" t="str">
        <f aca="false">IFERROR(VLOOKUP(Orders!E1720,Sales_Reps!$A$2:$E$31,3,FALSE()),"Not Found")</f>
        <v>South</v>
      </c>
      <c r="G1720" s="46" t="n">
        <f aca="false">IFERROR(VLOOKUP(Orders!D1720,Products!$A$2:$F$61,4,FALSE()),"")</f>
        <v>1435</v>
      </c>
      <c r="H1720" s="47" t="n">
        <f aca="false">IF(G1720="","",(Orders!G1720-G1720)/Orders!G1720)</f>
        <v>0.480072463768116</v>
      </c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/>
      <c r="AD1720" s="46"/>
      <c r="AE1720" s="46"/>
      <c r="AF1720" s="46"/>
      <c r="AG1720" s="46"/>
      <c r="AH1720" s="46"/>
      <c r="AI1720" s="46"/>
      <c r="AJ1720" s="46"/>
      <c r="AK1720" s="4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</row>
    <row r="1721" customFormat="false" ht="15" hidden="false" customHeight="false" outlineLevel="0" collapsed="false">
      <c r="A1721" s="46" t="str">
        <f aca="false">Orders!A1721</f>
        <v>ORD-01720</v>
      </c>
      <c r="B1721" s="46" t="str">
        <f aca="false">PROPER(TRIM(Orders!K1721))</f>
        <v>Hyderabad</v>
      </c>
      <c r="C1721" s="46" t="str">
        <f aca="false">IFERROR(VLOOKUP(Orders!D1721,Products!$A$2:$F$61,3,FALSE()),"Not Found")</f>
        <v>Electronics</v>
      </c>
      <c r="D1721" s="46" t="str">
        <f aca="false">IFERROR(VLOOKUP(Orders!C1721,Customers!$A$2:$F$301,5,FALSE()),"Not Found")</f>
        <v>SMB</v>
      </c>
      <c r="E1721" s="46" t="n">
        <f aca="false">IFERROR(VLOOKUP(Orders!C1721,Customers!$A$2:$F$301,3,FALSE()),"Not Found")</f>
        <v>65</v>
      </c>
      <c r="F1721" s="46" t="str">
        <f aca="false">IFERROR(VLOOKUP(Orders!E1721,Sales_Reps!$A$2:$E$31,3,FALSE()),"Not Found")</f>
        <v>North</v>
      </c>
      <c r="G1721" s="46" t="n">
        <f aca="false">IFERROR(VLOOKUP(Orders!D1721,Products!$A$2:$F$61,4,FALSE()),"")</f>
        <v>2405</v>
      </c>
      <c r="H1721" s="47" t="n">
        <f aca="false">IF(G1721="","",(Orders!G1721-G1721)/Orders!G1721)</f>
        <v>0.548780487804878</v>
      </c>
      <c r="I1721" s="46"/>
      <c r="J1721" s="46"/>
      <c r="K1721" s="46"/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/>
      <c r="AD1721" s="46"/>
      <c r="AE1721" s="46"/>
      <c r="AF1721" s="46"/>
      <c r="AG1721" s="46"/>
      <c r="AH1721" s="46"/>
      <c r="AI1721" s="46"/>
      <c r="AJ1721" s="46"/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</row>
    <row r="1722" customFormat="false" ht="15" hidden="false" customHeight="false" outlineLevel="0" collapsed="false">
      <c r="A1722" s="46" t="str">
        <f aca="false">Orders!A1722</f>
        <v>ORD-01721</v>
      </c>
      <c r="B1722" s="46" t="str">
        <f aca="false">PROPER(TRIM(Orders!K1722))</f>
        <v>Chennai</v>
      </c>
      <c r="C1722" s="46" t="str">
        <f aca="false">IFERROR(VLOOKUP(Orders!D1722,Products!$A$2:$F$61,3,FALSE()),"Not Found")</f>
        <v>Sports</v>
      </c>
      <c r="D1722" s="46" t="str">
        <f aca="false">IFERROR(VLOOKUP(Orders!C1722,Customers!$A$2:$F$301,5,FALSE()),"Not Found")</f>
        <v>Corporate</v>
      </c>
      <c r="E1722" s="46" t="n">
        <f aca="false">IFERROR(VLOOKUP(Orders!C1722,Customers!$A$2:$F$301,3,FALSE()),"Not Found")</f>
        <v>41</v>
      </c>
      <c r="F1722" s="46" t="str">
        <f aca="false">IFERROR(VLOOKUP(Orders!E1722,Sales_Reps!$A$2:$E$31,3,FALSE()),"Not Found")</f>
        <v>South</v>
      </c>
      <c r="G1722" s="46" t="n">
        <f aca="false">IFERROR(VLOOKUP(Orders!D1722,Products!$A$2:$F$61,4,FALSE()),"")</f>
        <v>516</v>
      </c>
      <c r="H1722" s="47" t="n">
        <f aca="false">IF(G1722="","",(Orders!G1722-G1722)/Orders!G1722)</f>
        <v>0.489108910891089</v>
      </c>
      <c r="I1722" s="46"/>
      <c r="J1722" s="46"/>
      <c r="K1722" s="46"/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  <c r="AE1722" s="46"/>
      <c r="AF1722" s="46"/>
      <c r="AG1722" s="46"/>
      <c r="AH1722" s="46"/>
      <c r="AI1722" s="46"/>
      <c r="AJ1722" s="46"/>
      <c r="AK1722" s="4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</row>
    <row r="1723" customFormat="false" ht="15" hidden="false" customHeight="false" outlineLevel="0" collapsed="false">
      <c r="A1723" s="46" t="str">
        <f aca="false">Orders!A1723</f>
        <v>ORD-01722</v>
      </c>
      <c r="B1723" s="46" t="str">
        <f aca="false">PROPER(TRIM(Orders!K1723))</f>
        <v>Mumbai</v>
      </c>
      <c r="C1723" s="46" t="str">
        <f aca="false">IFERROR(VLOOKUP(Orders!D1723,Products!$A$2:$F$61,3,FALSE()),"Not Found")</f>
        <v>Electronics</v>
      </c>
      <c r="D1723" s="46" t="str">
        <f aca="false">IFERROR(VLOOKUP(Orders!C1723,Customers!$A$2:$F$301,5,FALSE()),"Not Found")</f>
        <v>Retail</v>
      </c>
      <c r="E1723" s="46" t="n">
        <f aca="false">IFERROR(VLOOKUP(Orders!C1723,Customers!$A$2:$F$301,3,FALSE()),"Not Found")</f>
        <v>36</v>
      </c>
      <c r="F1723" s="46" t="str">
        <f aca="false">IFERROR(VLOOKUP(Orders!E1723,Sales_Reps!$A$2:$E$31,3,FALSE()),"Not Found")</f>
        <v>East</v>
      </c>
      <c r="G1723" s="46" t="n">
        <f aca="false">IFERROR(VLOOKUP(Orders!D1723,Products!$A$2:$F$61,4,FALSE()),"")</f>
        <v>1259</v>
      </c>
      <c r="H1723" s="47" t="n">
        <f aca="false">IF(G1723="","",(Orders!G1723-G1723)/Orders!G1723)</f>
        <v>0.526691729323308</v>
      </c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/>
      <c r="AD1723" s="46"/>
      <c r="AE1723" s="46"/>
      <c r="AF1723" s="46"/>
      <c r="AG1723" s="46"/>
      <c r="AH1723" s="46"/>
      <c r="AI1723" s="46"/>
      <c r="AJ1723" s="46"/>
      <c r="AK1723" s="4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</row>
    <row r="1724" customFormat="false" ht="15" hidden="false" customHeight="false" outlineLevel="0" collapsed="false">
      <c r="A1724" s="46" t="str">
        <f aca="false">Orders!A1724</f>
        <v>ORD-01723</v>
      </c>
      <c r="B1724" s="46" t="str">
        <f aca="false">PROPER(TRIM(Orders!K1724))</f>
        <v>Mumbai</v>
      </c>
      <c r="C1724" s="46" t="str">
        <f aca="false">IFERROR(VLOOKUP(Orders!D1724,Products!$A$2:$F$61,3,FALSE()),"Not Found")</f>
        <v>Electronics</v>
      </c>
      <c r="D1724" s="46" t="str">
        <f aca="false">IFERROR(VLOOKUP(Orders!C1724,Customers!$A$2:$F$301,5,FALSE()),"Not Found")</f>
        <v>Retail</v>
      </c>
      <c r="E1724" s="46" t="n">
        <f aca="false">IFERROR(VLOOKUP(Orders!C1724,Customers!$A$2:$F$301,3,FALSE()),"Not Found")</f>
        <v>34</v>
      </c>
      <c r="F1724" s="46" t="str">
        <f aca="false">IFERROR(VLOOKUP(Orders!E1724,Sales_Reps!$A$2:$E$31,3,FALSE()),"Not Found")</f>
        <v>South</v>
      </c>
      <c r="G1724" s="46" t="n">
        <f aca="false">IFERROR(VLOOKUP(Orders!D1724,Products!$A$2:$F$61,4,FALSE()),"")</f>
        <v>2865</v>
      </c>
      <c r="H1724" s="47" t="n">
        <f aca="false">IF(G1724="","",(Orders!G1724-G1724)/Orders!G1724)</f>
        <v>0.278337531486146</v>
      </c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46"/>
      <c r="AG1724" s="46"/>
      <c r="AH1724" s="46"/>
      <c r="AI1724" s="46"/>
      <c r="AJ1724" s="46"/>
      <c r="AK1724" s="4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</row>
    <row r="1725" customFormat="false" ht="15" hidden="false" customHeight="false" outlineLevel="0" collapsed="false">
      <c r="A1725" s="46" t="str">
        <f aca="false">Orders!A1725</f>
        <v>ORD-01724</v>
      </c>
      <c r="B1725" s="46" t="str">
        <f aca="false">PROPER(TRIM(Orders!K1725))</f>
        <v>Mumbai</v>
      </c>
      <c r="C1725" s="46" t="str">
        <f aca="false">IFERROR(VLOOKUP(Orders!D1725,Products!$A$2:$F$61,3,FALSE()),"Not Found")</f>
        <v>Apparel</v>
      </c>
      <c r="D1725" s="46" t="str">
        <f aca="false">IFERROR(VLOOKUP(Orders!C1725,Customers!$A$2:$F$301,5,FALSE()),"Not Found")</f>
        <v>SMB</v>
      </c>
      <c r="E1725" s="46" t="n">
        <f aca="false">IFERROR(VLOOKUP(Orders!C1725,Customers!$A$2:$F$301,3,FALSE()),"Not Found")</f>
        <v>43</v>
      </c>
      <c r="F1725" s="46" t="str">
        <f aca="false">IFERROR(VLOOKUP(Orders!E1725,Sales_Reps!$A$2:$E$31,3,FALSE()),"Not Found")</f>
        <v>North</v>
      </c>
      <c r="G1725" s="46" t="n">
        <f aca="false">IFERROR(VLOOKUP(Orders!D1725,Products!$A$2:$F$61,4,FALSE()),"")</f>
        <v>2509</v>
      </c>
      <c r="H1725" s="47" t="n">
        <f aca="false">IF(G1725="","",(Orders!G1725-G1725)/Orders!G1725)</f>
        <v>0.306906077348066</v>
      </c>
      <c r="I1725" s="46"/>
      <c r="J1725" s="46"/>
      <c r="K1725" s="46"/>
      <c r="L1725" s="46"/>
      <c r="M1725" s="46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/>
      <c r="AC1725" s="46"/>
      <c r="AD1725" s="46"/>
      <c r="AE1725" s="46"/>
      <c r="AF1725" s="46"/>
      <c r="AG1725" s="46"/>
      <c r="AH1725" s="46"/>
      <c r="AI1725" s="46"/>
      <c r="AJ1725" s="46"/>
      <c r="AK1725" s="4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</row>
    <row r="1726" customFormat="false" ht="15" hidden="false" customHeight="false" outlineLevel="0" collapsed="false">
      <c r="A1726" s="46" t="str">
        <f aca="false">Orders!A1726</f>
        <v>ORD-01725</v>
      </c>
      <c r="B1726" s="46" t="str">
        <f aca="false">PROPER(TRIM(Orders!K1726))</f>
        <v>Hyderabad</v>
      </c>
      <c r="C1726" s="46" t="str">
        <f aca="false">IFERROR(VLOOKUP(Orders!D1726,Products!$A$2:$F$61,3,FALSE()),"Not Found")</f>
        <v>Grocery</v>
      </c>
      <c r="D1726" s="46" t="str">
        <f aca="false">IFERROR(VLOOKUP(Orders!C1726,Customers!$A$2:$F$301,5,FALSE()),"Not Found")</f>
        <v>Retail</v>
      </c>
      <c r="E1726" s="46" t="n">
        <f aca="false">IFERROR(VLOOKUP(Orders!C1726,Customers!$A$2:$F$301,3,FALSE()),"Not Found")</f>
        <v>38</v>
      </c>
      <c r="F1726" s="46" t="str">
        <f aca="false">IFERROR(VLOOKUP(Orders!E1726,Sales_Reps!$A$2:$E$31,3,FALSE()),"Not Found")</f>
        <v>East</v>
      </c>
      <c r="G1726" s="46" t="n">
        <f aca="false">IFERROR(VLOOKUP(Orders!D1726,Products!$A$2:$F$61,4,FALSE()),"")</f>
        <v>1412</v>
      </c>
      <c r="H1726" s="47" t="n">
        <f aca="false">IF(G1726="","",(Orders!G1726-G1726)/Orders!G1726)</f>
        <v>0.377973568281938</v>
      </c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  <c r="AE1726" s="46"/>
      <c r="AF1726" s="46"/>
      <c r="AG1726" s="46"/>
      <c r="AH1726" s="46"/>
      <c r="AI1726" s="46"/>
      <c r="AJ1726" s="46"/>
      <c r="AK1726" s="4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</row>
    <row r="1727" customFormat="false" ht="15" hidden="false" customHeight="false" outlineLevel="0" collapsed="false">
      <c r="A1727" s="46" t="str">
        <f aca="false">Orders!A1727</f>
        <v>ORD-01726</v>
      </c>
      <c r="B1727" s="46" t="str">
        <f aca="false">PROPER(TRIM(Orders!K1727))</f>
        <v>Chennai</v>
      </c>
      <c r="C1727" s="46" t="str">
        <f aca="false">IFERROR(VLOOKUP(Orders!D1727,Products!$A$2:$F$61,3,FALSE()),"Not Found")</f>
        <v>Grocery</v>
      </c>
      <c r="D1727" s="46" t="str">
        <f aca="false">IFERROR(VLOOKUP(Orders!C1727,Customers!$A$2:$F$301,5,FALSE()),"Not Found")</f>
        <v>Retail</v>
      </c>
      <c r="E1727" s="46" t="n">
        <f aca="false">IFERROR(VLOOKUP(Orders!C1727,Customers!$A$2:$F$301,3,FALSE()),"Not Found")</f>
        <v>34</v>
      </c>
      <c r="F1727" s="46" t="str">
        <f aca="false">IFERROR(VLOOKUP(Orders!E1727,Sales_Reps!$A$2:$E$31,3,FALSE()),"Not Found")</f>
        <v>South</v>
      </c>
      <c r="G1727" s="46" t="n">
        <f aca="false">IFERROR(VLOOKUP(Orders!D1727,Products!$A$2:$F$61,4,FALSE()),"")</f>
        <v>1412</v>
      </c>
      <c r="H1727" s="47" t="n">
        <f aca="false">IF(G1727="","",(Orders!G1727-G1727)/Orders!G1727)</f>
        <v>0.377973568281938</v>
      </c>
      <c r="I1727" s="46"/>
      <c r="J1727" s="46"/>
      <c r="K1727" s="46"/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  <c r="Y1727" s="46"/>
      <c r="Z1727" s="46"/>
      <c r="AA1727" s="46"/>
      <c r="AB1727" s="46"/>
      <c r="AC1727" s="46"/>
      <c r="AD1727" s="46"/>
      <c r="AE1727" s="46"/>
      <c r="AF1727" s="46"/>
      <c r="AG1727" s="46"/>
      <c r="AH1727" s="46"/>
      <c r="AI1727" s="46"/>
      <c r="AJ1727" s="46"/>
      <c r="AK1727" s="4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</row>
    <row r="1728" customFormat="false" ht="15" hidden="false" customHeight="false" outlineLevel="0" collapsed="false">
      <c r="A1728" s="46" t="str">
        <f aca="false">Orders!A1728</f>
        <v>ORD-01727</v>
      </c>
      <c r="B1728" s="46" t="str">
        <f aca="false">PROPER(TRIM(Orders!K1728))</f>
        <v>Mumbai</v>
      </c>
      <c r="C1728" s="46" t="str">
        <f aca="false">IFERROR(VLOOKUP(Orders!D1728,Products!$A$2:$F$61,3,FALSE()),"Not Found")</f>
        <v>Home</v>
      </c>
      <c r="D1728" s="46" t="str">
        <f aca="false">IFERROR(VLOOKUP(Orders!C1728,Customers!$A$2:$F$301,5,FALSE()),"Not Found")</f>
        <v>Retail</v>
      </c>
      <c r="E1728" s="46" t="n">
        <f aca="false">IFERROR(VLOOKUP(Orders!C1728,Customers!$A$2:$F$301,3,FALSE()),"Not Found")</f>
        <v>41</v>
      </c>
      <c r="F1728" s="46" t="str">
        <f aca="false">IFERROR(VLOOKUP(Orders!E1728,Sales_Reps!$A$2:$E$31,3,FALSE()),"Not Found")</f>
        <v>South</v>
      </c>
      <c r="G1728" s="46" t="n">
        <f aca="false">IFERROR(VLOOKUP(Orders!D1728,Products!$A$2:$F$61,4,FALSE()),"")</f>
        <v>1850</v>
      </c>
      <c r="H1728" s="47" t="n">
        <f aca="false">IF(G1728="","",(Orders!G1728-G1728)/Orders!G1728)</f>
        <v>0.598698481561822</v>
      </c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46"/>
      <c r="AE1728" s="46"/>
      <c r="AF1728" s="46"/>
      <c r="AG1728" s="46"/>
      <c r="AH1728" s="46"/>
      <c r="AI1728" s="46"/>
      <c r="AJ1728" s="46"/>
      <c r="AK1728" s="4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</row>
    <row r="1729" customFormat="false" ht="15" hidden="false" customHeight="false" outlineLevel="0" collapsed="false">
      <c r="A1729" s="46" t="str">
        <f aca="false">Orders!A1729</f>
        <v>ORD-01728</v>
      </c>
      <c r="B1729" s="46" t="str">
        <f aca="false">PROPER(TRIM(Orders!K1729))</f>
        <v>Delhi</v>
      </c>
      <c r="C1729" s="46" t="str">
        <f aca="false">IFERROR(VLOOKUP(Orders!D1729,Products!$A$2:$F$61,3,FALSE()),"Not Found")</f>
        <v>Sports</v>
      </c>
      <c r="D1729" s="46" t="str">
        <f aca="false">IFERROR(VLOOKUP(Orders!C1729,Customers!$A$2:$F$301,5,FALSE()),"Not Found")</f>
        <v>Retail</v>
      </c>
      <c r="E1729" s="46" t="n">
        <f aca="false">IFERROR(VLOOKUP(Orders!C1729,Customers!$A$2:$F$301,3,FALSE()),"Not Found")</f>
        <v>41</v>
      </c>
      <c r="F1729" s="46" t="str">
        <f aca="false">IFERROR(VLOOKUP(Orders!E1729,Sales_Reps!$A$2:$E$31,3,FALSE()),"Not Found")</f>
        <v>East</v>
      </c>
      <c r="G1729" s="46" t="n">
        <f aca="false">IFERROR(VLOOKUP(Orders!D1729,Products!$A$2:$F$61,4,FALSE()),"")</f>
        <v>147</v>
      </c>
      <c r="H1729" s="47" t="n">
        <f aca="false">IF(G1729="","",(Orders!G1729-G1729)/Orders!G1729)</f>
        <v>0.226315789473684</v>
      </c>
      <c r="I1729" s="46"/>
      <c r="J1729" s="46"/>
      <c r="K1729" s="46"/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  <c r="Y1729" s="46"/>
      <c r="Z1729" s="46"/>
      <c r="AA1729" s="46"/>
      <c r="AB1729" s="46"/>
      <c r="AC1729" s="46"/>
      <c r="AD1729" s="46"/>
      <c r="AE1729" s="46"/>
      <c r="AF1729" s="46"/>
      <c r="AG1729" s="46"/>
      <c r="AH1729" s="46"/>
      <c r="AI1729" s="46"/>
      <c r="AJ1729" s="46"/>
      <c r="AK1729" s="4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</row>
    <row r="1730" customFormat="false" ht="15" hidden="false" customHeight="false" outlineLevel="0" collapsed="false">
      <c r="A1730" s="46" t="str">
        <f aca="false">Orders!A1730</f>
        <v>ORD-01729</v>
      </c>
      <c r="B1730" s="46" t="str">
        <f aca="false">PROPER(TRIM(Orders!K1730))</f>
        <v>Chennai</v>
      </c>
      <c r="C1730" s="46" t="str">
        <f aca="false">IFERROR(VLOOKUP(Orders!D1730,Products!$A$2:$F$61,3,FALSE()),"Not Found")</f>
        <v>Home</v>
      </c>
      <c r="D1730" s="46" t="str">
        <f aca="false">IFERROR(VLOOKUP(Orders!C1730,Customers!$A$2:$F$301,5,FALSE()),"Not Found")</f>
        <v>Corporate</v>
      </c>
      <c r="E1730" s="46" t="n">
        <f aca="false">IFERROR(VLOOKUP(Orders!C1730,Customers!$A$2:$F$301,3,FALSE()),"Not Found")</f>
        <v>52</v>
      </c>
      <c r="F1730" s="46" t="str">
        <f aca="false">IFERROR(VLOOKUP(Orders!E1730,Sales_Reps!$A$2:$E$31,3,FALSE()),"Not Found")</f>
        <v>West</v>
      </c>
      <c r="G1730" s="46" t="n">
        <f aca="false">IFERROR(VLOOKUP(Orders!D1730,Products!$A$2:$F$61,4,FALSE()),"")</f>
        <v>1143</v>
      </c>
      <c r="H1730" s="47" t="n">
        <f aca="false">IF(G1730="","",(Orders!G1730-G1730)/Orders!G1730)</f>
        <v>0.436945812807882</v>
      </c>
      <c r="I1730" s="46"/>
      <c r="J1730" s="46"/>
      <c r="K1730" s="46"/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/>
      <c r="AA1730" s="46"/>
      <c r="AB1730" s="46"/>
      <c r="AC1730" s="46"/>
      <c r="AD1730" s="46"/>
      <c r="AE1730" s="46"/>
      <c r="AF1730" s="46"/>
      <c r="AG1730" s="46"/>
      <c r="AH1730" s="46"/>
      <c r="AI1730" s="46"/>
      <c r="AJ1730" s="46"/>
      <c r="AK1730" s="4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</row>
    <row r="1731" customFormat="false" ht="15" hidden="false" customHeight="false" outlineLevel="0" collapsed="false">
      <c r="A1731" s="46" t="str">
        <f aca="false">Orders!A1731</f>
        <v>ORD-01730</v>
      </c>
      <c r="B1731" s="46" t="str">
        <f aca="false">PROPER(TRIM(Orders!K1731))</f>
        <v>Pune</v>
      </c>
      <c r="C1731" s="46" t="str">
        <f aca="false">IFERROR(VLOOKUP(Orders!D1731,Products!$A$2:$F$61,3,FALSE()),"Not Found")</f>
        <v>Grocery</v>
      </c>
      <c r="D1731" s="46" t="str">
        <f aca="false">IFERROR(VLOOKUP(Orders!C1731,Customers!$A$2:$F$301,5,FALSE()),"Not Found")</f>
        <v>SMB</v>
      </c>
      <c r="E1731" s="46" t="n">
        <f aca="false">IFERROR(VLOOKUP(Orders!C1731,Customers!$A$2:$F$301,3,FALSE()),"Not Found")</f>
        <v>30</v>
      </c>
      <c r="F1731" s="46" t="str">
        <f aca="false">IFERROR(VLOOKUP(Orders!E1731,Sales_Reps!$A$2:$E$31,3,FALSE()),"Not Found")</f>
        <v>East</v>
      </c>
      <c r="G1731" s="46" t="n">
        <f aca="false">IFERROR(VLOOKUP(Orders!D1731,Products!$A$2:$F$61,4,FALSE()),"")</f>
        <v>2027</v>
      </c>
      <c r="H1731" s="47" t="n">
        <f aca="false">IF(G1731="","",(Orders!G1731-G1731)/Orders!G1731)</f>
        <v>0.501965601965602</v>
      </c>
      <c r="I1731" s="46"/>
      <c r="J1731" s="46"/>
      <c r="K1731" s="46"/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46"/>
      <c r="AE1731" s="46"/>
      <c r="AF1731" s="46"/>
      <c r="AG1731" s="46"/>
      <c r="AH1731" s="46"/>
      <c r="AI1731" s="46"/>
      <c r="AJ1731" s="46"/>
      <c r="AK1731" s="4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</row>
    <row r="1732" customFormat="false" ht="15" hidden="false" customHeight="false" outlineLevel="0" collapsed="false">
      <c r="A1732" s="46" t="str">
        <f aca="false">Orders!A1732</f>
        <v>ORD-01731</v>
      </c>
      <c r="B1732" s="46" t="str">
        <f aca="false">PROPER(TRIM(Orders!K1732))</f>
        <v>Delhi</v>
      </c>
      <c r="C1732" s="46" t="str">
        <f aca="false">IFERROR(VLOOKUP(Orders!D1732,Products!$A$2:$F$61,3,FALSE()),"Not Found")</f>
        <v>Beauty</v>
      </c>
      <c r="D1732" s="46" t="str">
        <f aca="false">IFERROR(VLOOKUP(Orders!C1732,Customers!$A$2:$F$301,5,FALSE()),"Not Found")</f>
        <v>SMB</v>
      </c>
      <c r="E1732" s="46" t="n">
        <f aca="false">IFERROR(VLOOKUP(Orders!C1732,Customers!$A$2:$F$301,3,FALSE()),"Not Found")</f>
        <v>48</v>
      </c>
      <c r="F1732" s="46" t="str">
        <f aca="false">IFERROR(VLOOKUP(Orders!E1732,Sales_Reps!$A$2:$E$31,3,FALSE()),"Not Found")</f>
        <v>North</v>
      </c>
      <c r="G1732" s="46" t="n">
        <f aca="false">IFERROR(VLOOKUP(Orders!D1732,Products!$A$2:$F$61,4,FALSE()),"")</f>
        <v>1219</v>
      </c>
      <c r="H1732" s="47" t="n">
        <f aca="false">IF(G1732="","",(Orders!G1732-G1732)/Orders!G1732)</f>
        <v>0.467685589519651</v>
      </c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46"/>
      <c r="AE1732" s="46"/>
      <c r="AF1732" s="46"/>
      <c r="AG1732" s="46"/>
      <c r="AH1732" s="46"/>
      <c r="AI1732" s="46"/>
      <c r="AJ1732" s="46"/>
      <c r="AK1732" s="4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</row>
    <row r="1733" customFormat="false" ht="15" hidden="false" customHeight="false" outlineLevel="0" collapsed="false">
      <c r="A1733" s="46" t="str">
        <f aca="false">Orders!A1733</f>
        <v>ORD-01732</v>
      </c>
      <c r="B1733" s="46" t="str">
        <f aca="false">PROPER(TRIM(Orders!K1733))</f>
        <v>Hyderabad</v>
      </c>
      <c r="C1733" s="46" t="str">
        <f aca="false">IFERROR(VLOOKUP(Orders!D1733,Products!$A$2:$F$61,3,FALSE()),"Not Found")</f>
        <v>Home</v>
      </c>
      <c r="D1733" s="46" t="str">
        <f aca="false">IFERROR(VLOOKUP(Orders!C1733,Customers!$A$2:$F$301,5,FALSE()),"Not Found")</f>
        <v>Retail</v>
      </c>
      <c r="E1733" s="46" t="n">
        <f aca="false">IFERROR(VLOOKUP(Orders!C1733,Customers!$A$2:$F$301,3,FALSE()),"Not Found")</f>
        <v>22</v>
      </c>
      <c r="F1733" s="46" t="str">
        <f aca="false">IFERROR(VLOOKUP(Orders!E1733,Sales_Reps!$A$2:$E$31,3,FALSE()),"Not Found")</f>
        <v>East</v>
      </c>
      <c r="G1733" s="46" t="n">
        <f aca="false">IFERROR(VLOOKUP(Orders!D1733,Products!$A$2:$F$61,4,FALSE()),"")</f>
        <v>2135</v>
      </c>
      <c r="H1733" s="47" t="n">
        <f aca="false">IF(G1733="","",(Orders!G1733-G1733)/Orders!G1733)</f>
        <v>0.427613941018767</v>
      </c>
      <c r="I1733" s="46"/>
      <c r="J1733" s="46"/>
      <c r="K1733" s="46"/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  <c r="Y1733" s="46"/>
      <c r="Z1733" s="46"/>
      <c r="AA1733" s="46"/>
      <c r="AB1733" s="46"/>
      <c r="AC1733" s="46"/>
      <c r="AD1733" s="46"/>
      <c r="AE1733" s="46"/>
      <c r="AF1733" s="46"/>
      <c r="AG1733" s="46"/>
      <c r="AH1733" s="46"/>
      <c r="AI1733" s="46"/>
      <c r="AJ1733" s="46"/>
      <c r="AK1733" s="4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</row>
    <row r="1734" customFormat="false" ht="15" hidden="false" customHeight="false" outlineLevel="0" collapsed="false">
      <c r="A1734" s="46" t="str">
        <f aca="false">Orders!A1734</f>
        <v>ORD-01733</v>
      </c>
      <c r="B1734" s="46" t="str">
        <f aca="false">PROPER(TRIM(Orders!K1734))</f>
        <v>Pune</v>
      </c>
      <c r="C1734" s="46" t="str">
        <f aca="false">IFERROR(VLOOKUP(Orders!D1734,Products!$A$2:$F$61,3,FALSE()),"Not Found")</f>
        <v>Apparel</v>
      </c>
      <c r="D1734" s="46" t="str">
        <f aca="false">IFERROR(VLOOKUP(Orders!C1734,Customers!$A$2:$F$301,5,FALSE()),"Not Found")</f>
        <v>Retail</v>
      </c>
      <c r="E1734" s="46" t="n">
        <f aca="false">IFERROR(VLOOKUP(Orders!C1734,Customers!$A$2:$F$301,3,FALSE()),"Not Found")</f>
        <v>22</v>
      </c>
      <c r="F1734" s="46" t="str">
        <f aca="false">IFERROR(VLOOKUP(Orders!E1734,Sales_Reps!$A$2:$E$31,3,FALSE()),"Not Found")</f>
        <v>North</v>
      </c>
      <c r="G1734" s="46" t="n">
        <f aca="false">IFERROR(VLOOKUP(Orders!D1734,Products!$A$2:$F$61,4,FALSE()),"")</f>
        <v>396</v>
      </c>
      <c r="H1734" s="47" t="n">
        <f aca="false">IF(G1734="","",(Orders!G1734-G1734)/Orders!G1734)</f>
        <v>0.361290322580645</v>
      </c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  <c r="X1734" s="46"/>
      <c r="Y1734" s="46"/>
      <c r="Z1734" s="46"/>
      <c r="AA1734" s="46"/>
      <c r="AB1734" s="46"/>
      <c r="AC1734" s="46"/>
      <c r="AD1734" s="46"/>
      <c r="AE1734" s="46"/>
      <c r="AF1734" s="46"/>
      <c r="AG1734" s="46"/>
      <c r="AH1734" s="46"/>
      <c r="AI1734" s="46"/>
      <c r="AJ1734" s="46"/>
      <c r="AK1734" s="4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</row>
    <row r="1735" customFormat="false" ht="15" hidden="false" customHeight="false" outlineLevel="0" collapsed="false">
      <c r="A1735" s="46" t="str">
        <f aca="false">Orders!A1735</f>
        <v>ORD-01734</v>
      </c>
      <c r="B1735" s="46" t="str">
        <f aca="false">PROPER(TRIM(Orders!K1735))</f>
        <v>Delhi</v>
      </c>
      <c r="C1735" s="46" t="str">
        <f aca="false">IFERROR(VLOOKUP(Orders!D1735,Products!$A$2:$F$61,3,FALSE()),"Not Found")</f>
        <v>Electronics</v>
      </c>
      <c r="D1735" s="46" t="str">
        <f aca="false">IFERROR(VLOOKUP(Orders!C1735,Customers!$A$2:$F$301,5,FALSE()),"Not Found")</f>
        <v>Corporate</v>
      </c>
      <c r="E1735" s="46" t="n">
        <f aca="false">IFERROR(VLOOKUP(Orders!C1735,Customers!$A$2:$F$301,3,FALSE()),"Not Found")</f>
        <v>27</v>
      </c>
      <c r="F1735" s="46" t="str">
        <f aca="false">IFERROR(VLOOKUP(Orders!E1735,Sales_Reps!$A$2:$E$31,3,FALSE()),"Not Found")</f>
        <v>South</v>
      </c>
      <c r="G1735" s="46" t="n">
        <f aca="false">IFERROR(VLOOKUP(Orders!D1735,Products!$A$2:$F$61,4,FALSE()),"")</f>
        <v>1149</v>
      </c>
      <c r="H1735" s="47" t="n">
        <f aca="false">IF(G1735="","",(Orders!G1735-G1735)/Orders!G1735)</f>
        <v>0.564772727272727</v>
      </c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46"/>
      <c r="AE1735" s="46"/>
      <c r="AF1735" s="46"/>
      <c r="AG1735" s="46"/>
      <c r="AH1735" s="46"/>
      <c r="AI1735" s="46"/>
      <c r="AJ1735" s="46"/>
      <c r="AK1735" s="4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</row>
    <row r="1736" customFormat="false" ht="15" hidden="false" customHeight="false" outlineLevel="0" collapsed="false">
      <c r="A1736" s="46" t="str">
        <f aca="false">Orders!A1736</f>
        <v>ORD-01735</v>
      </c>
      <c r="B1736" s="46" t="str">
        <f aca="false">PROPER(TRIM(Orders!K1736))</f>
        <v>Chennai</v>
      </c>
      <c r="C1736" s="46" t="str">
        <f aca="false">IFERROR(VLOOKUP(Orders!D1736,Products!$A$2:$F$61,3,FALSE()),"Not Found")</f>
        <v>Grocery</v>
      </c>
      <c r="D1736" s="46" t="str">
        <f aca="false">IFERROR(VLOOKUP(Orders!C1736,Customers!$A$2:$F$301,5,FALSE()),"Not Found")</f>
        <v>SMB</v>
      </c>
      <c r="E1736" s="46" t="n">
        <f aca="false">IFERROR(VLOOKUP(Orders!C1736,Customers!$A$2:$F$301,3,FALSE()),"Not Found")</f>
        <v>57</v>
      </c>
      <c r="F1736" s="46" t="str">
        <f aca="false">IFERROR(VLOOKUP(Orders!E1736,Sales_Reps!$A$2:$E$31,3,FALSE()),"Not Found")</f>
        <v>North</v>
      </c>
      <c r="G1736" s="46" t="n">
        <f aca="false">IFERROR(VLOOKUP(Orders!D1736,Products!$A$2:$F$61,4,FALSE()),"")</f>
        <v>2214</v>
      </c>
      <c r="H1736" s="47" t="n">
        <f aca="false">IF(G1736="","",(Orders!G1736-G1736)/Orders!G1736)</f>
        <v>0.395081967213115</v>
      </c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  <c r="AB1736" s="46"/>
      <c r="AC1736" s="46"/>
      <c r="AD1736" s="46"/>
      <c r="AE1736" s="46"/>
      <c r="AF1736" s="46"/>
      <c r="AG1736" s="46"/>
      <c r="AH1736" s="46"/>
      <c r="AI1736" s="46"/>
      <c r="AJ1736" s="46"/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</row>
    <row r="1737" customFormat="false" ht="15" hidden="false" customHeight="false" outlineLevel="0" collapsed="false">
      <c r="A1737" s="46" t="str">
        <f aca="false">Orders!A1737</f>
        <v>ORD-01736</v>
      </c>
      <c r="B1737" s="46" t="str">
        <f aca="false">PROPER(TRIM(Orders!K1737))</f>
        <v>Hyderabad</v>
      </c>
      <c r="C1737" s="46" t="str">
        <f aca="false">IFERROR(VLOOKUP(Orders!D1737,Products!$A$2:$F$61,3,FALSE()),"Not Found")</f>
        <v>Apparel</v>
      </c>
      <c r="D1737" s="46" t="str">
        <f aca="false">IFERROR(VLOOKUP(Orders!C1737,Customers!$A$2:$F$301,5,FALSE()),"Not Found")</f>
        <v>Retail</v>
      </c>
      <c r="E1737" s="46" t="n">
        <f aca="false">IFERROR(VLOOKUP(Orders!C1737,Customers!$A$2:$F$301,3,FALSE()),"Not Found")</f>
        <v>50</v>
      </c>
      <c r="F1737" s="46" t="str">
        <f aca="false">IFERROR(VLOOKUP(Orders!E1737,Sales_Reps!$A$2:$E$31,3,FALSE()),"Not Found")</f>
        <v>East</v>
      </c>
      <c r="G1737" s="46" t="n">
        <f aca="false">IFERROR(VLOOKUP(Orders!D1737,Products!$A$2:$F$61,4,FALSE()),"")</f>
        <v>391</v>
      </c>
      <c r="H1737" s="47" t="n">
        <f aca="false">IF(G1737="","",(Orders!G1737-G1737)/Orders!G1737)</f>
        <v>0.523170731707317</v>
      </c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  <c r="Y1737" s="46"/>
      <c r="Z1737" s="46"/>
      <c r="AA1737" s="46"/>
      <c r="AB1737" s="46"/>
      <c r="AC1737" s="46"/>
      <c r="AD1737" s="46"/>
      <c r="AE1737" s="46"/>
      <c r="AF1737" s="46"/>
      <c r="AG1737" s="46"/>
      <c r="AH1737" s="46"/>
      <c r="AI1737" s="46"/>
      <c r="AJ1737" s="46"/>
      <c r="AK1737" s="4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</row>
    <row r="1738" customFormat="false" ht="15" hidden="false" customHeight="false" outlineLevel="0" collapsed="false">
      <c r="A1738" s="46" t="str">
        <f aca="false">Orders!A1738</f>
        <v>ORD-01737</v>
      </c>
      <c r="B1738" s="46" t="str">
        <f aca="false">PROPER(TRIM(Orders!K1738))</f>
        <v>Mumbai</v>
      </c>
      <c r="C1738" s="46" t="str">
        <f aca="false">IFERROR(VLOOKUP(Orders!D1738,Products!$A$2:$F$61,3,FALSE()),"Not Found")</f>
        <v>Apparel</v>
      </c>
      <c r="D1738" s="46" t="str">
        <f aca="false">IFERROR(VLOOKUP(Orders!C1738,Customers!$A$2:$F$301,5,FALSE()),"Not Found")</f>
        <v>Retail</v>
      </c>
      <c r="E1738" s="46" t="n">
        <f aca="false">IFERROR(VLOOKUP(Orders!C1738,Customers!$A$2:$F$301,3,FALSE()),"Not Found")</f>
        <v>29</v>
      </c>
      <c r="F1738" s="46" t="str">
        <f aca="false">IFERROR(VLOOKUP(Orders!E1738,Sales_Reps!$A$2:$E$31,3,FALSE()),"Not Found")</f>
        <v>East</v>
      </c>
      <c r="G1738" s="46" t="n">
        <f aca="false">IFERROR(VLOOKUP(Orders!D1738,Products!$A$2:$F$61,4,FALSE()),"")</f>
        <v>1173</v>
      </c>
      <c r="H1738" s="47" t="n">
        <f aca="false">IF(G1738="","",(Orders!G1738-G1738)/Orders!G1738)</f>
        <v>0.527016129032258</v>
      </c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/>
      <c r="AD1738" s="46"/>
      <c r="AE1738" s="46"/>
      <c r="AF1738" s="46"/>
      <c r="AG1738" s="46"/>
      <c r="AH1738" s="46"/>
      <c r="AI1738" s="46"/>
      <c r="AJ1738" s="46"/>
      <c r="AK1738" s="4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</row>
    <row r="1739" customFormat="false" ht="15" hidden="false" customHeight="false" outlineLevel="0" collapsed="false">
      <c r="A1739" s="46" t="str">
        <f aca="false">Orders!A1739</f>
        <v>ORD-01738</v>
      </c>
      <c r="B1739" s="46" t="str">
        <f aca="false">PROPER(TRIM(Orders!K1739))</f>
        <v>Chennai</v>
      </c>
      <c r="C1739" s="46" t="str">
        <f aca="false">IFERROR(VLOOKUP(Orders!D1739,Products!$A$2:$F$61,3,FALSE()),"Not Found")</f>
        <v>Beauty</v>
      </c>
      <c r="D1739" s="46" t="str">
        <f aca="false">IFERROR(VLOOKUP(Orders!C1739,Customers!$A$2:$F$301,5,FALSE()),"Not Found")</f>
        <v>Retail</v>
      </c>
      <c r="E1739" s="46" t="n">
        <f aca="false">IFERROR(VLOOKUP(Orders!C1739,Customers!$A$2:$F$301,3,FALSE()),"Not Found")</f>
        <v>32</v>
      </c>
      <c r="F1739" s="46" t="str">
        <f aca="false">IFERROR(VLOOKUP(Orders!E1739,Sales_Reps!$A$2:$E$31,3,FALSE()),"Not Found")</f>
        <v>West</v>
      </c>
      <c r="G1739" s="46" t="n">
        <f aca="false">IFERROR(VLOOKUP(Orders!D1739,Products!$A$2:$F$61,4,FALSE()),"")</f>
        <v>2617</v>
      </c>
      <c r="H1739" s="47" t="n">
        <f aca="false">IF(G1739="","",(Orders!G1739-G1739)/Orders!G1739)</f>
        <v>0.569572368421053</v>
      </c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  <c r="AA1739" s="46"/>
      <c r="AB1739" s="46"/>
      <c r="AC1739" s="46"/>
      <c r="AD1739" s="46"/>
      <c r="AE1739" s="46"/>
      <c r="AF1739" s="46"/>
      <c r="AG1739" s="46"/>
      <c r="AH1739" s="46"/>
      <c r="AI1739" s="46"/>
      <c r="AJ1739" s="46"/>
      <c r="AK1739" s="4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</row>
    <row r="1740" customFormat="false" ht="15" hidden="false" customHeight="false" outlineLevel="0" collapsed="false">
      <c r="A1740" s="46" t="str">
        <f aca="false">Orders!A1740</f>
        <v>ORD-01739</v>
      </c>
      <c r="B1740" s="46" t="str">
        <f aca="false">PROPER(TRIM(Orders!K1740))</f>
        <v>Pune</v>
      </c>
      <c r="C1740" s="46" t="str">
        <f aca="false">IFERROR(VLOOKUP(Orders!D1740,Products!$A$2:$F$61,3,FALSE()),"Not Found")</f>
        <v>Sports</v>
      </c>
      <c r="D1740" s="46" t="str">
        <f aca="false">IFERROR(VLOOKUP(Orders!C1740,Customers!$A$2:$F$301,5,FALSE()),"Not Found")</f>
        <v>SMB</v>
      </c>
      <c r="E1740" s="46" t="n">
        <f aca="false">IFERROR(VLOOKUP(Orders!C1740,Customers!$A$2:$F$301,3,FALSE()),"Not Found")</f>
        <v>39</v>
      </c>
      <c r="F1740" s="46" t="str">
        <f aca="false">IFERROR(VLOOKUP(Orders!E1740,Sales_Reps!$A$2:$E$31,3,FALSE()),"Not Found")</f>
        <v>East</v>
      </c>
      <c r="G1740" s="46" t="n">
        <f aca="false">IFERROR(VLOOKUP(Orders!D1740,Products!$A$2:$F$61,4,FALSE()),"")</f>
        <v>147</v>
      </c>
      <c r="H1740" s="47" t="n">
        <f aca="false">IF(G1740="","",(Orders!G1740-G1740)/Orders!G1740)</f>
        <v>0.226315789473684</v>
      </c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/>
      <c r="AD1740" s="46"/>
      <c r="AE1740" s="46"/>
      <c r="AF1740" s="46"/>
      <c r="AG1740" s="46"/>
      <c r="AH1740" s="46"/>
      <c r="AI1740" s="46"/>
      <c r="AJ1740" s="46"/>
      <c r="AK1740" s="4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</row>
    <row r="1741" customFormat="false" ht="15" hidden="false" customHeight="false" outlineLevel="0" collapsed="false">
      <c r="A1741" s="46" t="str">
        <f aca="false">Orders!A1741</f>
        <v>ORD-01740</v>
      </c>
      <c r="B1741" s="46" t="str">
        <f aca="false">PROPER(TRIM(Orders!K1741))</f>
        <v>Delhi</v>
      </c>
      <c r="C1741" s="46" t="str">
        <f aca="false">IFERROR(VLOOKUP(Orders!D1741,Products!$A$2:$F$61,3,FALSE()),"Not Found")</f>
        <v>Sports</v>
      </c>
      <c r="D1741" s="46" t="str">
        <f aca="false">IFERROR(VLOOKUP(Orders!C1741,Customers!$A$2:$F$301,5,FALSE()),"Not Found")</f>
        <v>Retail</v>
      </c>
      <c r="E1741" s="46" t="n">
        <f aca="false">IFERROR(VLOOKUP(Orders!C1741,Customers!$A$2:$F$301,3,FALSE()),"Not Found")</f>
        <v>41</v>
      </c>
      <c r="F1741" s="46" t="str">
        <f aca="false">IFERROR(VLOOKUP(Orders!E1741,Sales_Reps!$A$2:$E$31,3,FALSE()),"Not Found")</f>
        <v>West</v>
      </c>
      <c r="G1741" s="46" t="n">
        <f aca="false">IFERROR(VLOOKUP(Orders!D1741,Products!$A$2:$F$61,4,FALSE()),"")</f>
        <v>1860</v>
      </c>
      <c r="H1741" s="47" t="n">
        <f aca="false">IF(G1741="","",(Orders!G1741-G1741)/Orders!G1741)</f>
        <v>0.507936507936508</v>
      </c>
      <c r="I1741" s="46"/>
      <c r="J1741" s="46"/>
      <c r="K1741" s="46"/>
      <c r="L1741" s="46"/>
      <c r="M1741" s="46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  <c r="X1741" s="46"/>
      <c r="Y1741" s="46"/>
      <c r="Z1741" s="46"/>
      <c r="AA1741" s="46"/>
      <c r="AB1741" s="46"/>
      <c r="AC1741" s="46"/>
      <c r="AD1741" s="46"/>
      <c r="AE1741" s="46"/>
      <c r="AF1741" s="46"/>
      <c r="AG1741" s="46"/>
      <c r="AH1741" s="46"/>
      <c r="AI1741" s="46"/>
      <c r="AJ1741" s="46"/>
      <c r="AK1741" s="4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</row>
    <row r="1742" customFormat="false" ht="15" hidden="false" customHeight="false" outlineLevel="0" collapsed="false">
      <c r="A1742" s="46" t="str">
        <f aca="false">Orders!A1742</f>
        <v>ORD-01741</v>
      </c>
      <c r="B1742" s="46" t="str">
        <f aca="false">PROPER(TRIM(Orders!K1742))</f>
        <v>Bengaluru</v>
      </c>
      <c r="C1742" s="46" t="str">
        <f aca="false">IFERROR(VLOOKUP(Orders!D1742,Products!$A$2:$F$61,3,FALSE()),"Not Found")</f>
        <v>Home</v>
      </c>
      <c r="D1742" s="46" t="str">
        <f aca="false">IFERROR(VLOOKUP(Orders!C1742,Customers!$A$2:$F$301,5,FALSE()),"Not Found")</f>
        <v>Retail</v>
      </c>
      <c r="E1742" s="46" t="n">
        <f aca="false">IFERROR(VLOOKUP(Orders!C1742,Customers!$A$2:$F$301,3,FALSE()),"Not Found")</f>
        <v>34</v>
      </c>
      <c r="F1742" s="46" t="str">
        <f aca="false">IFERROR(VLOOKUP(Orders!E1742,Sales_Reps!$A$2:$E$31,3,FALSE()),"Not Found")</f>
        <v>North</v>
      </c>
      <c r="G1742" s="46" t="n">
        <f aca="false">IFERROR(VLOOKUP(Orders!D1742,Products!$A$2:$F$61,4,FALSE()),"")</f>
        <v>1556</v>
      </c>
      <c r="H1742" s="47" t="n">
        <f aca="false">IF(G1742="","",(Orders!G1742-G1742)/Orders!G1742)</f>
        <v>0.521230769230769</v>
      </c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</row>
    <row r="1743" customFormat="false" ht="15" hidden="false" customHeight="false" outlineLevel="0" collapsed="false">
      <c r="A1743" s="46" t="str">
        <f aca="false">Orders!A1743</f>
        <v>ORD-01742</v>
      </c>
      <c r="B1743" s="46" t="str">
        <f aca="false">PROPER(TRIM(Orders!K1743))</f>
        <v>Hyderabad</v>
      </c>
      <c r="C1743" s="46" t="str">
        <f aca="false">IFERROR(VLOOKUP(Orders!D1743,Products!$A$2:$F$61,3,FALSE()),"Not Found")</f>
        <v>Home</v>
      </c>
      <c r="D1743" s="46" t="str">
        <f aca="false">IFERROR(VLOOKUP(Orders!C1743,Customers!$A$2:$F$301,5,FALSE()),"Not Found")</f>
        <v>SMB</v>
      </c>
      <c r="E1743" s="46" t="n">
        <f aca="false">IFERROR(VLOOKUP(Orders!C1743,Customers!$A$2:$F$301,3,FALSE()),"Not Found")</f>
        <v>34</v>
      </c>
      <c r="F1743" s="46" t="str">
        <f aca="false">IFERROR(VLOOKUP(Orders!E1743,Sales_Reps!$A$2:$E$31,3,FALSE()),"Not Found")</f>
        <v>North</v>
      </c>
      <c r="G1743" s="46" t="n">
        <f aca="false">IFERROR(VLOOKUP(Orders!D1743,Products!$A$2:$F$61,4,FALSE()),"")</f>
        <v>1143</v>
      </c>
      <c r="H1743" s="47" t="n">
        <f aca="false">IF(G1743="","",(Orders!G1743-G1743)/Orders!G1743)</f>
        <v>0.436945812807882</v>
      </c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/>
      <c r="AC1743" s="46"/>
      <c r="AD1743" s="46"/>
      <c r="AE1743" s="46"/>
      <c r="AF1743" s="46"/>
      <c r="AG1743" s="46"/>
      <c r="AH1743" s="46"/>
      <c r="AI1743" s="46"/>
      <c r="AJ1743" s="46"/>
      <c r="AK1743" s="4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</row>
    <row r="1744" customFormat="false" ht="15" hidden="false" customHeight="false" outlineLevel="0" collapsed="false">
      <c r="A1744" s="46" t="str">
        <f aca="false">Orders!A1744</f>
        <v>ORD-01743</v>
      </c>
      <c r="B1744" s="46" t="str">
        <f aca="false">PROPER(TRIM(Orders!K1744))</f>
        <v>Hyderabad</v>
      </c>
      <c r="C1744" s="46" t="str">
        <f aca="false">IFERROR(VLOOKUP(Orders!D1744,Products!$A$2:$F$61,3,FALSE()),"Not Found")</f>
        <v>Beauty</v>
      </c>
      <c r="D1744" s="46" t="str">
        <f aca="false">IFERROR(VLOOKUP(Orders!C1744,Customers!$A$2:$F$301,5,FALSE()),"Not Found")</f>
        <v>Retail</v>
      </c>
      <c r="E1744" s="46" t="n">
        <f aca="false">IFERROR(VLOOKUP(Orders!C1744,Customers!$A$2:$F$301,3,FALSE()),"Not Found")</f>
        <v>65</v>
      </c>
      <c r="F1744" s="46" t="str">
        <f aca="false">IFERROR(VLOOKUP(Orders!E1744,Sales_Reps!$A$2:$E$31,3,FALSE()),"Not Found")</f>
        <v>South</v>
      </c>
      <c r="G1744" s="46" t="n">
        <f aca="false">IFERROR(VLOOKUP(Orders!D1744,Products!$A$2:$F$61,4,FALSE()),"")</f>
        <v>2768</v>
      </c>
      <c r="H1744" s="47" t="n">
        <f aca="false">IF(G1744="","",(Orders!G1744-G1744)/Orders!G1744)</f>
        <v>0.432786885245902</v>
      </c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</row>
    <row r="1745" customFormat="false" ht="15" hidden="false" customHeight="false" outlineLevel="0" collapsed="false">
      <c r="A1745" s="46" t="str">
        <f aca="false">Orders!A1745</f>
        <v>ORD-01744</v>
      </c>
      <c r="B1745" s="46" t="str">
        <f aca="false">PROPER(TRIM(Orders!K1745))</f>
        <v>Hyderabad</v>
      </c>
      <c r="C1745" s="46" t="str">
        <f aca="false">IFERROR(VLOOKUP(Orders!D1745,Products!$A$2:$F$61,3,FALSE()),"Not Found")</f>
        <v>Beauty</v>
      </c>
      <c r="D1745" s="46" t="str">
        <f aca="false">IFERROR(VLOOKUP(Orders!C1745,Customers!$A$2:$F$301,5,FALSE()),"Not Found")</f>
        <v>SMB</v>
      </c>
      <c r="E1745" s="46" t="n">
        <f aca="false">IFERROR(VLOOKUP(Orders!C1745,Customers!$A$2:$F$301,3,FALSE()),"Not Found")</f>
        <v>29</v>
      </c>
      <c r="F1745" s="46" t="str">
        <f aca="false">IFERROR(VLOOKUP(Orders!E1745,Sales_Reps!$A$2:$E$31,3,FALSE()),"Not Found")</f>
        <v>East</v>
      </c>
      <c r="G1745" s="46" t="n">
        <f aca="false">IFERROR(VLOOKUP(Orders!D1745,Products!$A$2:$F$61,4,FALSE()),"")</f>
        <v>1728</v>
      </c>
      <c r="H1745" s="47" t="n">
        <f aca="false">IF(G1745="","",(Orders!G1745-G1745)/Orders!G1745)</f>
        <v>0.484179104477612</v>
      </c>
      <c r="I1745" s="46"/>
      <c r="J1745" s="46"/>
      <c r="K1745" s="46"/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46"/>
      <c r="AE1745" s="46"/>
      <c r="AF1745" s="46"/>
      <c r="AG1745" s="46"/>
      <c r="AH1745" s="46"/>
      <c r="AI1745" s="46"/>
      <c r="AJ1745" s="46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</row>
    <row r="1746" customFormat="false" ht="15" hidden="false" customHeight="false" outlineLevel="0" collapsed="false">
      <c r="A1746" s="46" t="str">
        <f aca="false">Orders!A1746</f>
        <v>ORD-01745</v>
      </c>
      <c r="B1746" s="46" t="str">
        <f aca="false">PROPER(TRIM(Orders!K1746))</f>
        <v>Pune</v>
      </c>
      <c r="C1746" s="46" t="str">
        <f aca="false">IFERROR(VLOOKUP(Orders!D1746,Products!$A$2:$F$61,3,FALSE()),"Not Found")</f>
        <v>Sports</v>
      </c>
      <c r="D1746" s="46" t="str">
        <f aca="false">IFERROR(VLOOKUP(Orders!C1746,Customers!$A$2:$F$301,5,FALSE()),"Not Found")</f>
        <v>Retail</v>
      </c>
      <c r="E1746" s="46" t="n">
        <f aca="false">IFERROR(VLOOKUP(Orders!C1746,Customers!$A$2:$F$301,3,FALSE()),"Not Found")</f>
        <v>59</v>
      </c>
      <c r="F1746" s="46" t="str">
        <f aca="false">IFERROR(VLOOKUP(Orders!E1746,Sales_Reps!$A$2:$E$31,3,FALSE()),"Not Found")</f>
        <v>West</v>
      </c>
      <c r="G1746" s="46" t="n">
        <f aca="false">IFERROR(VLOOKUP(Orders!D1746,Products!$A$2:$F$61,4,FALSE()),"")</f>
        <v>2028</v>
      </c>
      <c r="H1746" s="47" t="n">
        <f aca="false">IF(G1746="","",(Orders!G1746-G1746)/Orders!G1746)</f>
        <v>0.290909090909091</v>
      </c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/>
      <c r="AB1746" s="46"/>
      <c r="AC1746" s="46"/>
      <c r="AD1746" s="46"/>
      <c r="AE1746" s="46"/>
      <c r="AF1746" s="46"/>
      <c r="AG1746" s="46"/>
      <c r="AH1746" s="46"/>
      <c r="AI1746" s="46"/>
      <c r="AJ1746" s="46"/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</row>
    <row r="1747" customFormat="false" ht="15" hidden="false" customHeight="false" outlineLevel="0" collapsed="false">
      <c r="A1747" s="46" t="str">
        <f aca="false">Orders!A1747</f>
        <v>ORD-01746</v>
      </c>
      <c r="B1747" s="46" t="str">
        <f aca="false">PROPER(TRIM(Orders!K1747))</f>
        <v>Bengaluru</v>
      </c>
      <c r="C1747" s="46" t="str">
        <f aca="false">IFERROR(VLOOKUP(Orders!D1747,Products!$A$2:$F$61,3,FALSE()),"Not Found")</f>
        <v>Beauty</v>
      </c>
      <c r="D1747" s="46" t="str">
        <f aca="false">IFERROR(VLOOKUP(Orders!C1747,Customers!$A$2:$F$301,5,FALSE()),"Not Found")</f>
        <v>Retail</v>
      </c>
      <c r="E1747" s="46" t="n">
        <f aca="false">IFERROR(VLOOKUP(Orders!C1747,Customers!$A$2:$F$301,3,FALSE()),"Not Found")</f>
        <v>42</v>
      </c>
      <c r="F1747" s="46" t="str">
        <f aca="false">IFERROR(VLOOKUP(Orders!E1747,Sales_Reps!$A$2:$E$31,3,FALSE()),"Not Found")</f>
        <v>East</v>
      </c>
      <c r="G1747" s="46" t="n">
        <f aca="false">IFERROR(VLOOKUP(Orders!D1747,Products!$A$2:$F$61,4,FALSE()),"")</f>
        <v>2420</v>
      </c>
      <c r="H1747" s="47" t="n">
        <f aca="false">IF(G1747="","",(Orders!G1747-G1747)/Orders!G1747)</f>
        <v>0.298550724637681</v>
      </c>
      <c r="I1747" s="46"/>
      <c r="J1747" s="46"/>
      <c r="K1747" s="46"/>
      <c r="L1747" s="46"/>
      <c r="M1747" s="46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  <c r="X1747" s="46"/>
      <c r="Y1747" s="46"/>
      <c r="Z1747" s="46"/>
      <c r="AA1747" s="46"/>
      <c r="AB1747" s="46"/>
      <c r="AC1747" s="46"/>
      <c r="AD1747" s="46"/>
      <c r="AE1747" s="46"/>
      <c r="AF1747" s="46"/>
      <c r="AG1747" s="46"/>
      <c r="AH1747" s="46"/>
      <c r="AI1747" s="46"/>
      <c r="AJ1747" s="46"/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</row>
    <row r="1748" customFormat="false" ht="15" hidden="false" customHeight="false" outlineLevel="0" collapsed="false">
      <c r="A1748" s="46" t="str">
        <f aca="false">Orders!A1748</f>
        <v>ORD-01747</v>
      </c>
      <c r="B1748" s="46" t="str">
        <f aca="false">PROPER(TRIM(Orders!K1748))</f>
        <v>Pune</v>
      </c>
      <c r="C1748" s="46" t="str">
        <f aca="false">IFERROR(VLOOKUP(Orders!D1748,Products!$A$2:$F$61,3,FALSE()),"Not Found")</f>
        <v>Grocery</v>
      </c>
      <c r="D1748" s="46" t="str">
        <f aca="false">IFERROR(VLOOKUP(Orders!C1748,Customers!$A$2:$F$301,5,FALSE()),"Not Found")</f>
        <v>SMB</v>
      </c>
      <c r="E1748" s="46" t="n">
        <f aca="false">IFERROR(VLOOKUP(Orders!C1748,Customers!$A$2:$F$301,3,FALSE()),"Not Found")</f>
        <v>44</v>
      </c>
      <c r="F1748" s="46" t="str">
        <f aca="false">IFERROR(VLOOKUP(Orders!E1748,Sales_Reps!$A$2:$E$31,3,FALSE()),"Not Found")</f>
        <v>South</v>
      </c>
      <c r="G1748" s="46" t="n">
        <f aca="false">IFERROR(VLOOKUP(Orders!D1748,Products!$A$2:$F$61,4,FALSE()),"")</f>
        <v>1203</v>
      </c>
      <c r="H1748" s="47" t="n">
        <f aca="false">IF(G1748="","",(Orders!G1748-G1748)/Orders!G1748)</f>
        <v>0.470044052863436</v>
      </c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  <c r="AA1748" s="46"/>
      <c r="AB1748" s="46"/>
      <c r="AC1748" s="46"/>
      <c r="AD1748" s="46"/>
      <c r="AE1748" s="46"/>
      <c r="AF1748" s="46"/>
      <c r="AG1748" s="46"/>
      <c r="AH1748" s="46"/>
      <c r="AI1748" s="46"/>
      <c r="AJ1748" s="46"/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</row>
    <row r="1749" customFormat="false" ht="15" hidden="false" customHeight="false" outlineLevel="0" collapsed="false">
      <c r="A1749" s="46" t="str">
        <f aca="false">Orders!A1749</f>
        <v>ORD-01748</v>
      </c>
      <c r="B1749" s="46" t="str">
        <f aca="false">PROPER(TRIM(Orders!K1749))</f>
        <v>Delhi</v>
      </c>
      <c r="C1749" s="46" t="str">
        <f aca="false">IFERROR(VLOOKUP(Orders!D1749,Products!$A$2:$F$61,3,FALSE()),"Not Found")</f>
        <v>Grocery</v>
      </c>
      <c r="D1749" s="46" t="str">
        <f aca="false">IFERROR(VLOOKUP(Orders!C1749,Customers!$A$2:$F$301,5,FALSE()),"Not Found")</f>
        <v>SMB</v>
      </c>
      <c r="E1749" s="46" t="n">
        <f aca="false">IFERROR(VLOOKUP(Orders!C1749,Customers!$A$2:$F$301,3,FALSE()),"Not Found")</f>
        <v>29</v>
      </c>
      <c r="F1749" s="46" t="str">
        <f aca="false">IFERROR(VLOOKUP(Orders!E1749,Sales_Reps!$A$2:$E$31,3,FALSE()),"Not Found")</f>
        <v>North</v>
      </c>
      <c r="G1749" s="46" t="n">
        <f aca="false">IFERROR(VLOOKUP(Orders!D1749,Products!$A$2:$F$61,4,FALSE()),"")</f>
        <v>2214</v>
      </c>
      <c r="H1749" s="47" t="n">
        <f aca="false">IF(G1749="","",(Orders!G1749-G1749)/Orders!G1749)</f>
        <v>0.395081967213115</v>
      </c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/>
      <c r="AE1749" s="46"/>
      <c r="AF1749" s="46"/>
      <c r="AG1749" s="46"/>
      <c r="AH1749" s="46"/>
      <c r="AI1749" s="46"/>
      <c r="AJ1749" s="46"/>
      <c r="AK1749" s="4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</row>
    <row r="1750" customFormat="false" ht="15" hidden="false" customHeight="false" outlineLevel="0" collapsed="false">
      <c r="A1750" s="46" t="str">
        <f aca="false">Orders!A1750</f>
        <v>ORD-01749</v>
      </c>
      <c r="B1750" s="46" t="str">
        <f aca="false">PROPER(TRIM(Orders!K1750))</f>
        <v>Mumbai</v>
      </c>
      <c r="C1750" s="46" t="str">
        <f aca="false">IFERROR(VLOOKUP(Orders!D1750,Products!$A$2:$F$61,3,FALSE()),"Not Found")</f>
        <v>Beauty</v>
      </c>
      <c r="D1750" s="46" t="str">
        <f aca="false">IFERROR(VLOOKUP(Orders!C1750,Customers!$A$2:$F$301,5,FALSE()),"Not Found")</f>
        <v>Retail</v>
      </c>
      <c r="E1750" s="46" t="n">
        <f aca="false">IFERROR(VLOOKUP(Orders!C1750,Customers!$A$2:$F$301,3,FALSE()),"Not Found")</f>
        <v>53</v>
      </c>
      <c r="F1750" s="46" t="str">
        <f aca="false">IFERROR(VLOOKUP(Orders!E1750,Sales_Reps!$A$2:$E$31,3,FALSE()),"Not Found")</f>
        <v>North</v>
      </c>
      <c r="G1750" s="46" t="n">
        <f aca="false">IFERROR(VLOOKUP(Orders!D1750,Products!$A$2:$F$61,4,FALSE()),"")</f>
        <v>1626</v>
      </c>
      <c r="H1750" s="47" t="n">
        <f aca="false">IF(G1750="","",(Orders!G1750-G1750)/Orders!G1750)</f>
        <v>0.46158940397351</v>
      </c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</row>
    <row r="1751" customFormat="false" ht="15" hidden="false" customHeight="false" outlineLevel="0" collapsed="false">
      <c r="A1751" s="46" t="str">
        <f aca="false">Orders!A1751</f>
        <v>ORD-01750</v>
      </c>
      <c r="B1751" s="46" t="str">
        <f aca="false">PROPER(TRIM(Orders!K1751))</f>
        <v>Bengaluru</v>
      </c>
      <c r="C1751" s="46" t="str">
        <f aca="false">IFERROR(VLOOKUP(Orders!D1751,Products!$A$2:$F$61,3,FALSE()),"Not Found")</f>
        <v>Home</v>
      </c>
      <c r="D1751" s="46" t="str">
        <f aca="false">IFERROR(VLOOKUP(Orders!C1751,Customers!$A$2:$F$301,5,FALSE()),"Not Found")</f>
        <v>Retail</v>
      </c>
      <c r="E1751" s="46" t="n">
        <f aca="false">IFERROR(VLOOKUP(Orders!C1751,Customers!$A$2:$F$301,3,FALSE()),"Not Found")</f>
        <v>54</v>
      </c>
      <c r="F1751" s="46" t="str">
        <f aca="false">IFERROR(VLOOKUP(Orders!E1751,Sales_Reps!$A$2:$E$31,3,FALSE()),"Not Found")</f>
        <v>South</v>
      </c>
      <c r="G1751" s="46" t="n">
        <f aca="false">IFERROR(VLOOKUP(Orders!D1751,Products!$A$2:$F$61,4,FALSE()),"")</f>
        <v>519</v>
      </c>
      <c r="H1751" s="47" t="n">
        <f aca="false">IF(G1751="","",(Orders!G1751-G1751)/Orders!G1751)</f>
        <v>0.519444444444445</v>
      </c>
      <c r="I1751" s="46"/>
      <c r="J1751" s="46"/>
      <c r="K1751" s="46"/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  <c r="Y1751" s="46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</row>
    <row r="1752" customFormat="false" ht="15" hidden="false" customHeight="false" outlineLevel="0" collapsed="false">
      <c r="A1752" s="46" t="str">
        <f aca="false">Orders!A1752</f>
        <v>ORD-01751</v>
      </c>
      <c r="B1752" s="46" t="str">
        <f aca="false">PROPER(TRIM(Orders!K1752))</f>
        <v>Mumbai</v>
      </c>
      <c r="C1752" s="46" t="str">
        <f aca="false">IFERROR(VLOOKUP(Orders!D1752,Products!$A$2:$F$61,3,FALSE()),"Not Found")</f>
        <v>Grocery</v>
      </c>
      <c r="D1752" s="46" t="str">
        <f aca="false">IFERROR(VLOOKUP(Orders!C1752,Customers!$A$2:$F$301,5,FALSE()),"Not Found")</f>
        <v>SMB</v>
      </c>
      <c r="E1752" s="46" t="n">
        <f aca="false">IFERROR(VLOOKUP(Orders!C1752,Customers!$A$2:$F$301,3,FALSE()),"Not Found")</f>
        <v>61</v>
      </c>
      <c r="F1752" s="46" t="str">
        <f aca="false">IFERROR(VLOOKUP(Orders!E1752,Sales_Reps!$A$2:$E$31,3,FALSE()),"Not Found")</f>
        <v>South</v>
      </c>
      <c r="G1752" s="46" t="n">
        <f aca="false">IFERROR(VLOOKUP(Orders!D1752,Products!$A$2:$F$61,4,FALSE()),"")</f>
        <v>1412</v>
      </c>
      <c r="H1752" s="47" t="n">
        <f aca="false">IF(G1752="","",(Orders!G1752-G1752)/Orders!G1752)</f>
        <v>0.377973568281938</v>
      </c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  <c r="X1752" s="46"/>
      <c r="Y1752" s="46"/>
      <c r="Z1752" s="46"/>
      <c r="AA1752" s="46"/>
      <c r="AB1752" s="46"/>
      <c r="AC1752" s="46"/>
      <c r="AD1752" s="46"/>
      <c r="AE1752" s="46"/>
      <c r="AF1752" s="46"/>
      <c r="AG1752" s="46"/>
      <c r="AH1752" s="46"/>
      <c r="AI1752" s="46"/>
      <c r="AJ1752" s="46"/>
      <c r="AK1752" s="4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</row>
    <row r="1753" customFormat="false" ht="15" hidden="false" customHeight="false" outlineLevel="0" collapsed="false">
      <c r="A1753" s="46" t="str">
        <f aca="false">Orders!A1753</f>
        <v>ORD-01752</v>
      </c>
      <c r="B1753" s="46" t="str">
        <f aca="false">PROPER(TRIM(Orders!K1753))</f>
        <v>Pune</v>
      </c>
      <c r="C1753" s="46" t="str">
        <f aca="false">IFERROR(VLOOKUP(Orders!D1753,Products!$A$2:$F$61,3,FALSE()),"Not Found")</f>
        <v>Apparel</v>
      </c>
      <c r="D1753" s="46" t="str">
        <f aca="false">IFERROR(VLOOKUP(Orders!C1753,Customers!$A$2:$F$301,5,FALSE()),"Not Found")</f>
        <v>SMB</v>
      </c>
      <c r="E1753" s="46" t="n">
        <f aca="false">IFERROR(VLOOKUP(Orders!C1753,Customers!$A$2:$F$301,3,FALSE()),"Not Found")</f>
        <v>54</v>
      </c>
      <c r="F1753" s="46" t="str">
        <f aca="false">IFERROR(VLOOKUP(Orders!E1753,Sales_Reps!$A$2:$E$31,3,FALSE()),"Not Found")</f>
        <v>South</v>
      </c>
      <c r="G1753" s="46" t="n">
        <f aca="false">IFERROR(VLOOKUP(Orders!D1753,Products!$A$2:$F$61,4,FALSE()),"")</f>
        <v>396</v>
      </c>
      <c r="H1753" s="47" t="n">
        <f aca="false">IF(G1753="","",(Orders!G1753-G1753)/Orders!G1753)</f>
        <v>0.361290322580645</v>
      </c>
      <c r="I1753" s="46"/>
      <c r="J1753" s="46"/>
      <c r="K1753" s="46"/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  <c r="AE1753" s="46"/>
      <c r="AF1753" s="46"/>
      <c r="AG1753" s="46"/>
      <c r="AH1753" s="46"/>
      <c r="AI1753" s="46"/>
      <c r="AJ1753" s="46"/>
      <c r="AK1753" s="4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</row>
    <row r="1754" customFormat="false" ht="15" hidden="false" customHeight="false" outlineLevel="0" collapsed="false">
      <c r="A1754" s="46" t="str">
        <f aca="false">Orders!A1754</f>
        <v>ORD-01753</v>
      </c>
      <c r="B1754" s="46" t="str">
        <f aca="false">PROPER(TRIM(Orders!K1754))</f>
        <v>Mumbai</v>
      </c>
      <c r="C1754" s="46" t="str">
        <f aca="false">IFERROR(VLOOKUP(Orders!D1754,Products!$A$2:$F$61,3,FALSE()),"Not Found")</f>
        <v>Grocery</v>
      </c>
      <c r="D1754" s="46" t="str">
        <f aca="false">IFERROR(VLOOKUP(Orders!C1754,Customers!$A$2:$F$301,5,FALSE()),"Not Found")</f>
        <v>Retail</v>
      </c>
      <c r="E1754" s="46" t="n">
        <f aca="false">IFERROR(VLOOKUP(Orders!C1754,Customers!$A$2:$F$301,3,FALSE()),"Not Found")</f>
        <v>52</v>
      </c>
      <c r="F1754" s="46" t="str">
        <f aca="false">IFERROR(VLOOKUP(Orders!E1754,Sales_Reps!$A$2:$E$31,3,FALSE()),"Not Found")</f>
        <v>South</v>
      </c>
      <c r="G1754" s="46" t="n">
        <f aca="false">IFERROR(VLOOKUP(Orders!D1754,Products!$A$2:$F$61,4,FALSE()),"")</f>
        <v>2911</v>
      </c>
      <c r="H1754" s="47" t="n">
        <f aca="false">IF(G1754="","",(Orders!G1754-G1754)/Orders!G1754)</f>
        <v>0.283004926108374</v>
      </c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  <c r="AE1754" s="46"/>
      <c r="AF1754" s="46"/>
      <c r="AG1754" s="46"/>
      <c r="AH1754" s="46"/>
      <c r="AI1754" s="46"/>
      <c r="AJ1754" s="46"/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</row>
    <row r="1755" customFormat="false" ht="15" hidden="false" customHeight="false" outlineLevel="0" collapsed="false">
      <c r="A1755" s="46" t="str">
        <f aca="false">Orders!A1755</f>
        <v>ORD-01754</v>
      </c>
      <c r="B1755" s="46" t="str">
        <f aca="false">PROPER(TRIM(Orders!K1755))</f>
        <v>Hyderabad</v>
      </c>
      <c r="C1755" s="46" t="str">
        <f aca="false">IFERROR(VLOOKUP(Orders!D1755,Products!$A$2:$F$61,3,FALSE()),"Not Found")</f>
        <v>Grocery</v>
      </c>
      <c r="D1755" s="46" t="str">
        <f aca="false">IFERROR(VLOOKUP(Orders!C1755,Customers!$A$2:$F$301,5,FALSE()),"Not Found")</f>
        <v>Corporate</v>
      </c>
      <c r="E1755" s="46" t="n">
        <f aca="false">IFERROR(VLOOKUP(Orders!C1755,Customers!$A$2:$F$301,3,FALSE()),"Not Found")</f>
        <v>29</v>
      </c>
      <c r="F1755" s="46" t="str">
        <f aca="false">IFERROR(VLOOKUP(Orders!E1755,Sales_Reps!$A$2:$E$31,3,FALSE()),"Not Found")</f>
        <v>South</v>
      </c>
      <c r="G1755" s="46" t="n">
        <f aca="false">IFERROR(VLOOKUP(Orders!D1755,Products!$A$2:$F$61,4,FALSE()),"")</f>
        <v>2436</v>
      </c>
      <c r="H1755" s="47" t="n">
        <f aca="false">IF(G1755="","",(Orders!G1755-G1755)/Orders!G1755)</f>
        <v>0.355555555555556</v>
      </c>
      <c r="I1755" s="46"/>
      <c r="J1755" s="46"/>
      <c r="K1755" s="46"/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  <c r="Y1755" s="46"/>
      <c r="Z1755" s="46"/>
      <c r="AA1755" s="46"/>
      <c r="AB1755" s="46"/>
      <c r="AC1755" s="46"/>
      <c r="AD1755" s="46"/>
      <c r="AE1755" s="46"/>
      <c r="AF1755" s="46"/>
      <c r="AG1755" s="46"/>
      <c r="AH1755" s="46"/>
      <c r="AI1755" s="46"/>
      <c r="AJ1755" s="46"/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</row>
    <row r="1756" customFormat="false" ht="15" hidden="false" customHeight="false" outlineLevel="0" collapsed="false">
      <c r="A1756" s="46" t="str">
        <f aca="false">Orders!A1756</f>
        <v>ORD-01755</v>
      </c>
      <c r="B1756" s="46" t="str">
        <f aca="false">PROPER(TRIM(Orders!K1756))</f>
        <v>Delhi</v>
      </c>
      <c r="C1756" s="46" t="str">
        <f aca="false">IFERROR(VLOOKUP(Orders!D1756,Products!$A$2:$F$61,3,FALSE()),"Not Found")</f>
        <v>Grocery</v>
      </c>
      <c r="D1756" s="46" t="str">
        <f aca="false">IFERROR(VLOOKUP(Orders!C1756,Customers!$A$2:$F$301,5,FALSE()),"Not Found")</f>
        <v>SMB</v>
      </c>
      <c r="E1756" s="46" t="n">
        <f aca="false">IFERROR(VLOOKUP(Orders!C1756,Customers!$A$2:$F$301,3,FALSE()),"Not Found")</f>
        <v>55</v>
      </c>
      <c r="F1756" s="46" t="str">
        <f aca="false">IFERROR(VLOOKUP(Orders!E1756,Sales_Reps!$A$2:$E$31,3,FALSE()),"Not Found")</f>
        <v>East</v>
      </c>
      <c r="G1756" s="46" t="n">
        <f aca="false">IFERROR(VLOOKUP(Orders!D1756,Products!$A$2:$F$61,4,FALSE()),"")</f>
        <v>1182</v>
      </c>
      <c r="H1756" s="47" t="n">
        <f aca="false">IF(G1756="","",(Orders!G1756-G1756)/Orders!G1756)</f>
        <v>0.503361344537815</v>
      </c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46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</row>
    <row r="1757" customFormat="false" ht="15" hidden="false" customHeight="false" outlineLevel="0" collapsed="false">
      <c r="A1757" s="46" t="str">
        <f aca="false">Orders!A1757</f>
        <v>ORD-01756</v>
      </c>
      <c r="B1757" s="46" t="str">
        <f aca="false">PROPER(TRIM(Orders!K1757))</f>
        <v>Chennai</v>
      </c>
      <c r="C1757" s="46" t="str">
        <f aca="false">IFERROR(VLOOKUP(Orders!D1757,Products!$A$2:$F$61,3,FALSE()),"Not Found")</f>
        <v>Grocery</v>
      </c>
      <c r="D1757" s="46" t="str">
        <f aca="false">IFERROR(VLOOKUP(Orders!C1757,Customers!$A$2:$F$301,5,FALSE()),"Not Found")</f>
        <v>Retail</v>
      </c>
      <c r="E1757" s="46" t="n">
        <f aca="false">IFERROR(VLOOKUP(Orders!C1757,Customers!$A$2:$F$301,3,FALSE()),"Not Found")</f>
        <v>38</v>
      </c>
      <c r="F1757" s="46" t="str">
        <f aca="false">IFERROR(VLOOKUP(Orders!E1757,Sales_Reps!$A$2:$E$31,3,FALSE()),"Not Found")</f>
        <v>West</v>
      </c>
      <c r="G1757" s="46" t="n">
        <f aca="false">IFERROR(VLOOKUP(Orders!D1757,Products!$A$2:$F$61,4,FALSE()),"")</f>
        <v>2027</v>
      </c>
      <c r="H1757" s="47" t="n">
        <f aca="false">IF(G1757="","",(Orders!G1757-G1757)/Orders!G1757)</f>
        <v>0.501965601965602</v>
      </c>
      <c r="I1757" s="46"/>
      <c r="J1757" s="46"/>
      <c r="K1757" s="46"/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  <c r="Y1757" s="46"/>
      <c r="Z1757" s="46"/>
      <c r="AA1757" s="46"/>
      <c r="AB1757" s="46"/>
      <c r="AC1757" s="46"/>
      <c r="AD1757" s="46"/>
      <c r="AE1757" s="46"/>
      <c r="AF1757" s="46"/>
      <c r="AG1757" s="46"/>
      <c r="AH1757" s="46"/>
      <c r="AI1757" s="46"/>
      <c r="AJ1757" s="46"/>
      <c r="AK1757" s="4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</row>
    <row r="1758" customFormat="false" ht="15" hidden="false" customHeight="false" outlineLevel="0" collapsed="false">
      <c r="A1758" s="46" t="str">
        <f aca="false">Orders!A1758</f>
        <v>ORD-01757</v>
      </c>
      <c r="B1758" s="46" t="str">
        <f aca="false">PROPER(TRIM(Orders!K1758))</f>
        <v>Mumbai</v>
      </c>
      <c r="C1758" s="46" t="str">
        <f aca="false">IFERROR(VLOOKUP(Orders!D1758,Products!$A$2:$F$61,3,FALSE()),"Not Found")</f>
        <v>Electronics</v>
      </c>
      <c r="D1758" s="46" t="str">
        <f aca="false">IFERROR(VLOOKUP(Orders!C1758,Customers!$A$2:$F$301,5,FALSE()),"Not Found")</f>
        <v>Retail</v>
      </c>
      <c r="E1758" s="46" t="n">
        <f aca="false">IFERROR(VLOOKUP(Orders!C1758,Customers!$A$2:$F$301,3,FALSE()),"Not Found")</f>
        <v>29</v>
      </c>
      <c r="F1758" s="46" t="str">
        <f aca="false">IFERROR(VLOOKUP(Orders!E1758,Sales_Reps!$A$2:$E$31,3,FALSE()),"Not Found")</f>
        <v>East</v>
      </c>
      <c r="G1758" s="46" t="n">
        <f aca="false">IFERROR(VLOOKUP(Orders!D1758,Products!$A$2:$F$61,4,FALSE()),"")</f>
        <v>1149</v>
      </c>
      <c r="H1758" s="47" t="n">
        <f aca="false">IF(G1758="","",(Orders!G1758-G1758)/Orders!G1758)</f>
        <v>0.564772727272727</v>
      </c>
      <c r="I1758" s="46"/>
      <c r="J1758" s="46"/>
      <c r="K1758" s="46"/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  <c r="Y1758" s="46"/>
      <c r="Z1758" s="46"/>
      <c r="AA1758" s="46"/>
      <c r="AB1758" s="46"/>
      <c r="AC1758" s="46"/>
      <c r="AD1758" s="46"/>
      <c r="AE1758" s="46"/>
      <c r="AF1758" s="46"/>
      <c r="AG1758" s="46"/>
      <c r="AH1758" s="46"/>
      <c r="AI1758" s="46"/>
      <c r="AJ1758" s="46"/>
      <c r="AK1758" s="4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</row>
    <row r="1759" customFormat="false" ht="15" hidden="false" customHeight="false" outlineLevel="0" collapsed="false">
      <c r="A1759" s="46" t="str">
        <f aca="false">Orders!A1759</f>
        <v>ORD-01758</v>
      </c>
      <c r="B1759" s="46" t="str">
        <f aca="false">PROPER(TRIM(Orders!K1759))</f>
        <v>Delhi</v>
      </c>
      <c r="C1759" s="46" t="str">
        <f aca="false">IFERROR(VLOOKUP(Orders!D1759,Products!$A$2:$F$61,3,FALSE()),"Not Found")</f>
        <v>Sports</v>
      </c>
      <c r="D1759" s="46" t="str">
        <f aca="false">IFERROR(VLOOKUP(Orders!C1759,Customers!$A$2:$F$301,5,FALSE()),"Not Found")</f>
        <v>Retail</v>
      </c>
      <c r="E1759" s="46" t="n">
        <f aca="false">IFERROR(VLOOKUP(Orders!C1759,Customers!$A$2:$F$301,3,FALSE()),"Not Found")</f>
        <v>31</v>
      </c>
      <c r="F1759" s="46" t="str">
        <f aca="false">IFERROR(VLOOKUP(Orders!E1759,Sales_Reps!$A$2:$E$31,3,FALSE()),"Not Found")</f>
        <v>West</v>
      </c>
      <c r="G1759" s="46" t="n">
        <f aca="false">IFERROR(VLOOKUP(Orders!D1759,Products!$A$2:$F$61,4,FALSE()),"")</f>
        <v>1860</v>
      </c>
      <c r="H1759" s="47" t="n">
        <f aca="false">IF(G1759="","",(Orders!G1759-G1759)/Orders!G1759)</f>
        <v>0.507936507936508</v>
      </c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  <c r="Y1759" s="46"/>
      <c r="Z1759" s="46"/>
      <c r="AA1759" s="46"/>
      <c r="AB1759" s="46"/>
      <c r="AC1759" s="46"/>
      <c r="AD1759" s="46"/>
      <c r="AE1759" s="46"/>
      <c r="AF1759" s="46"/>
      <c r="AG1759" s="46"/>
      <c r="AH1759" s="46"/>
      <c r="AI1759" s="46"/>
      <c r="AJ1759" s="46"/>
      <c r="AK1759" s="4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</row>
    <row r="1760" customFormat="false" ht="15" hidden="false" customHeight="false" outlineLevel="0" collapsed="false">
      <c r="A1760" s="46" t="str">
        <f aca="false">Orders!A1760</f>
        <v>ORD-01759</v>
      </c>
      <c r="B1760" s="46" t="str">
        <f aca="false">PROPER(TRIM(Orders!K1760))</f>
        <v>Mumbai</v>
      </c>
      <c r="C1760" s="46" t="str">
        <f aca="false">IFERROR(VLOOKUP(Orders!D1760,Products!$A$2:$F$61,3,FALSE()),"Not Found")</f>
        <v>Beauty</v>
      </c>
      <c r="D1760" s="46" t="str">
        <f aca="false">IFERROR(VLOOKUP(Orders!C1760,Customers!$A$2:$F$301,5,FALSE()),"Not Found")</f>
        <v>Corporate</v>
      </c>
      <c r="E1760" s="46" t="n">
        <f aca="false">IFERROR(VLOOKUP(Orders!C1760,Customers!$A$2:$F$301,3,FALSE()),"Not Found")</f>
        <v>62</v>
      </c>
      <c r="F1760" s="46" t="str">
        <f aca="false">IFERROR(VLOOKUP(Orders!E1760,Sales_Reps!$A$2:$E$31,3,FALSE()),"Not Found")</f>
        <v>South</v>
      </c>
      <c r="G1760" s="46" t="n">
        <f aca="false">IFERROR(VLOOKUP(Orders!D1760,Products!$A$2:$F$61,4,FALSE()),"")</f>
        <v>1728</v>
      </c>
      <c r="H1760" s="47" t="n">
        <f aca="false">IF(G1760="","",(Orders!G1760-G1760)/Orders!G1760)</f>
        <v>0.484179104477612</v>
      </c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  <c r="X1760" s="46"/>
      <c r="Y1760" s="46"/>
      <c r="Z1760" s="46"/>
      <c r="AA1760" s="46"/>
      <c r="AB1760" s="46"/>
      <c r="AC1760" s="46"/>
      <c r="AD1760" s="46"/>
      <c r="AE1760" s="46"/>
      <c r="AF1760" s="46"/>
      <c r="AG1760" s="46"/>
      <c r="AH1760" s="46"/>
      <c r="AI1760" s="46"/>
      <c r="AJ1760" s="46"/>
      <c r="AK1760" s="4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</row>
    <row r="1761" customFormat="false" ht="15" hidden="false" customHeight="false" outlineLevel="0" collapsed="false">
      <c r="A1761" s="46" t="str">
        <f aca="false">Orders!A1761</f>
        <v>ORD-01760</v>
      </c>
      <c r="B1761" s="46" t="str">
        <f aca="false">PROPER(TRIM(Orders!K1761))</f>
        <v>Pune</v>
      </c>
      <c r="C1761" s="46" t="str">
        <f aca="false">IFERROR(VLOOKUP(Orders!D1761,Products!$A$2:$F$61,3,FALSE()),"Not Found")</f>
        <v>Apparel</v>
      </c>
      <c r="D1761" s="46" t="str">
        <f aca="false">IFERROR(VLOOKUP(Orders!C1761,Customers!$A$2:$F$301,5,FALSE()),"Not Found")</f>
        <v>SMB</v>
      </c>
      <c r="E1761" s="46" t="n">
        <f aca="false">IFERROR(VLOOKUP(Orders!C1761,Customers!$A$2:$F$301,3,FALSE()),"Not Found")</f>
        <v>35</v>
      </c>
      <c r="F1761" s="46" t="str">
        <f aca="false">IFERROR(VLOOKUP(Orders!E1761,Sales_Reps!$A$2:$E$31,3,FALSE()),"Not Found")</f>
        <v>West</v>
      </c>
      <c r="G1761" s="46" t="n">
        <f aca="false">IFERROR(VLOOKUP(Orders!D1761,Products!$A$2:$F$61,4,FALSE()),"")</f>
        <v>1886</v>
      </c>
      <c r="H1761" s="47" t="n">
        <f aca="false">IF(G1761="","",(Orders!G1761-G1761)/Orders!G1761)</f>
        <v>0.403164556962025</v>
      </c>
      <c r="I1761" s="46"/>
      <c r="J1761" s="46"/>
      <c r="K1761" s="46"/>
      <c r="L1761" s="46"/>
      <c r="M1761" s="46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6"/>
      <c r="AB1761" s="46"/>
      <c r="AC1761" s="46"/>
      <c r="AD1761" s="46"/>
      <c r="AE1761" s="46"/>
      <c r="AF1761" s="46"/>
      <c r="AG1761" s="46"/>
      <c r="AH1761" s="46"/>
      <c r="AI1761" s="46"/>
      <c r="AJ1761" s="46"/>
      <c r="AK1761" s="4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</row>
    <row r="1762" customFormat="false" ht="15" hidden="false" customHeight="false" outlineLevel="0" collapsed="false">
      <c r="A1762" s="46" t="str">
        <f aca="false">Orders!A1762</f>
        <v>ORD-01761</v>
      </c>
      <c r="B1762" s="46" t="str">
        <f aca="false">PROPER(TRIM(Orders!K1762))</f>
        <v>Bengaluru</v>
      </c>
      <c r="C1762" s="46" t="str">
        <f aca="false">IFERROR(VLOOKUP(Orders!D1762,Products!$A$2:$F$61,3,FALSE()),"Not Found")</f>
        <v>Sports</v>
      </c>
      <c r="D1762" s="46" t="str">
        <f aca="false">IFERROR(VLOOKUP(Orders!C1762,Customers!$A$2:$F$301,5,FALSE()),"Not Found")</f>
        <v>SMB</v>
      </c>
      <c r="E1762" s="46" t="n">
        <f aca="false">IFERROR(VLOOKUP(Orders!C1762,Customers!$A$2:$F$301,3,FALSE()),"Not Found")</f>
        <v>36</v>
      </c>
      <c r="F1762" s="46" t="str">
        <f aca="false">IFERROR(VLOOKUP(Orders!E1762,Sales_Reps!$A$2:$E$31,3,FALSE()),"Not Found")</f>
        <v>North</v>
      </c>
      <c r="G1762" s="46" t="n">
        <f aca="false">IFERROR(VLOOKUP(Orders!D1762,Products!$A$2:$F$61,4,FALSE()),"")</f>
        <v>2028</v>
      </c>
      <c r="H1762" s="47" t="n">
        <f aca="false">IF(G1762="","",(Orders!G1762-G1762)/Orders!G1762)</f>
        <v>0.290909090909091</v>
      </c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/>
      <c r="AC1762" s="46"/>
      <c r="AD1762" s="46"/>
      <c r="AE1762" s="46"/>
      <c r="AF1762" s="46"/>
      <c r="AG1762" s="46"/>
      <c r="AH1762" s="46"/>
      <c r="AI1762" s="46"/>
      <c r="AJ1762" s="46"/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</row>
    <row r="1763" customFormat="false" ht="15" hidden="false" customHeight="false" outlineLevel="0" collapsed="false">
      <c r="A1763" s="46" t="str">
        <f aca="false">Orders!A1763</f>
        <v>ORD-01762</v>
      </c>
      <c r="B1763" s="46" t="str">
        <f aca="false">PROPER(TRIM(Orders!K1763))</f>
        <v>Bengaluru</v>
      </c>
      <c r="C1763" s="46" t="str">
        <f aca="false">IFERROR(VLOOKUP(Orders!D1763,Products!$A$2:$F$61,3,FALSE()),"Not Found")</f>
        <v>Electronics</v>
      </c>
      <c r="D1763" s="46" t="str">
        <f aca="false">IFERROR(VLOOKUP(Orders!C1763,Customers!$A$2:$F$301,5,FALSE()),"Not Found")</f>
        <v>Corporate</v>
      </c>
      <c r="E1763" s="46" t="n">
        <f aca="false">IFERROR(VLOOKUP(Orders!C1763,Customers!$A$2:$F$301,3,FALSE()),"Not Found")</f>
        <v>43</v>
      </c>
      <c r="F1763" s="46" t="str">
        <f aca="false">IFERROR(VLOOKUP(Orders!E1763,Sales_Reps!$A$2:$E$31,3,FALSE()),"Not Found")</f>
        <v>South</v>
      </c>
      <c r="G1763" s="46" t="n">
        <f aca="false">IFERROR(VLOOKUP(Orders!D1763,Products!$A$2:$F$61,4,FALSE()),"")</f>
        <v>128</v>
      </c>
      <c r="H1763" s="47" t="n">
        <f aca="false">IF(G1763="","",(Orders!G1763-G1763)/Orders!G1763)</f>
        <v>0.573333333333333</v>
      </c>
      <c r="I1763" s="46"/>
      <c r="J1763" s="46"/>
      <c r="K1763" s="46"/>
      <c r="L1763" s="46"/>
      <c r="M1763" s="46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  <c r="Y1763" s="46"/>
      <c r="Z1763" s="46"/>
      <c r="AA1763" s="46"/>
      <c r="AB1763" s="46"/>
      <c r="AC1763" s="46"/>
      <c r="AD1763" s="46"/>
      <c r="AE1763" s="46"/>
      <c r="AF1763" s="46"/>
      <c r="AG1763" s="46"/>
      <c r="AH1763" s="46"/>
      <c r="AI1763" s="46"/>
      <c r="AJ1763" s="46"/>
      <c r="AK1763" s="4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</row>
    <row r="1764" customFormat="false" ht="15" hidden="false" customHeight="false" outlineLevel="0" collapsed="false">
      <c r="A1764" s="46" t="str">
        <f aca="false">Orders!A1764</f>
        <v>ORD-01763</v>
      </c>
      <c r="B1764" s="46" t="str">
        <f aca="false">PROPER(TRIM(Orders!K1764))</f>
        <v>Pune</v>
      </c>
      <c r="C1764" s="46" t="str">
        <f aca="false">IFERROR(VLOOKUP(Orders!D1764,Products!$A$2:$F$61,3,FALSE()),"Not Found")</f>
        <v>Sports</v>
      </c>
      <c r="D1764" s="46" t="str">
        <f aca="false">IFERROR(VLOOKUP(Orders!C1764,Customers!$A$2:$F$301,5,FALSE()),"Not Found")</f>
        <v>Corporate</v>
      </c>
      <c r="E1764" s="46" t="n">
        <f aca="false">IFERROR(VLOOKUP(Orders!C1764,Customers!$A$2:$F$301,3,FALSE()),"Not Found")</f>
        <v>29</v>
      </c>
      <c r="F1764" s="46" t="str">
        <f aca="false">IFERROR(VLOOKUP(Orders!E1764,Sales_Reps!$A$2:$E$31,3,FALSE()),"Not Found")</f>
        <v>East</v>
      </c>
      <c r="G1764" s="46" t="n">
        <f aca="false">IFERROR(VLOOKUP(Orders!D1764,Products!$A$2:$F$61,4,FALSE()),"")</f>
        <v>147</v>
      </c>
      <c r="H1764" s="47" t="n">
        <f aca="false">IF(G1764="","",(Orders!G1764-G1764)/Orders!G1764)</f>
        <v>0.226315789473684</v>
      </c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  <c r="AA1764" s="46"/>
      <c r="AB1764" s="46"/>
      <c r="AC1764" s="46"/>
      <c r="AD1764" s="46"/>
      <c r="AE1764" s="46"/>
      <c r="AF1764" s="46"/>
      <c r="AG1764" s="46"/>
      <c r="AH1764" s="46"/>
      <c r="AI1764" s="46"/>
      <c r="AJ1764" s="46"/>
      <c r="AK1764" s="4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</row>
    <row r="1765" customFormat="false" ht="15" hidden="false" customHeight="false" outlineLevel="0" collapsed="false">
      <c r="A1765" s="46" t="str">
        <f aca="false">Orders!A1765</f>
        <v>ORD-01764</v>
      </c>
      <c r="B1765" s="46" t="str">
        <f aca="false">PROPER(TRIM(Orders!K1765))</f>
        <v>Pune</v>
      </c>
      <c r="C1765" s="46" t="str">
        <f aca="false">IFERROR(VLOOKUP(Orders!D1765,Products!$A$2:$F$61,3,FALSE()),"Not Found")</f>
        <v>Sports</v>
      </c>
      <c r="D1765" s="46" t="str">
        <f aca="false">IFERROR(VLOOKUP(Orders!C1765,Customers!$A$2:$F$301,5,FALSE()),"Not Found")</f>
        <v>Retail</v>
      </c>
      <c r="E1765" s="46" t="n">
        <f aca="false">IFERROR(VLOOKUP(Orders!C1765,Customers!$A$2:$F$301,3,FALSE()),"Not Found")</f>
        <v>65</v>
      </c>
      <c r="F1765" s="46" t="str">
        <f aca="false">IFERROR(VLOOKUP(Orders!E1765,Sales_Reps!$A$2:$E$31,3,FALSE()),"Not Found")</f>
        <v>East</v>
      </c>
      <c r="G1765" s="46" t="n">
        <f aca="false">IFERROR(VLOOKUP(Orders!D1765,Products!$A$2:$F$61,4,FALSE()),"")</f>
        <v>516</v>
      </c>
      <c r="H1765" s="47" t="n">
        <f aca="false">IF(G1765="","",(Orders!G1765-G1765)/Orders!G1765)</f>
        <v>0.489108910891089</v>
      </c>
      <c r="I1765" s="46"/>
      <c r="J1765" s="46"/>
      <c r="K1765" s="46"/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  <c r="Y1765" s="46"/>
      <c r="Z1765" s="46"/>
      <c r="AA1765" s="46"/>
      <c r="AB1765" s="46"/>
      <c r="AC1765" s="46"/>
      <c r="AD1765" s="46"/>
      <c r="AE1765" s="46"/>
      <c r="AF1765" s="46"/>
      <c r="AG1765" s="46"/>
      <c r="AH1765" s="46"/>
      <c r="AI1765" s="46"/>
      <c r="AJ1765" s="46"/>
      <c r="AK1765" s="4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</row>
    <row r="1766" customFormat="false" ht="15" hidden="false" customHeight="false" outlineLevel="0" collapsed="false">
      <c r="A1766" s="46" t="str">
        <f aca="false">Orders!A1766</f>
        <v>ORD-01765</v>
      </c>
      <c r="B1766" s="46" t="str">
        <f aca="false">PROPER(TRIM(Orders!K1766))</f>
        <v>Delhi</v>
      </c>
      <c r="C1766" s="46" t="str">
        <f aca="false">IFERROR(VLOOKUP(Orders!D1766,Products!$A$2:$F$61,3,FALSE()),"Not Found")</f>
        <v>Sports</v>
      </c>
      <c r="D1766" s="46" t="str">
        <f aca="false">IFERROR(VLOOKUP(Orders!C1766,Customers!$A$2:$F$301,5,FALSE()),"Not Found")</f>
        <v>SMB</v>
      </c>
      <c r="E1766" s="46" t="n">
        <f aca="false">IFERROR(VLOOKUP(Orders!C1766,Customers!$A$2:$F$301,3,FALSE()),"Not Found")</f>
        <v>50</v>
      </c>
      <c r="F1766" s="46" t="str">
        <f aca="false">IFERROR(VLOOKUP(Orders!E1766,Sales_Reps!$A$2:$E$31,3,FALSE()),"Not Found")</f>
        <v>North</v>
      </c>
      <c r="G1766" s="46" t="n">
        <f aca="false">IFERROR(VLOOKUP(Orders!D1766,Products!$A$2:$F$61,4,FALSE()),"")</f>
        <v>2467</v>
      </c>
      <c r="H1766" s="47" t="n">
        <f aca="false">IF(G1766="","",(Orders!G1766-G1766)/Orders!G1766)</f>
        <v>0.284927536231884</v>
      </c>
      <c r="I1766" s="46"/>
      <c r="J1766" s="46"/>
      <c r="K1766" s="46"/>
      <c r="L1766" s="46"/>
      <c r="M1766" s="46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  <c r="X1766" s="46"/>
      <c r="Y1766" s="46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</row>
    <row r="1767" customFormat="false" ht="15" hidden="false" customHeight="false" outlineLevel="0" collapsed="false">
      <c r="A1767" s="46" t="str">
        <f aca="false">Orders!A1767</f>
        <v>ORD-01766</v>
      </c>
      <c r="B1767" s="46" t="str">
        <f aca="false">PROPER(TRIM(Orders!K1767))</f>
        <v>Chennai</v>
      </c>
      <c r="C1767" s="46" t="str">
        <f aca="false">IFERROR(VLOOKUP(Orders!D1767,Products!$A$2:$F$61,3,FALSE()),"Not Found")</f>
        <v>Electronics</v>
      </c>
      <c r="D1767" s="46" t="str">
        <f aca="false">IFERROR(VLOOKUP(Orders!C1767,Customers!$A$2:$F$301,5,FALSE()),"Not Found")</f>
        <v>Corporate</v>
      </c>
      <c r="E1767" s="46" t="n">
        <f aca="false">IFERROR(VLOOKUP(Orders!C1767,Customers!$A$2:$F$301,3,FALSE()),"Not Found")</f>
        <v>52</v>
      </c>
      <c r="F1767" s="46" t="str">
        <f aca="false">IFERROR(VLOOKUP(Orders!E1767,Sales_Reps!$A$2:$E$31,3,FALSE()),"Not Found")</f>
        <v>North</v>
      </c>
      <c r="G1767" s="46" t="n">
        <f aca="false">IFERROR(VLOOKUP(Orders!D1767,Products!$A$2:$F$61,4,FALSE()),"")</f>
        <v>128</v>
      </c>
      <c r="H1767" s="47" t="n">
        <f aca="false">IF(G1767="","",(Orders!G1767-G1767)/Orders!G1767)</f>
        <v>0.573333333333333</v>
      </c>
      <c r="I1767" s="46"/>
      <c r="J1767" s="46"/>
      <c r="K1767" s="46"/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  <c r="Y1767" s="46"/>
      <c r="Z1767" s="46"/>
      <c r="AA1767" s="46"/>
      <c r="AB1767" s="46"/>
      <c r="AC1767" s="46"/>
      <c r="AD1767" s="46"/>
      <c r="AE1767" s="46"/>
      <c r="AF1767" s="46"/>
      <c r="AG1767" s="46"/>
      <c r="AH1767" s="46"/>
      <c r="AI1767" s="46"/>
      <c r="AJ1767" s="46"/>
      <c r="AK1767" s="4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</row>
    <row r="1768" customFormat="false" ht="15" hidden="false" customHeight="false" outlineLevel="0" collapsed="false">
      <c r="A1768" s="46" t="str">
        <f aca="false">Orders!A1768</f>
        <v>ORD-01767</v>
      </c>
      <c r="B1768" s="46" t="str">
        <f aca="false">PROPER(TRIM(Orders!K1768))</f>
        <v>Mumbai</v>
      </c>
      <c r="C1768" s="46" t="str">
        <f aca="false">IFERROR(VLOOKUP(Orders!D1768,Products!$A$2:$F$61,3,FALSE()),"Not Found")</f>
        <v>Home</v>
      </c>
      <c r="D1768" s="46" t="str">
        <f aca="false">IFERROR(VLOOKUP(Orders!C1768,Customers!$A$2:$F$301,5,FALSE()),"Not Found")</f>
        <v>SMB</v>
      </c>
      <c r="E1768" s="46" t="n">
        <f aca="false">IFERROR(VLOOKUP(Orders!C1768,Customers!$A$2:$F$301,3,FALSE()),"Not Found")</f>
        <v>54</v>
      </c>
      <c r="F1768" s="46" t="str">
        <f aca="false">IFERROR(VLOOKUP(Orders!E1768,Sales_Reps!$A$2:$E$31,3,FALSE()),"Not Found")</f>
        <v>East</v>
      </c>
      <c r="G1768" s="46" t="n">
        <f aca="false">IFERROR(VLOOKUP(Orders!D1768,Products!$A$2:$F$61,4,FALSE()),"")</f>
        <v>2135</v>
      </c>
      <c r="H1768" s="47" t="n">
        <f aca="false">IF(G1768="","",(Orders!G1768-G1768)/Orders!G1768)</f>
        <v>0.427613941018767</v>
      </c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  <c r="Y1768" s="46"/>
      <c r="Z1768" s="46"/>
      <c r="AA1768" s="46"/>
      <c r="AB1768" s="46"/>
      <c r="AC1768" s="46"/>
      <c r="AD1768" s="46"/>
      <c r="AE1768" s="46"/>
      <c r="AF1768" s="46"/>
      <c r="AG1768" s="46"/>
      <c r="AH1768" s="46"/>
      <c r="AI1768" s="46"/>
      <c r="AJ1768" s="46"/>
      <c r="AK1768" s="4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</row>
    <row r="1769" customFormat="false" ht="15" hidden="false" customHeight="false" outlineLevel="0" collapsed="false">
      <c r="A1769" s="46" t="str">
        <f aca="false">Orders!A1769</f>
        <v>ORD-01768</v>
      </c>
      <c r="B1769" s="46" t="str">
        <f aca="false">PROPER(TRIM(Orders!K1769))</f>
        <v>Chennai</v>
      </c>
      <c r="C1769" s="46" t="str">
        <f aca="false">IFERROR(VLOOKUP(Orders!D1769,Products!$A$2:$F$61,3,FALSE()),"Not Found")</f>
        <v>Sports</v>
      </c>
      <c r="D1769" s="46" t="str">
        <f aca="false">IFERROR(VLOOKUP(Orders!C1769,Customers!$A$2:$F$301,5,FALSE()),"Not Found")</f>
        <v>Corporate</v>
      </c>
      <c r="E1769" s="46" t="n">
        <f aca="false">IFERROR(VLOOKUP(Orders!C1769,Customers!$A$2:$F$301,3,FALSE()),"Not Found")</f>
        <v>55</v>
      </c>
      <c r="F1769" s="46" t="str">
        <f aca="false">IFERROR(VLOOKUP(Orders!E1769,Sales_Reps!$A$2:$E$31,3,FALSE()),"Not Found")</f>
        <v>East</v>
      </c>
      <c r="G1769" s="46" t="n">
        <f aca="false">IFERROR(VLOOKUP(Orders!D1769,Products!$A$2:$F$61,4,FALSE()),"")</f>
        <v>974</v>
      </c>
      <c r="H1769" s="47" t="n">
        <f aca="false">IF(G1769="","",(Orders!G1769-G1769)/Orders!G1769)</f>
        <v>0.594166666666667</v>
      </c>
      <c r="I1769" s="46"/>
      <c r="J1769" s="46"/>
      <c r="K1769" s="46"/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  <c r="Y1769" s="46"/>
      <c r="Z1769" s="46"/>
      <c r="AA1769" s="46"/>
      <c r="AB1769" s="46"/>
      <c r="AC1769" s="46"/>
      <c r="AD1769" s="46"/>
      <c r="AE1769" s="46"/>
      <c r="AF1769" s="46"/>
      <c r="AG1769" s="46"/>
      <c r="AH1769" s="46"/>
      <c r="AI1769" s="46"/>
      <c r="AJ1769" s="46"/>
      <c r="AK1769" s="4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</row>
    <row r="1770" customFormat="false" ht="15" hidden="false" customHeight="false" outlineLevel="0" collapsed="false">
      <c r="A1770" s="46" t="str">
        <f aca="false">Orders!A1770</f>
        <v>ORD-01769</v>
      </c>
      <c r="B1770" s="46" t="str">
        <f aca="false">PROPER(TRIM(Orders!K1770))</f>
        <v>Bengaluru</v>
      </c>
      <c r="C1770" s="46" t="str">
        <f aca="false">IFERROR(VLOOKUP(Orders!D1770,Products!$A$2:$F$61,3,FALSE()),"Not Found")</f>
        <v>Grocery</v>
      </c>
      <c r="D1770" s="46" t="str">
        <f aca="false">IFERROR(VLOOKUP(Orders!C1770,Customers!$A$2:$F$301,5,FALSE()),"Not Found")</f>
        <v>Retail</v>
      </c>
      <c r="E1770" s="46" t="n">
        <f aca="false">IFERROR(VLOOKUP(Orders!C1770,Customers!$A$2:$F$301,3,FALSE()),"Not Found")</f>
        <v>59</v>
      </c>
      <c r="F1770" s="46" t="str">
        <f aca="false">IFERROR(VLOOKUP(Orders!E1770,Sales_Reps!$A$2:$E$31,3,FALSE()),"Not Found")</f>
        <v>North</v>
      </c>
      <c r="G1770" s="46" t="n">
        <f aca="false">IFERROR(VLOOKUP(Orders!D1770,Products!$A$2:$F$61,4,FALSE()),"")</f>
        <v>1435</v>
      </c>
      <c r="H1770" s="47" t="n">
        <f aca="false">IF(G1770="","",(Orders!G1770-G1770)/Orders!G1770)</f>
        <v>0.480072463768116</v>
      </c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</row>
    <row r="1771" customFormat="false" ht="15" hidden="false" customHeight="false" outlineLevel="0" collapsed="false">
      <c r="A1771" s="46" t="str">
        <f aca="false">Orders!A1771</f>
        <v>ORD-01770</v>
      </c>
      <c r="B1771" s="46" t="str">
        <f aca="false">PROPER(TRIM(Orders!K1771))</f>
        <v>Hyderabad</v>
      </c>
      <c r="C1771" s="46" t="str">
        <f aca="false">IFERROR(VLOOKUP(Orders!D1771,Products!$A$2:$F$61,3,FALSE()),"Not Found")</f>
        <v>Sports</v>
      </c>
      <c r="D1771" s="46" t="str">
        <f aca="false">IFERROR(VLOOKUP(Orders!C1771,Customers!$A$2:$F$301,5,FALSE()),"Not Found")</f>
        <v>Retail</v>
      </c>
      <c r="E1771" s="46" t="n">
        <f aca="false">IFERROR(VLOOKUP(Orders!C1771,Customers!$A$2:$F$301,3,FALSE()),"Not Found")</f>
        <v>26</v>
      </c>
      <c r="F1771" s="46" t="str">
        <f aca="false">IFERROR(VLOOKUP(Orders!E1771,Sales_Reps!$A$2:$E$31,3,FALSE()),"Not Found")</f>
        <v>South</v>
      </c>
      <c r="G1771" s="46" t="n">
        <f aca="false">IFERROR(VLOOKUP(Orders!D1771,Products!$A$2:$F$61,4,FALSE()),"")</f>
        <v>302</v>
      </c>
      <c r="H1771" s="47" t="n">
        <f aca="false">IF(G1771="","",(Orders!G1771-G1771)/Orders!G1771)</f>
        <v>0.357446808510638</v>
      </c>
      <c r="I1771" s="46"/>
      <c r="J1771" s="46"/>
      <c r="K1771" s="46"/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  <c r="Y1771" s="46"/>
      <c r="Z1771" s="46"/>
      <c r="AA1771" s="46"/>
      <c r="AB1771" s="46"/>
      <c r="AC1771" s="46"/>
      <c r="AD1771" s="46"/>
      <c r="AE1771" s="46"/>
      <c r="AF1771" s="46"/>
      <c r="AG1771" s="46"/>
      <c r="AH1771" s="46"/>
      <c r="AI1771" s="46"/>
      <c r="AJ1771" s="46"/>
      <c r="AK1771" s="4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</row>
    <row r="1772" customFormat="false" ht="15" hidden="false" customHeight="false" outlineLevel="0" collapsed="false">
      <c r="A1772" s="46" t="str">
        <f aca="false">Orders!A1772</f>
        <v>ORD-01771</v>
      </c>
      <c r="B1772" s="46" t="str">
        <f aca="false">PROPER(TRIM(Orders!K1772))</f>
        <v>Chennai</v>
      </c>
      <c r="C1772" s="46" t="str">
        <f aca="false">IFERROR(VLOOKUP(Orders!D1772,Products!$A$2:$F$61,3,FALSE()),"Not Found")</f>
        <v>Sports</v>
      </c>
      <c r="D1772" s="46" t="str">
        <f aca="false">IFERROR(VLOOKUP(Orders!C1772,Customers!$A$2:$F$301,5,FALSE()),"Not Found")</f>
        <v>Retail</v>
      </c>
      <c r="E1772" s="46" t="n">
        <f aca="false">IFERROR(VLOOKUP(Orders!C1772,Customers!$A$2:$F$301,3,FALSE()),"Not Found")</f>
        <v>61</v>
      </c>
      <c r="F1772" s="46" t="str">
        <f aca="false">IFERROR(VLOOKUP(Orders!E1772,Sales_Reps!$A$2:$E$31,3,FALSE()),"Not Found")</f>
        <v>West</v>
      </c>
      <c r="G1772" s="46" t="n">
        <f aca="false">IFERROR(VLOOKUP(Orders!D1772,Products!$A$2:$F$61,4,FALSE()),"")</f>
        <v>302</v>
      </c>
      <c r="H1772" s="47" t="n">
        <f aca="false">IF(G1772="","",(Orders!G1772-G1772)/Orders!G1772)</f>
        <v>0.357446808510638</v>
      </c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  <c r="Y1772" s="46"/>
      <c r="Z1772" s="46"/>
      <c r="AA1772" s="46"/>
      <c r="AB1772" s="46"/>
      <c r="AC1772" s="46"/>
      <c r="AD1772" s="46"/>
      <c r="AE1772" s="46"/>
      <c r="AF1772" s="46"/>
      <c r="AG1772" s="46"/>
      <c r="AH1772" s="46"/>
      <c r="AI1772" s="46"/>
      <c r="AJ1772" s="46"/>
      <c r="AK1772" s="4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</row>
    <row r="1773" customFormat="false" ht="15" hidden="false" customHeight="false" outlineLevel="0" collapsed="false">
      <c r="A1773" s="46" t="str">
        <f aca="false">Orders!A1773</f>
        <v>ORD-01772</v>
      </c>
      <c r="B1773" s="46" t="str">
        <f aca="false">PROPER(TRIM(Orders!K1773))</f>
        <v>Pune</v>
      </c>
      <c r="C1773" s="46" t="str">
        <f aca="false">IFERROR(VLOOKUP(Orders!D1773,Products!$A$2:$F$61,3,FALSE()),"Not Found")</f>
        <v>Home</v>
      </c>
      <c r="D1773" s="46" t="str">
        <f aca="false">IFERROR(VLOOKUP(Orders!C1773,Customers!$A$2:$F$301,5,FALSE()),"Not Found")</f>
        <v>Retail</v>
      </c>
      <c r="E1773" s="46" t="n">
        <f aca="false">IFERROR(VLOOKUP(Orders!C1773,Customers!$A$2:$F$301,3,FALSE()),"Not Found")</f>
        <v>59</v>
      </c>
      <c r="F1773" s="46" t="str">
        <f aca="false">IFERROR(VLOOKUP(Orders!E1773,Sales_Reps!$A$2:$E$31,3,FALSE()),"Not Found")</f>
        <v>West</v>
      </c>
      <c r="G1773" s="46" t="n">
        <f aca="false">IFERROR(VLOOKUP(Orders!D1773,Products!$A$2:$F$61,4,FALSE()),"")</f>
        <v>288</v>
      </c>
      <c r="H1773" s="47" t="n">
        <f aca="false">IF(G1773="","",(Orders!G1773-G1773)/Orders!G1773)</f>
        <v>0.221621621621622</v>
      </c>
      <c r="I1773" s="46"/>
      <c r="J1773" s="46"/>
      <c r="K1773" s="46"/>
      <c r="L1773" s="46"/>
      <c r="M1773" s="46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  <c r="X1773" s="46"/>
      <c r="Y1773" s="46"/>
      <c r="Z1773" s="46"/>
      <c r="AA1773" s="46"/>
      <c r="AB1773" s="46"/>
      <c r="AC1773" s="46"/>
      <c r="AD1773" s="46"/>
      <c r="AE1773" s="46"/>
      <c r="AF1773" s="46"/>
      <c r="AG1773" s="46"/>
      <c r="AH1773" s="46"/>
      <c r="AI1773" s="46"/>
      <c r="AJ1773" s="46"/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</row>
    <row r="1774" customFormat="false" ht="15" hidden="false" customHeight="false" outlineLevel="0" collapsed="false">
      <c r="A1774" s="46" t="str">
        <f aca="false">Orders!A1774</f>
        <v>ORD-01773</v>
      </c>
      <c r="B1774" s="46" t="str">
        <f aca="false">PROPER(TRIM(Orders!K1774))</f>
        <v>Mumbai</v>
      </c>
      <c r="C1774" s="46" t="str">
        <f aca="false">IFERROR(VLOOKUP(Orders!D1774,Products!$A$2:$F$61,3,FALSE()),"Not Found")</f>
        <v>Grocery</v>
      </c>
      <c r="D1774" s="46" t="str">
        <f aca="false">IFERROR(VLOOKUP(Orders!C1774,Customers!$A$2:$F$301,5,FALSE()),"Not Found")</f>
        <v>Retail</v>
      </c>
      <c r="E1774" s="46" t="n">
        <f aca="false">IFERROR(VLOOKUP(Orders!C1774,Customers!$A$2:$F$301,3,FALSE()),"Not Found")</f>
        <v>29</v>
      </c>
      <c r="F1774" s="46" t="str">
        <f aca="false">IFERROR(VLOOKUP(Orders!E1774,Sales_Reps!$A$2:$E$31,3,FALSE()),"Not Found")</f>
        <v>North</v>
      </c>
      <c r="G1774" s="46" t="n">
        <f aca="false">IFERROR(VLOOKUP(Orders!D1774,Products!$A$2:$F$61,4,FALSE()),"")</f>
        <v>1010</v>
      </c>
      <c r="H1774" s="47" t="n">
        <f aca="false">IF(G1774="","",(Orders!G1774-G1774)/Orders!G1774)</f>
        <v>0.542986425339367</v>
      </c>
      <c r="I1774" s="46"/>
      <c r="J1774" s="46"/>
      <c r="K1774" s="46"/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  <c r="Y1774" s="46"/>
      <c r="Z1774" s="46"/>
      <c r="AA1774" s="46"/>
      <c r="AB1774" s="46"/>
      <c r="AC1774" s="46"/>
      <c r="AD1774" s="46"/>
      <c r="AE1774" s="46"/>
      <c r="AF1774" s="46"/>
      <c r="AG1774" s="46"/>
      <c r="AH1774" s="46"/>
      <c r="AI1774" s="46"/>
      <c r="AJ1774" s="46"/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</row>
    <row r="1775" customFormat="false" ht="15" hidden="false" customHeight="false" outlineLevel="0" collapsed="false">
      <c r="A1775" s="46" t="str">
        <f aca="false">Orders!A1775</f>
        <v>ORD-01774</v>
      </c>
      <c r="B1775" s="46" t="str">
        <f aca="false">PROPER(TRIM(Orders!K1775))</f>
        <v>Hyderabad</v>
      </c>
      <c r="C1775" s="46" t="str">
        <f aca="false">IFERROR(VLOOKUP(Orders!D1775,Products!$A$2:$F$61,3,FALSE()),"Not Found")</f>
        <v>Sports</v>
      </c>
      <c r="D1775" s="46" t="str">
        <f aca="false">IFERROR(VLOOKUP(Orders!C1775,Customers!$A$2:$F$301,5,FALSE()),"Not Found")</f>
        <v>SMB</v>
      </c>
      <c r="E1775" s="46" t="n">
        <f aca="false">IFERROR(VLOOKUP(Orders!C1775,Customers!$A$2:$F$301,3,FALSE()),"Not Found")</f>
        <v>43</v>
      </c>
      <c r="F1775" s="46" t="str">
        <f aca="false">IFERROR(VLOOKUP(Orders!E1775,Sales_Reps!$A$2:$E$31,3,FALSE()),"Not Found")</f>
        <v>North</v>
      </c>
      <c r="G1775" s="46" t="n">
        <f aca="false">IFERROR(VLOOKUP(Orders!D1775,Products!$A$2:$F$61,4,FALSE()),"")</f>
        <v>2827</v>
      </c>
      <c r="H1775" s="47" t="n">
        <f aca="false">IF(G1775="","",(Orders!G1775-G1775)/Orders!G1775)</f>
        <v>0.592651296829971</v>
      </c>
      <c r="I1775" s="46"/>
      <c r="J1775" s="46"/>
      <c r="K1775" s="46"/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  <c r="Y1775" s="46"/>
      <c r="Z1775" s="46"/>
      <c r="AA1775" s="46"/>
      <c r="AB1775" s="46"/>
      <c r="AC1775" s="46"/>
      <c r="AD1775" s="46"/>
      <c r="AE1775" s="46"/>
      <c r="AF1775" s="46"/>
      <c r="AG1775" s="46"/>
      <c r="AH1775" s="46"/>
      <c r="AI1775" s="46"/>
      <c r="AJ1775" s="46"/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</row>
    <row r="1776" customFormat="false" ht="15" hidden="false" customHeight="false" outlineLevel="0" collapsed="false">
      <c r="A1776" s="46" t="str">
        <f aca="false">Orders!A1776</f>
        <v>ORD-01775</v>
      </c>
      <c r="B1776" s="46" t="str">
        <f aca="false">PROPER(TRIM(Orders!K1776))</f>
        <v>Pune</v>
      </c>
      <c r="C1776" s="46" t="str">
        <f aca="false">IFERROR(VLOOKUP(Orders!D1776,Products!$A$2:$F$61,3,FALSE()),"Not Found")</f>
        <v>Home</v>
      </c>
      <c r="D1776" s="46" t="str">
        <f aca="false">IFERROR(VLOOKUP(Orders!C1776,Customers!$A$2:$F$301,5,FALSE()),"Not Found")</f>
        <v>Retail</v>
      </c>
      <c r="E1776" s="46" t="n">
        <f aca="false">IFERROR(VLOOKUP(Orders!C1776,Customers!$A$2:$F$301,3,FALSE()),"Not Found")</f>
        <v>54</v>
      </c>
      <c r="F1776" s="46" t="str">
        <f aca="false">IFERROR(VLOOKUP(Orders!E1776,Sales_Reps!$A$2:$E$31,3,FALSE()),"Not Found")</f>
        <v>East</v>
      </c>
      <c r="G1776" s="46" t="n">
        <f aca="false">IFERROR(VLOOKUP(Orders!D1776,Products!$A$2:$F$61,4,FALSE()),"")</f>
        <v>1143</v>
      </c>
      <c r="H1776" s="47" t="n">
        <f aca="false">IF(G1776="","",(Orders!G1776-G1776)/Orders!G1776)</f>
        <v>0.436945812807882</v>
      </c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  <c r="Y1776" s="46"/>
      <c r="Z1776" s="46"/>
      <c r="AA1776" s="46"/>
      <c r="AB1776" s="46"/>
      <c r="AC1776" s="46"/>
      <c r="AD1776" s="46"/>
      <c r="AE1776" s="46"/>
      <c r="AF1776" s="46"/>
      <c r="AG1776" s="46"/>
      <c r="AH1776" s="46"/>
      <c r="AI1776" s="46"/>
      <c r="AJ1776" s="46"/>
      <c r="AK1776" s="4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</row>
    <row r="1777" customFormat="false" ht="15" hidden="false" customHeight="false" outlineLevel="0" collapsed="false">
      <c r="A1777" s="46" t="str">
        <f aca="false">Orders!A1777</f>
        <v>ORD-01776</v>
      </c>
      <c r="B1777" s="46" t="str">
        <f aca="false">PROPER(TRIM(Orders!K1777))</f>
        <v>Pune</v>
      </c>
      <c r="C1777" s="46" t="str">
        <f aca="false">IFERROR(VLOOKUP(Orders!D1777,Products!$A$2:$F$61,3,FALSE()),"Not Found")</f>
        <v>Sports</v>
      </c>
      <c r="D1777" s="46" t="str">
        <f aca="false">IFERROR(VLOOKUP(Orders!C1777,Customers!$A$2:$F$301,5,FALSE()),"Not Found")</f>
        <v>Retail</v>
      </c>
      <c r="E1777" s="46" t="n">
        <f aca="false">IFERROR(VLOOKUP(Orders!C1777,Customers!$A$2:$F$301,3,FALSE()),"Not Found")</f>
        <v>54</v>
      </c>
      <c r="F1777" s="46" t="str">
        <f aca="false">IFERROR(VLOOKUP(Orders!E1777,Sales_Reps!$A$2:$E$31,3,FALSE()),"Not Found")</f>
        <v>East</v>
      </c>
      <c r="G1777" s="46" t="n">
        <f aca="false">IFERROR(VLOOKUP(Orders!D1777,Products!$A$2:$F$61,4,FALSE()),"")</f>
        <v>516</v>
      </c>
      <c r="H1777" s="47" t="n">
        <f aca="false">IF(G1777="","",(Orders!G1777-G1777)/Orders!G1777)</f>
        <v>0.489108910891089</v>
      </c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  <c r="AJ1777" s="46"/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</row>
    <row r="1778" customFormat="false" ht="15" hidden="false" customHeight="false" outlineLevel="0" collapsed="false">
      <c r="A1778" s="46" t="str">
        <f aca="false">Orders!A1778</f>
        <v>ORD-01777</v>
      </c>
      <c r="B1778" s="46" t="str">
        <f aca="false">PROPER(TRIM(Orders!K1778))</f>
        <v>Chennai</v>
      </c>
      <c r="C1778" s="46" t="str">
        <f aca="false">IFERROR(VLOOKUP(Orders!D1778,Products!$A$2:$F$61,3,FALSE()),"Not Found")</f>
        <v>Apparel</v>
      </c>
      <c r="D1778" s="46" t="str">
        <f aca="false">IFERROR(VLOOKUP(Orders!C1778,Customers!$A$2:$F$301,5,FALSE()),"Not Found")</f>
        <v>Retail</v>
      </c>
      <c r="E1778" s="46" t="n">
        <f aca="false">IFERROR(VLOOKUP(Orders!C1778,Customers!$A$2:$F$301,3,FALSE()),"Not Found")</f>
        <v>28</v>
      </c>
      <c r="F1778" s="46" t="str">
        <f aca="false">IFERROR(VLOOKUP(Orders!E1778,Sales_Reps!$A$2:$E$31,3,FALSE()),"Not Found")</f>
        <v>North</v>
      </c>
      <c r="G1778" s="46" t="n">
        <f aca="false">IFERROR(VLOOKUP(Orders!D1778,Products!$A$2:$F$61,4,FALSE()),"")</f>
        <v>1075</v>
      </c>
      <c r="H1778" s="47" t="n">
        <f aca="false">IF(G1778="","",(Orders!G1778-G1778)/Orders!G1778)</f>
        <v>0.571713147410359</v>
      </c>
      <c r="I1778" s="46"/>
      <c r="J1778" s="46"/>
      <c r="K1778" s="46"/>
      <c r="L1778" s="46"/>
      <c r="M1778" s="46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  <c r="X1778" s="46"/>
      <c r="Y1778" s="46"/>
      <c r="Z1778" s="46"/>
      <c r="AA1778" s="46"/>
      <c r="AB1778" s="46"/>
      <c r="AC1778" s="46"/>
      <c r="AD1778" s="46"/>
      <c r="AE1778" s="46"/>
      <c r="AF1778" s="46"/>
      <c r="AG1778" s="46"/>
      <c r="AH1778" s="46"/>
      <c r="AI1778" s="46"/>
      <c r="AJ1778" s="46"/>
      <c r="AK1778" s="46"/>
      <c r="AL1778" s="46"/>
      <c r="AM1778" s="46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46"/>
      <c r="AY1778" s="46"/>
      <c r="AZ1778" s="46"/>
    </row>
    <row r="1779" customFormat="false" ht="15" hidden="false" customHeight="false" outlineLevel="0" collapsed="false">
      <c r="A1779" s="46" t="str">
        <f aca="false">Orders!A1779</f>
        <v>ORD-01778</v>
      </c>
      <c r="B1779" s="46" t="str">
        <f aca="false">PROPER(TRIM(Orders!K1779))</f>
        <v>Bengaluru</v>
      </c>
      <c r="C1779" s="46" t="str">
        <f aca="false">IFERROR(VLOOKUP(Orders!D1779,Products!$A$2:$F$61,3,FALSE()),"Not Found")</f>
        <v>Home</v>
      </c>
      <c r="D1779" s="46" t="str">
        <f aca="false">IFERROR(VLOOKUP(Orders!C1779,Customers!$A$2:$F$301,5,FALSE()),"Not Found")</f>
        <v>Retail</v>
      </c>
      <c r="E1779" s="46" t="n">
        <f aca="false">IFERROR(VLOOKUP(Orders!C1779,Customers!$A$2:$F$301,3,FALSE()),"Not Found")</f>
        <v>29</v>
      </c>
      <c r="F1779" s="46" t="str">
        <f aca="false">IFERROR(VLOOKUP(Orders!E1779,Sales_Reps!$A$2:$E$31,3,FALSE()),"Not Found")</f>
        <v>North</v>
      </c>
      <c r="G1779" s="46" t="n">
        <f aca="false">IFERROR(VLOOKUP(Orders!D1779,Products!$A$2:$F$61,4,FALSE()),"")</f>
        <v>288</v>
      </c>
      <c r="H1779" s="47" t="n">
        <f aca="false">IF(G1779="","",(Orders!G1779-G1779)/Orders!G1779)</f>
        <v>0.221621621621622</v>
      </c>
      <c r="I1779" s="46"/>
      <c r="J1779" s="46"/>
      <c r="K1779" s="46"/>
      <c r="L1779" s="46"/>
      <c r="M1779" s="46"/>
      <c r="N1779" s="46"/>
      <c r="O1779" s="46"/>
      <c r="P1779" s="46"/>
      <c r="Q1779" s="46"/>
      <c r="R1779" s="46"/>
      <c r="S1779" s="46"/>
      <c r="T1779" s="46"/>
      <c r="U1779" s="46"/>
      <c r="V1779" s="46"/>
      <c r="W1779" s="46"/>
      <c r="X1779" s="46"/>
      <c r="Y1779" s="46"/>
      <c r="Z1779" s="46"/>
      <c r="AA1779" s="46"/>
      <c r="AB1779" s="46"/>
      <c r="AC1779" s="46"/>
      <c r="AD1779" s="46"/>
      <c r="AE1779" s="46"/>
      <c r="AF1779" s="46"/>
      <c r="AG1779" s="46"/>
      <c r="AH1779" s="46"/>
      <c r="AI1779" s="46"/>
      <c r="AJ1779" s="46"/>
      <c r="AK1779" s="46"/>
      <c r="AL1779" s="46"/>
      <c r="AM1779" s="46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46"/>
      <c r="AY1779" s="46"/>
      <c r="AZ1779" s="46"/>
    </row>
    <row r="1780" customFormat="false" ht="15" hidden="false" customHeight="false" outlineLevel="0" collapsed="false">
      <c r="A1780" s="46" t="str">
        <f aca="false">Orders!A1780</f>
        <v>ORD-01779</v>
      </c>
      <c r="B1780" s="46" t="str">
        <f aca="false">PROPER(TRIM(Orders!K1780))</f>
        <v>Hyderabad</v>
      </c>
      <c r="C1780" s="46" t="str">
        <f aca="false">IFERROR(VLOOKUP(Orders!D1780,Products!$A$2:$F$61,3,FALSE()),"Not Found")</f>
        <v>Apparel</v>
      </c>
      <c r="D1780" s="46" t="str">
        <f aca="false">IFERROR(VLOOKUP(Orders!C1780,Customers!$A$2:$F$301,5,FALSE()),"Not Found")</f>
        <v>Retail</v>
      </c>
      <c r="E1780" s="46" t="n">
        <f aca="false">IFERROR(VLOOKUP(Orders!C1780,Customers!$A$2:$F$301,3,FALSE()),"Not Found")</f>
        <v>25</v>
      </c>
      <c r="F1780" s="46" t="str">
        <f aca="false">IFERROR(VLOOKUP(Orders!E1780,Sales_Reps!$A$2:$E$31,3,FALSE()),"Not Found")</f>
        <v>East</v>
      </c>
      <c r="G1780" s="46" t="n">
        <f aca="false">IFERROR(VLOOKUP(Orders!D1780,Products!$A$2:$F$61,4,FALSE()),"")</f>
        <v>1173</v>
      </c>
      <c r="H1780" s="47" t="n">
        <f aca="false">IF(G1780="","",(Orders!G1780-G1780)/Orders!G1780)</f>
        <v>0.527016129032258</v>
      </c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  <c r="X1780" s="46"/>
      <c r="Y1780" s="46"/>
      <c r="Z1780" s="46"/>
      <c r="AA1780" s="46"/>
      <c r="AB1780" s="46"/>
      <c r="AC1780" s="46"/>
      <c r="AD1780" s="46"/>
      <c r="AE1780" s="46"/>
      <c r="AF1780" s="46"/>
      <c r="AG1780" s="46"/>
      <c r="AH1780" s="46"/>
      <c r="AI1780" s="46"/>
      <c r="AJ1780" s="46"/>
      <c r="AK1780" s="4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46"/>
      <c r="AY1780" s="46"/>
      <c r="AZ1780" s="46"/>
    </row>
    <row r="1781" customFormat="false" ht="15" hidden="false" customHeight="false" outlineLevel="0" collapsed="false">
      <c r="A1781" s="46" t="str">
        <f aca="false">Orders!A1781</f>
        <v>ORD-01780</v>
      </c>
      <c r="B1781" s="46" t="str">
        <f aca="false">PROPER(TRIM(Orders!K1781))</f>
        <v>Chennai</v>
      </c>
      <c r="C1781" s="46" t="str">
        <f aca="false">IFERROR(VLOOKUP(Orders!D1781,Products!$A$2:$F$61,3,FALSE()),"Not Found")</f>
        <v>Electronics</v>
      </c>
      <c r="D1781" s="46" t="str">
        <f aca="false">IFERROR(VLOOKUP(Orders!C1781,Customers!$A$2:$F$301,5,FALSE()),"Not Found")</f>
        <v>Retail</v>
      </c>
      <c r="E1781" s="46" t="n">
        <f aca="false">IFERROR(VLOOKUP(Orders!C1781,Customers!$A$2:$F$301,3,FALSE()),"Not Found")</f>
        <v>22</v>
      </c>
      <c r="F1781" s="46" t="str">
        <f aca="false">IFERROR(VLOOKUP(Orders!E1781,Sales_Reps!$A$2:$E$31,3,FALSE()),"Not Found")</f>
        <v>East</v>
      </c>
      <c r="G1781" s="46" t="n">
        <f aca="false">IFERROR(VLOOKUP(Orders!D1781,Products!$A$2:$F$61,4,FALSE()),"")</f>
        <v>1149</v>
      </c>
      <c r="H1781" s="47" t="n">
        <f aca="false">IF(G1781="","",(Orders!G1781-G1781)/Orders!G1781)</f>
        <v>0.564772727272727</v>
      </c>
      <c r="I1781" s="46"/>
      <c r="J1781" s="46"/>
      <c r="K1781" s="46"/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6"/>
      <c r="AB1781" s="46"/>
      <c r="AC1781" s="46"/>
      <c r="AD1781" s="46"/>
      <c r="AE1781" s="46"/>
      <c r="AF1781" s="46"/>
      <c r="AG1781" s="46"/>
      <c r="AH1781" s="46"/>
      <c r="AI1781" s="46"/>
      <c r="AJ1781" s="46"/>
      <c r="AK1781" s="46"/>
      <c r="AL1781" s="46"/>
      <c r="AM1781" s="46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46"/>
      <c r="AY1781" s="46"/>
      <c r="AZ1781" s="46"/>
    </row>
    <row r="1782" customFormat="false" ht="15" hidden="false" customHeight="false" outlineLevel="0" collapsed="false">
      <c r="A1782" s="46" t="str">
        <f aca="false">Orders!A1782</f>
        <v>ORD-01781</v>
      </c>
      <c r="B1782" s="46" t="str">
        <f aca="false">PROPER(TRIM(Orders!K1782))</f>
        <v>Chennai</v>
      </c>
      <c r="C1782" s="46" t="str">
        <f aca="false">IFERROR(VLOOKUP(Orders!D1782,Products!$A$2:$F$61,3,FALSE()),"Not Found")</f>
        <v>Home</v>
      </c>
      <c r="D1782" s="46" t="str">
        <f aca="false">IFERROR(VLOOKUP(Orders!C1782,Customers!$A$2:$F$301,5,FALSE()),"Not Found")</f>
        <v>Retail</v>
      </c>
      <c r="E1782" s="46" t="n">
        <f aca="false">IFERROR(VLOOKUP(Orders!C1782,Customers!$A$2:$F$301,3,FALSE()),"Not Found")</f>
        <v>26</v>
      </c>
      <c r="F1782" s="46" t="str">
        <f aca="false">IFERROR(VLOOKUP(Orders!E1782,Sales_Reps!$A$2:$E$31,3,FALSE()),"Not Found")</f>
        <v>East</v>
      </c>
      <c r="G1782" s="46" t="n">
        <f aca="false">IFERROR(VLOOKUP(Orders!D1782,Products!$A$2:$F$61,4,FALSE()),"")</f>
        <v>464</v>
      </c>
      <c r="H1782" s="47" t="n">
        <f aca="false">IF(G1782="","",(Orders!G1782-G1782)/Orders!G1782)</f>
        <v>0.574311926605505</v>
      </c>
      <c r="I1782" s="46"/>
      <c r="J1782" s="46"/>
      <c r="K1782" s="46"/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46"/>
      <c r="AE1782" s="46"/>
      <c r="AF1782" s="46"/>
      <c r="AG1782" s="46"/>
      <c r="AH1782" s="46"/>
      <c r="AI1782" s="46"/>
      <c r="AJ1782" s="46"/>
      <c r="AK1782" s="4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</row>
    <row r="1783" customFormat="false" ht="15" hidden="false" customHeight="false" outlineLevel="0" collapsed="false">
      <c r="A1783" s="46" t="str">
        <f aca="false">Orders!A1783</f>
        <v>ORD-01782</v>
      </c>
      <c r="B1783" s="46" t="str">
        <f aca="false">PROPER(TRIM(Orders!K1783))</f>
        <v>Mumbai</v>
      </c>
      <c r="C1783" s="46" t="str">
        <f aca="false">IFERROR(VLOOKUP(Orders!D1783,Products!$A$2:$F$61,3,FALSE()),"Not Found")</f>
        <v>Beauty</v>
      </c>
      <c r="D1783" s="46" t="str">
        <f aca="false">IFERROR(VLOOKUP(Orders!C1783,Customers!$A$2:$F$301,5,FALSE()),"Not Found")</f>
        <v>Retail</v>
      </c>
      <c r="E1783" s="46" t="n">
        <f aca="false">IFERROR(VLOOKUP(Orders!C1783,Customers!$A$2:$F$301,3,FALSE()),"Not Found")</f>
        <v>38</v>
      </c>
      <c r="F1783" s="46" t="str">
        <f aca="false">IFERROR(VLOOKUP(Orders!E1783,Sales_Reps!$A$2:$E$31,3,FALSE()),"Not Found")</f>
        <v>North</v>
      </c>
      <c r="G1783" s="46" t="n">
        <f aca="false">IFERROR(VLOOKUP(Orders!D1783,Products!$A$2:$F$61,4,FALSE()),"")</f>
        <v>1728</v>
      </c>
      <c r="H1783" s="47" t="n">
        <f aca="false">IF(G1783="","",(Orders!G1783-G1783)/Orders!G1783)</f>
        <v>0.484179104477612</v>
      </c>
      <c r="I1783" s="46"/>
      <c r="J1783" s="46"/>
      <c r="K1783" s="46"/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  <c r="Y1783" s="46"/>
      <c r="Z1783" s="46"/>
      <c r="AA1783" s="46"/>
      <c r="AB1783" s="46"/>
      <c r="AC1783" s="46"/>
      <c r="AD1783" s="46"/>
      <c r="AE1783" s="46"/>
      <c r="AF1783" s="46"/>
      <c r="AG1783" s="46"/>
      <c r="AH1783" s="46"/>
      <c r="AI1783" s="46"/>
      <c r="AJ1783" s="46"/>
      <c r="AK1783" s="4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</row>
    <row r="1784" customFormat="false" ht="15" hidden="false" customHeight="false" outlineLevel="0" collapsed="false">
      <c r="A1784" s="46" t="str">
        <f aca="false">Orders!A1784</f>
        <v>ORD-01783</v>
      </c>
      <c r="B1784" s="46" t="str">
        <f aca="false">PROPER(TRIM(Orders!K1784))</f>
        <v>Chennai</v>
      </c>
      <c r="C1784" s="46" t="str">
        <f aca="false">IFERROR(VLOOKUP(Orders!D1784,Products!$A$2:$F$61,3,FALSE()),"Not Found")</f>
        <v>Beauty</v>
      </c>
      <c r="D1784" s="46" t="str">
        <f aca="false">IFERROR(VLOOKUP(Orders!C1784,Customers!$A$2:$F$301,5,FALSE()),"Not Found")</f>
        <v>Retail</v>
      </c>
      <c r="E1784" s="46" t="n">
        <f aca="false">IFERROR(VLOOKUP(Orders!C1784,Customers!$A$2:$F$301,3,FALSE()),"Not Found")</f>
        <v>26</v>
      </c>
      <c r="F1784" s="46" t="str">
        <f aca="false">IFERROR(VLOOKUP(Orders!E1784,Sales_Reps!$A$2:$E$31,3,FALSE()),"Not Found")</f>
        <v>South</v>
      </c>
      <c r="G1784" s="46" t="n">
        <f aca="false">IFERROR(VLOOKUP(Orders!D1784,Products!$A$2:$F$61,4,FALSE()),"")</f>
        <v>2617</v>
      </c>
      <c r="H1784" s="47" t="n">
        <f aca="false">IF(G1784="","",(Orders!G1784-G1784)/Orders!G1784)</f>
        <v>0.569572368421053</v>
      </c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  <c r="Y1784" s="46"/>
      <c r="Z1784" s="46"/>
      <c r="AA1784" s="46"/>
      <c r="AB1784" s="46"/>
      <c r="AC1784" s="46"/>
      <c r="AD1784" s="46"/>
      <c r="AE1784" s="46"/>
      <c r="AF1784" s="46"/>
      <c r="AG1784" s="46"/>
      <c r="AH1784" s="46"/>
      <c r="AI1784" s="46"/>
      <c r="AJ1784" s="46"/>
      <c r="AK1784" s="4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</row>
    <row r="1785" customFormat="false" ht="15" hidden="false" customHeight="false" outlineLevel="0" collapsed="false">
      <c r="A1785" s="46" t="str">
        <f aca="false">Orders!A1785</f>
        <v>ORD-01784</v>
      </c>
      <c r="B1785" s="46" t="str">
        <f aca="false">PROPER(TRIM(Orders!K1785))</f>
        <v>Hyderabad</v>
      </c>
      <c r="C1785" s="46" t="str">
        <f aca="false">IFERROR(VLOOKUP(Orders!D1785,Products!$A$2:$F$61,3,FALSE()),"Not Found")</f>
        <v>Beauty</v>
      </c>
      <c r="D1785" s="46" t="str">
        <f aca="false">IFERROR(VLOOKUP(Orders!C1785,Customers!$A$2:$F$301,5,FALSE()),"Not Found")</f>
        <v>Retail</v>
      </c>
      <c r="E1785" s="46" t="n">
        <f aca="false">IFERROR(VLOOKUP(Orders!C1785,Customers!$A$2:$F$301,3,FALSE()),"Not Found")</f>
        <v>65</v>
      </c>
      <c r="F1785" s="46" t="str">
        <f aca="false">IFERROR(VLOOKUP(Orders!E1785,Sales_Reps!$A$2:$E$31,3,FALSE()),"Not Found")</f>
        <v>North</v>
      </c>
      <c r="G1785" s="46" t="n">
        <f aca="false">IFERROR(VLOOKUP(Orders!D1785,Products!$A$2:$F$61,4,FALSE()),"")</f>
        <v>675</v>
      </c>
      <c r="H1785" s="47" t="n">
        <f aca="false">IF(G1785="","",(Orders!G1785-G1785)/Orders!G1785)</f>
        <v>0.296875</v>
      </c>
      <c r="I1785" s="46"/>
      <c r="J1785" s="46"/>
      <c r="K1785" s="46"/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46"/>
      <c r="AE1785" s="46"/>
      <c r="AF1785" s="46"/>
      <c r="AG1785" s="46"/>
      <c r="AH1785" s="46"/>
      <c r="AI1785" s="46"/>
      <c r="AJ1785" s="46"/>
      <c r="AK1785" s="4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</row>
    <row r="1786" customFormat="false" ht="15" hidden="false" customHeight="false" outlineLevel="0" collapsed="false">
      <c r="A1786" s="46" t="str">
        <f aca="false">Orders!A1786</f>
        <v>ORD-01785</v>
      </c>
      <c r="B1786" s="46" t="str">
        <f aca="false">PROPER(TRIM(Orders!K1786))</f>
        <v>Pune</v>
      </c>
      <c r="C1786" s="46" t="str">
        <f aca="false">IFERROR(VLOOKUP(Orders!D1786,Products!$A$2:$F$61,3,FALSE()),"Not Found")</f>
        <v>Grocery</v>
      </c>
      <c r="D1786" s="46" t="str">
        <f aca="false">IFERROR(VLOOKUP(Orders!C1786,Customers!$A$2:$F$301,5,FALSE()),"Not Found")</f>
        <v>SMB</v>
      </c>
      <c r="E1786" s="46" t="n">
        <f aca="false">IFERROR(VLOOKUP(Orders!C1786,Customers!$A$2:$F$301,3,FALSE()),"Not Found")</f>
        <v>24</v>
      </c>
      <c r="F1786" s="46" t="str">
        <f aca="false">IFERROR(VLOOKUP(Orders!E1786,Sales_Reps!$A$2:$E$31,3,FALSE()),"Not Found")</f>
        <v>North</v>
      </c>
      <c r="G1786" s="46" t="n">
        <f aca="false">IFERROR(VLOOKUP(Orders!D1786,Products!$A$2:$F$61,4,FALSE()),"")</f>
        <v>2214</v>
      </c>
      <c r="H1786" s="47" t="n">
        <f aca="false">IF(G1786="","",(Orders!G1786-G1786)/Orders!G1786)</f>
        <v>0.395081967213115</v>
      </c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</row>
    <row r="1787" customFormat="false" ht="15" hidden="false" customHeight="false" outlineLevel="0" collapsed="false">
      <c r="A1787" s="46" t="str">
        <f aca="false">Orders!A1787</f>
        <v>ORD-01786</v>
      </c>
      <c r="B1787" s="46" t="str">
        <f aca="false">PROPER(TRIM(Orders!K1787))</f>
        <v>Chennai</v>
      </c>
      <c r="C1787" s="46" t="str">
        <f aca="false">IFERROR(VLOOKUP(Orders!D1787,Products!$A$2:$F$61,3,FALSE()),"Not Found")</f>
        <v>Beauty</v>
      </c>
      <c r="D1787" s="46" t="str">
        <f aca="false">IFERROR(VLOOKUP(Orders!C1787,Customers!$A$2:$F$301,5,FALSE()),"Not Found")</f>
        <v>Corporate</v>
      </c>
      <c r="E1787" s="46" t="n">
        <f aca="false">IFERROR(VLOOKUP(Orders!C1787,Customers!$A$2:$F$301,3,FALSE()),"Not Found")</f>
        <v>24</v>
      </c>
      <c r="F1787" s="46" t="str">
        <f aca="false">IFERROR(VLOOKUP(Orders!E1787,Sales_Reps!$A$2:$E$31,3,FALSE()),"Not Found")</f>
        <v>East</v>
      </c>
      <c r="G1787" s="46" t="n">
        <f aca="false">IFERROR(VLOOKUP(Orders!D1787,Products!$A$2:$F$61,4,FALSE()),"")</f>
        <v>2420</v>
      </c>
      <c r="H1787" s="47" t="n">
        <f aca="false">IF(G1787="","",(Orders!G1787-G1787)/Orders!G1787)</f>
        <v>0.298550724637681</v>
      </c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46"/>
      <c r="AE1787" s="46"/>
      <c r="AF1787" s="46"/>
      <c r="AG1787" s="46"/>
      <c r="AH1787" s="46"/>
      <c r="AI1787" s="46"/>
      <c r="AJ1787" s="46"/>
      <c r="AK1787" s="4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</row>
    <row r="1788" customFormat="false" ht="15" hidden="false" customHeight="false" outlineLevel="0" collapsed="false">
      <c r="A1788" s="46" t="str">
        <f aca="false">Orders!A1788</f>
        <v>ORD-01787</v>
      </c>
      <c r="B1788" s="46" t="str">
        <f aca="false">PROPER(TRIM(Orders!K1788))</f>
        <v>Mumbai</v>
      </c>
      <c r="C1788" s="46" t="str">
        <f aca="false">IFERROR(VLOOKUP(Orders!D1788,Products!$A$2:$F$61,3,FALSE()),"Not Found")</f>
        <v>Home</v>
      </c>
      <c r="D1788" s="46" t="str">
        <f aca="false">IFERROR(VLOOKUP(Orders!C1788,Customers!$A$2:$F$301,5,FALSE()),"Not Found")</f>
        <v>Retail</v>
      </c>
      <c r="E1788" s="46" t="n">
        <f aca="false">IFERROR(VLOOKUP(Orders!C1788,Customers!$A$2:$F$301,3,FALSE()),"Not Found")</f>
        <v>35</v>
      </c>
      <c r="F1788" s="46" t="str">
        <f aca="false">IFERROR(VLOOKUP(Orders!E1788,Sales_Reps!$A$2:$E$31,3,FALSE()),"Not Found")</f>
        <v>East</v>
      </c>
      <c r="G1788" s="46" t="n">
        <f aca="false">IFERROR(VLOOKUP(Orders!D1788,Products!$A$2:$F$61,4,FALSE()),"")</f>
        <v>1850</v>
      </c>
      <c r="H1788" s="47" t="n">
        <f aca="false">IF(G1788="","",(Orders!G1788-G1788)/Orders!G1788)</f>
        <v>0.598698481561822</v>
      </c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</row>
    <row r="1789" customFormat="false" ht="15" hidden="false" customHeight="false" outlineLevel="0" collapsed="false">
      <c r="A1789" s="46" t="str">
        <f aca="false">Orders!A1789</f>
        <v>ORD-01788</v>
      </c>
      <c r="B1789" s="46" t="str">
        <f aca="false">PROPER(TRIM(Orders!K1789))</f>
        <v>Bengaluru</v>
      </c>
      <c r="C1789" s="46" t="str">
        <f aca="false">IFERROR(VLOOKUP(Orders!D1789,Products!$A$2:$F$61,3,FALSE()),"Not Found")</f>
        <v>Sports</v>
      </c>
      <c r="D1789" s="46" t="str">
        <f aca="false">IFERROR(VLOOKUP(Orders!C1789,Customers!$A$2:$F$301,5,FALSE()),"Not Found")</f>
        <v>Retail</v>
      </c>
      <c r="E1789" s="46" t="n">
        <f aca="false">IFERROR(VLOOKUP(Orders!C1789,Customers!$A$2:$F$301,3,FALSE()),"Not Found")</f>
        <v>55</v>
      </c>
      <c r="F1789" s="46" t="str">
        <f aca="false">IFERROR(VLOOKUP(Orders!E1789,Sales_Reps!$A$2:$E$31,3,FALSE()),"Not Found")</f>
        <v>South</v>
      </c>
      <c r="G1789" s="46" t="n">
        <f aca="false">IFERROR(VLOOKUP(Orders!D1789,Products!$A$2:$F$61,4,FALSE()),"")</f>
        <v>705</v>
      </c>
      <c r="H1789" s="47" t="n">
        <f aca="false">IF(G1789="","",(Orders!G1789-G1789)/Orders!G1789)</f>
        <v>0.265625</v>
      </c>
      <c r="I1789" s="46"/>
      <c r="J1789" s="46"/>
      <c r="K1789" s="46"/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  <c r="Y1789" s="46"/>
      <c r="Z1789" s="46"/>
      <c r="AA1789" s="46"/>
      <c r="AB1789" s="46"/>
      <c r="AC1789" s="46"/>
      <c r="AD1789" s="46"/>
      <c r="AE1789" s="46"/>
      <c r="AF1789" s="46"/>
      <c r="AG1789" s="46"/>
      <c r="AH1789" s="46"/>
      <c r="AI1789" s="46"/>
      <c r="AJ1789" s="46"/>
      <c r="AK1789" s="4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</row>
    <row r="1790" customFormat="false" ht="15" hidden="false" customHeight="false" outlineLevel="0" collapsed="false">
      <c r="A1790" s="46" t="str">
        <f aca="false">Orders!A1790</f>
        <v>ORD-01789</v>
      </c>
      <c r="B1790" s="46" t="str">
        <f aca="false">PROPER(TRIM(Orders!K1790))</f>
        <v>Chennai</v>
      </c>
      <c r="C1790" s="46" t="str">
        <f aca="false">IFERROR(VLOOKUP(Orders!D1790,Products!$A$2:$F$61,3,FALSE()),"Not Found")</f>
        <v>Home</v>
      </c>
      <c r="D1790" s="46" t="str">
        <f aca="false">IFERROR(VLOOKUP(Orders!C1790,Customers!$A$2:$F$301,5,FALSE()),"Not Found")</f>
        <v>SMB</v>
      </c>
      <c r="E1790" s="46" t="n">
        <f aca="false">IFERROR(VLOOKUP(Orders!C1790,Customers!$A$2:$F$301,3,FALSE()),"Not Found")</f>
        <v>64</v>
      </c>
      <c r="F1790" s="46" t="str">
        <f aca="false">IFERROR(VLOOKUP(Orders!E1790,Sales_Reps!$A$2:$E$31,3,FALSE()),"Not Found")</f>
        <v>East</v>
      </c>
      <c r="G1790" s="46" t="n">
        <f aca="false">IFERROR(VLOOKUP(Orders!D1790,Products!$A$2:$F$61,4,FALSE()),"")</f>
        <v>288</v>
      </c>
      <c r="H1790" s="47" t="n">
        <f aca="false">IF(G1790="","",(Orders!G1790-G1790)/Orders!G1790)</f>
        <v>0.221621621621622</v>
      </c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  <c r="AA1790" s="46"/>
      <c r="AB1790" s="46"/>
      <c r="AC1790" s="46"/>
      <c r="AD1790" s="46"/>
      <c r="AE1790" s="46"/>
      <c r="AF1790" s="46"/>
      <c r="AG1790" s="46"/>
      <c r="AH1790" s="46"/>
      <c r="AI1790" s="46"/>
      <c r="AJ1790" s="46"/>
      <c r="AK1790" s="4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</row>
    <row r="1791" customFormat="false" ht="15" hidden="false" customHeight="false" outlineLevel="0" collapsed="false">
      <c r="A1791" s="46" t="str">
        <f aca="false">Orders!A1791</f>
        <v>ORD-01790</v>
      </c>
      <c r="B1791" s="46" t="str">
        <f aca="false">PROPER(TRIM(Orders!K1791))</f>
        <v>Chennai</v>
      </c>
      <c r="C1791" s="46" t="str">
        <f aca="false">IFERROR(VLOOKUP(Orders!D1791,Products!$A$2:$F$61,3,FALSE()),"Not Found")</f>
        <v>Grocery</v>
      </c>
      <c r="D1791" s="46" t="str">
        <f aca="false">IFERROR(VLOOKUP(Orders!C1791,Customers!$A$2:$F$301,5,FALSE()),"Not Found")</f>
        <v>Corporate</v>
      </c>
      <c r="E1791" s="46" t="n">
        <f aca="false">IFERROR(VLOOKUP(Orders!C1791,Customers!$A$2:$F$301,3,FALSE()),"Not Found")</f>
        <v>22</v>
      </c>
      <c r="F1791" s="46" t="str">
        <f aca="false">IFERROR(VLOOKUP(Orders!E1791,Sales_Reps!$A$2:$E$31,3,FALSE()),"Not Found")</f>
        <v>North</v>
      </c>
      <c r="G1791" s="46" t="n">
        <f aca="false">IFERROR(VLOOKUP(Orders!D1791,Products!$A$2:$F$61,4,FALSE()),"")</f>
        <v>1203</v>
      </c>
      <c r="H1791" s="47" t="n">
        <f aca="false">IF(G1791="","",(Orders!G1791-G1791)/Orders!G1791)</f>
        <v>0.470044052863436</v>
      </c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  <c r="AA1791" s="46"/>
      <c r="AB1791" s="46"/>
      <c r="AC1791" s="46"/>
      <c r="AD1791" s="46"/>
      <c r="AE1791" s="46"/>
      <c r="AF1791" s="46"/>
      <c r="AG1791" s="46"/>
      <c r="AH1791" s="46"/>
      <c r="AI1791" s="46"/>
      <c r="AJ1791" s="46"/>
      <c r="AK1791" s="4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</row>
    <row r="1792" customFormat="false" ht="15" hidden="false" customHeight="false" outlineLevel="0" collapsed="false">
      <c r="A1792" s="46" t="str">
        <f aca="false">Orders!A1792</f>
        <v>ORD-00268</v>
      </c>
      <c r="B1792" s="46" t="str">
        <f aca="false">PROPER(TRIM(Orders!K1792))</f>
        <v>Mumbai</v>
      </c>
      <c r="C1792" s="46" t="str">
        <f aca="false">IFERROR(VLOOKUP(Orders!D1792,Products!$A$2:$F$61,3,FALSE()),"Not Found")</f>
        <v>Home</v>
      </c>
      <c r="D1792" s="46" t="str">
        <f aca="false">IFERROR(VLOOKUP(Orders!C1792,Customers!$A$2:$F$301,5,FALSE()),"Not Found")</f>
        <v>Corporate</v>
      </c>
      <c r="E1792" s="46" t="n">
        <f aca="false">IFERROR(VLOOKUP(Orders!C1792,Customers!$A$2:$F$301,3,FALSE()),"Not Found")</f>
        <v>42</v>
      </c>
      <c r="F1792" s="46" t="str">
        <f aca="false">IFERROR(VLOOKUP(Orders!E1792,Sales_Reps!$A$2:$E$31,3,FALSE()),"Not Found")</f>
        <v>South</v>
      </c>
      <c r="G1792" s="46" t="n">
        <f aca="false">IFERROR(VLOOKUP(Orders!D1792,Products!$A$2:$F$61,4,FALSE()),"")</f>
        <v>1556</v>
      </c>
      <c r="H1792" s="47" t="n">
        <f aca="false">IF(G1792="","",(Orders!G1792-G1792)/Orders!G1792)</f>
        <v>0.521230769230769</v>
      </c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  <c r="Y1792" s="46"/>
      <c r="Z1792" s="46"/>
      <c r="AA1792" s="46"/>
      <c r="AB1792" s="46"/>
      <c r="AC1792" s="46"/>
      <c r="AD1792" s="46"/>
      <c r="AE1792" s="46"/>
      <c r="AF1792" s="46"/>
      <c r="AG1792" s="46"/>
      <c r="AH1792" s="46"/>
      <c r="AI1792" s="46"/>
      <c r="AJ1792" s="46"/>
      <c r="AK1792" s="4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</row>
    <row r="1793" customFormat="false" ht="15" hidden="false" customHeight="false" outlineLevel="0" collapsed="false">
      <c r="A1793" s="46" t="str">
        <f aca="false">Orders!A1793</f>
        <v>ORD-01792</v>
      </c>
      <c r="B1793" s="46" t="str">
        <f aca="false">PROPER(TRIM(Orders!K1793))</f>
        <v>Chennai</v>
      </c>
      <c r="C1793" s="46" t="str">
        <f aca="false">IFERROR(VLOOKUP(Orders!D1793,Products!$A$2:$F$61,3,FALSE()),"Not Found")</f>
        <v>Apparel</v>
      </c>
      <c r="D1793" s="46" t="str">
        <f aca="false">IFERROR(VLOOKUP(Orders!C1793,Customers!$A$2:$F$301,5,FALSE()),"Not Found")</f>
        <v>Corporate</v>
      </c>
      <c r="E1793" s="46" t="n">
        <f aca="false">IFERROR(VLOOKUP(Orders!C1793,Customers!$A$2:$F$301,3,FALSE()),"Not Found")</f>
        <v>54</v>
      </c>
      <c r="F1793" s="46" t="str">
        <f aca="false">IFERROR(VLOOKUP(Orders!E1793,Sales_Reps!$A$2:$E$31,3,FALSE()),"Not Found")</f>
        <v>East</v>
      </c>
      <c r="G1793" s="46" t="n">
        <f aca="false">IFERROR(VLOOKUP(Orders!D1793,Products!$A$2:$F$61,4,FALSE()),"")</f>
        <v>396</v>
      </c>
      <c r="H1793" s="47" t="n">
        <f aca="false">IF(G1793="","",(Orders!G1793-G1793)/Orders!G1793)</f>
        <v>0.361290322580645</v>
      </c>
      <c r="I1793" s="46"/>
      <c r="J1793" s="46"/>
      <c r="K1793" s="46"/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  <c r="Y1793" s="46"/>
      <c r="Z1793" s="46"/>
      <c r="AA1793" s="46"/>
      <c r="AB1793" s="46"/>
      <c r="AC1793" s="46"/>
      <c r="AD1793" s="46"/>
      <c r="AE1793" s="46"/>
      <c r="AF1793" s="46"/>
      <c r="AG1793" s="46"/>
      <c r="AH1793" s="46"/>
      <c r="AI1793" s="46"/>
      <c r="AJ1793" s="46"/>
      <c r="AK1793" s="4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</row>
    <row r="1794" customFormat="false" ht="15" hidden="false" customHeight="false" outlineLevel="0" collapsed="false">
      <c r="A1794" s="46" t="str">
        <f aca="false">Orders!A1794</f>
        <v>ORD-01793</v>
      </c>
      <c r="B1794" s="46" t="str">
        <f aca="false">PROPER(TRIM(Orders!K1794))</f>
        <v>Pune</v>
      </c>
      <c r="C1794" s="46" t="str">
        <f aca="false">IFERROR(VLOOKUP(Orders!D1794,Products!$A$2:$F$61,3,FALSE()),"Not Found")</f>
        <v>Electronics</v>
      </c>
      <c r="D1794" s="46" t="str">
        <f aca="false">IFERROR(VLOOKUP(Orders!C1794,Customers!$A$2:$F$301,5,FALSE()),"Not Found")</f>
        <v>SMB</v>
      </c>
      <c r="E1794" s="46" t="n">
        <f aca="false">IFERROR(VLOOKUP(Orders!C1794,Customers!$A$2:$F$301,3,FALSE()),"Not Found")</f>
        <v>54</v>
      </c>
      <c r="F1794" s="46" t="str">
        <f aca="false">IFERROR(VLOOKUP(Orders!E1794,Sales_Reps!$A$2:$E$31,3,FALSE()),"Not Found")</f>
        <v>North</v>
      </c>
      <c r="G1794" s="46" t="n">
        <f aca="false">IFERROR(VLOOKUP(Orders!D1794,Products!$A$2:$F$61,4,FALSE()),"")</f>
        <v>1259</v>
      </c>
      <c r="H1794" s="47" t="n">
        <f aca="false">IF(G1794="","",(Orders!G1794-G1794)/Orders!G1794)</f>
        <v>0.526691729323308</v>
      </c>
      <c r="I1794" s="46"/>
      <c r="J1794" s="46"/>
      <c r="K1794" s="46"/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  <c r="Y1794" s="46"/>
      <c r="Z1794" s="46"/>
      <c r="AA1794" s="46"/>
      <c r="AB1794" s="46"/>
      <c r="AC1794" s="46"/>
      <c r="AD1794" s="46"/>
      <c r="AE1794" s="46"/>
      <c r="AF1794" s="46"/>
      <c r="AG1794" s="46"/>
      <c r="AH1794" s="46"/>
      <c r="AI1794" s="46"/>
      <c r="AJ1794" s="46"/>
      <c r="AK1794" s="4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</row>
    <row r="1795" customFormat="false" ht="15" hidden="false" customHeight="false" outlineLevel="0" collapsed="false">
      <c r="A1795" s="46" t="str">
        <f aca="false">Orders!A1795</f>
        <v>ORD-01794</v>
      </c>
      <c r="B1795" s="46" t="str">
        <f aca="false">PROPER(TRIM(Orders!K1795))</f>
        <v>Bengaluru</v>
      </c>
      <c r="C1795" s="46" t="str">
        <f aca="false">IFERROR(VLOOKUP(Orders!D1795,Products!$A$2:$F$61,3,FALSE()),"Not Found")</f>
        <v>Apparel</v>
      </c>
      <c r="D1795" s="46" t="str">
        <f aca="false">IFERROR(VLOOKUP(Orders!C1795,Customers!$A$2:$F$301,5,FALSE()),"Not Found")</f>
        <v>Retail</v>
      </c>
      <c r="E1795" s="46" t="n">
        <f aca="false">IFERROR(VLOOKUP(Orders!C1795,Customers!$A$2:$F$301,3,FALSE()),"Not Found")</f>
        <v>47</v>
      </c>
      <c r="F1795" s="46" t="str">
        <f aca="false">IFERROR(VLOOKUP(Orders!E1795,Sales_Reps!$A$2:$E$31,3,FALSE()),"Not Found")</f>
        <v>North</v>
      </c>
      <c r="G1795" s="46" t="n">
        <f aca="false">IFERROR(VLOOKUP(Orders!D1795,Products!$A$2:$F$61,4,FALSE()),"")</f>
        <v>2509</v>
      </c>
      <c r="H1795" s="47" t="n">
        <f aca="false">IF(G1795="","",(Orders!G1795-G1795)/Orders!G1795)</f>
        <v>0.306906077348066</v>
      </c>
      <c r="I1795" s="46"/>
      <c r="J1795" s="46"/>
      <c r="K1795" s="46"/>
      <c r="L1795" s="46"/>
      <c r="M1795" s="46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  <c r="X1795" s="46"/>
      <c r="Y1795" s="46"/>
      <c r="Z1795" s="46"/>
      <c r="AA1795" s="46"/>
      <c r="AB1795" s="46"/>
      <c r="AC1795" s="46"/>
      <c r="AD1795" s="46"/>
      <c r="AE1795" s="46"/>
      <c r="AF1795" s="46"/>
      <c r="AG1795" s="46"/>
      <c r="AH1795" s="46"/>
      <c r="AI1795" s="46"/>
      <c r="AJ1795" s="46"/>
      <c r="AK1795" s="4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</row>
    <row r="1796" customFormat="false" ht="15" hidden="false" customHeight="false" outlineLevel="0" collapsed="false">
      <c r="A1796" s="46" t="str">
        <f aca="false">Orders!A1796</f>
        <v>ORD-01795</v>
      </c>
      <c r="B1796" s="46" t="str">
        <f aca="false">PROPER(TRIM(Orders!K1796))</f>
        <v>Bengaluru</v>
      </c>
      <c r="C1796" s="46" t="str">
        <f aca="false">IFERROR(VLOOKUP(Orders!D1796,Products!$A$2:$F$61,3,FALSE()),"Not Found")</f>
        <v>Apparel</v>
      </c>
      <c r="D1796" s="46" t="str">
        <f aca="false">IFERROR(VLOOKUP(Orders!C1796,Customers!$A$2:$F$301,5,FALSE()),"Not Found")</f>
        <v>Retail</v>
      </c>
      <c r="E1796" s="46" t="n">
        <f aca="false">IFERROR(VLOOKUP(Orders!C1796,Customers!$A$2:$F$301,3,FALSE()),"Not Found")</f>
        <v>48</v>
      </c>
      <c r="F1796" s="46" t="str">
        <f aca="false">IFERROR(VLOOKUP(Orders!E1796,Sales_Reps!$A$2:$E$31,3,FALSE()),"Not Found")</f>
        <v>East</v>
      </c>
      <c r="G1796" s="46" t="n">
        <f aca="false">IFERROR(VLOOKUP(Orders!D1796,Products!$A$2:$F$61,4,FALSE()),"")</f>
        <v>2611</v>
      </c>
      <c r="H1796" s="47" t="n">
        <f aca="false">IF(G1796="","",(Orders!G1796-G1796)/Orders!G1796)</f>
        <v>0.282692307692308</v>
      </c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</row>
    <row r="1797" customFormat="false" ht="15" hidden="false" customHeight="false" outlineLevel="0" collapsed="false">
      <c r="A1797" s="46" t="str">
        <f aca="false">Orders!A1797</f>
        <v>ORD-01796</v>
      </c>
      <c r="B1797" s="46" t="str">
        <f aca="false">PROPER(TRIM(Orders!K1797))</f>
        <v>Hyderabad</v>
      </c>
      <c r="C1797" s="46" t="str">
        <f aca="false">IFERROR(VLOOKUP(Orders!D1797,Products!$A$2:$F$61,3,FALSE()),"Not Found")</f>
        <v>Electronics</v>
      </c>
      <c r="D1797" s="46" t="str">
        <f aca="false">IFERROR(VLOOKUP(Orders!C1797,Customers!$A$2:$F$301,5,FALSE()),"Not Found")</f>
        <v>Retail</v>
      </c>
      <c r="E1797" s="46" t="n">
        <f aca="false">IFERROR(VLOOKUP(Orders!C1797,Customers!$A$2:$F$301,3,FALSE()),"Not Found")</f>
        <v>52</v>
      </c>
      <c r="F1797" s="46" t="str">
        <f aca="false">IFERROR(VLOOKUP(Orders!E1797,Sales_Reps!$A$2:$E$31,3,FALSE()),"Not Found")</f>
        <v>North</v>
      </c>
      <c r="G1797" s="46" t="n">
        <f aca="false">IFERROR(VLOOKUP(Orders!D1797,Products!$A$2:$F$61,4,FALSE()),"")</f>
        <v>517</v>
      </c>
      <c r="H1797" s="47" t="n">
        <f aca="false">IF(G1797="","",(Orders!G1797-G1797)/Orders!G1797)</f>
        <v>0.576229508196721</v>
      </c>
      <c r="I1797" s="46"/>
      <c r="J1797" s="46"/>
      <c r="K1797" s="46"/>
      <c r="L1797" s="46"/>
      <c r="M1797" s="46"/>
      <c r="N1797" s="46"/>
      <c r="O1797" s="46"/>
      <c r="P1797" s="46"/>
      <c r="Q1797" s="46"/>
      <c r="R1797" s="46"/>
      <c r="S1797" s="46"/>
      <c r="T1797" s="46"/>
      <c r="U1797" s="46"/>
      <c r="V1797" s="46"/>
      <c r="W1797" s="46"/>
      <c r="X1797" s="46"/>
      <c r="Y1797" s="46"/>
      <c r="Z1797" s="46"/>
      <c r="AA1797" s="46"/>
      <c r="AB1797" s="46"/>
      <c r="AC1797" s="46"/>
      <c r="AD1797" s="46"/>
      <c r="AE1797" s="46"/>
      <c r="AF1797" s="46"/>
      <c r="AG1797" s="46"/>
      <c r="AH1797" s="46"/>
      <c r="AI1797" s="46"/>
      <c r="AJ1797" s="46"/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</row>
    <row r="1798" customFormat="false" ht="15" hidden="false" customHeight="false" outlineLevel="0" collapsed="false">
      <c r="A1798" s="46" t="str">
        <f aca="false">Orders!A1798</f>
        <v>ORD-01797</v>
      </c>
      <c r="B1798" s="46" t="str">
        <f aca="false">PROPER(TRIM(Orders!K1798))</f>
        <v>Bengaluru</v>
      </c>
      <c r="C1798" s="46" t="str">
        <f aca="false">IFERROR(VLOOKUP(Orders!D1798,Products!$A$2:$F$61,3,FALSE()),"Not Found")</f>
        <v>Apparel</v>
      </c>
      <c r="D1798" s="46" t="str">
        <f aca="false">IFERROR(VLOOKUP(Orders!C1798,Customers!$A$2:$F$301,5,FALSE()),"Not Found")</f>
        <v>SMB</v>
      </c>
      <c r="E1798" s="46" t="n">
        <f aca="false">IFERROR(VLOOKUP(Orders!C1798,Customers!$A$2:$F$301,3,FALSE()),"Not Found")</f>
        <v>46</v>
      </c>
      <c r="F1798" s="46" t="str">
        <f aca="false">IFERROR(VLOOKUP(Orders!E1798,Sales_Reps!$A$2:$E$31,3,FALSE()),"Not Found")</f>
        <v>North</v>
      </c>
      <c r="G1798" s="46" t="n">
        <f aca="false">IFERROR(VLOOKUP(Orders!D1798,Products!$A$2:$F$61,4,FALSE()),"")</f>
        <v>1173</v>
      </c>
      <c r="H1798" s="47" t="n">
        <f aca="false">IF(G1798="","",(Orders!G1798-G1798)/Orders!G1798)</f>
        <v>0.527016129032258</v>
      </c>
      <c r="I1798" s="46"/>
      <c r="J1798" s="46"/>
      <c r="K1798" s="46"/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  <c r="Y1798" s="46"/>
      <c r="Z1798" s="46"/>
      <c r="AA1798" s="46"/>
      <c r="AB1798" s="46"/>
      <c r="AC1798" s="46"/>
      <c r="AD1798" s="46"/>
      <c r="AE1798" s="46"/>
      <c r="AF1798" s="46"/>
      <c r="AG1798" s="46"/>
      <c r="AH1798" s="46"/>
      <c r="AI1798" s="46"/>
      <c r="AJ1798" s="46"/>
      <c r="AK1798" s="4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</row>
    <row r="1799" customFormat="false" ht="15" hidden="false" customHeight="false" outlineLevel="0" collapsed="false">
      <c r="A1799" s="46" t="str">
        <f aca="false">Orders!A1799</f>
        <v>ORD-01798</v>
      </c>
      <c r="B1799" s="46" t="str">
        <f aca="false">PROPER(TRIM(Orders!K1799))</f>
        <v>Chennai</v>
      </c>
      <c r="C1799" s="46" t="str">
        <f aca="false">IFERROR(VLOOKUP(Orders!D1799,Products!$A$2:$F$61,3,FALSE()),"Not Found")</f>
        <v>Beauty</v>
      </c>
      <c r="D1799" s="46" t="str">
        <f aca="false">IFERROR(VLOOKUP(Orders!C1799,Customers!$A$2:$F$301,5,FALSE()),"Not Found")</f>
        <v>Retail</v>
      </c>
      <c r="E1799" s="46" t="n">
        <f aca="false">IFERROR(VLOOKUP(Orders!C1799,Customers!$A$2:$F$301,3,FALSE()),"Not Found")</f>
        <v>61</v>
      </c>
      <c r="F1799" s="46" t="str">
        <f aca="false">IFERROR(VLOOKUP(Orders!E1799,Sales_Reps!$A$2:$E$31,3,FALSE()),"Not Found")</f>
        <v>West</v>
      </c>
      <c r="G1799" s="46" t="n">
        <f aca="false">IFERROR(VLOOKUP(Orders!D1799,Products!$A$2:$F$61,4,FALSE()),"")</f>
        <v>1222</v>
      </c>
      <c r="H1799" s="47" t="n">
        <f aca="false">IF(G1799="","",(Orders!G1799-G1799)/Orders!G1799)</f>
        <v>0.259393939393939</v>
      </c>
      <c r="I1799" s="46"/>
      <c r="J1799" s="46"/>
      <c r="K1799" s="46"/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/>
      <c r="AC1799" s="46"/>
      <c r="AD1799" s="46"/>
      <c r="AE1799" s="46"/>
      <c r="AF1799" s="46"/>
      <c r="AG1799" s="46"/>
      <c r="AH1799" s="46"/>
      <c r="AI1799" s="46"/>
      <c r="AJ1799" s="46"/>
      <c r="AK1799" s="4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</row>
    <row r="1800" customFormat="false" ht="15" hidden="false" customHeight="false" outlineLevel="0" collapsed="false">
      <c r="A1800" s="46" t="str">
        <f aca="false">Orders!A1800</f>
        <v>ORD-01799</v>
      </c>
      <c r="B1800" s="46" t="str">
        <f aca="false">PROPER(TRIM(Orders!K1800))</f>
        <v>Chennai</v>
      </c>
      <c r="C1800" s="46" t="str">
        <f aca="false">IFERROR(VLOOKUP(Orders!D1800,Products!$A$2:$F$61,3,FALSE()),"Not Found")</f>
        <v>Beauty</v>
      </c>
      <c r="D1800" s="46" t="str">
        <f aca="false">IFERROR(VLOOKUP(Orders!C1800,Customers!$A$2:$F$301,5,FALSE()),"Not Found")</f>
        <v>Retail</v>
      </c>
      <c r="E1800" s="46" t="n">
        <f aca="false">IFERROR(VLOOKUP(Orders!C1800,Customers!$A$2:$F$301,3,FALSE()),"Not Found")</f>
        <v>24</v>
      </c>
      <c r="F1800" s="46" t="str">
        <f aca="false">IFERROR(VLOOKUP(Orders!E1800,Sales_Reps!$A$2:$E$31,3,FALSE()),"Not Found")</f>
        <v>North</v>
      </c>
      <c r="G1800" s="46" t="n">
        <f aca="false">IFERROR(VLOOKUP(Orders!D1800,Products!$A$2:$F$61,4,FALSE()),"")</f>
        <v>1626</v>
      </c>
      <c r="H1800" s="47" t="n">
        <f aca="false">IF(G1800="","",(Orders!G1800-G1800)/Orders!G1800)</f>
        <v>0.46158940397351</v>
      </c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  <c r="Y1800" s="46"/>
      <c r="Z1800" s="46"/>
      <c r="AA1800" s="46"/>
      <c r="AB1800" s="46"/>
      <c r="AC1800" s="46"/>
      <c r="AD1800" s="46"/>
      <c r="AE1800" s="46"/>
      <c r="AF1800" s="46"/>
      <c r="AG1800" s="46"/>
      <c r="AH1800" s="46"/>
      <c r="AI1800" s="46"/>
      <c r="AJ1800" s="46"/>
      <c r="AK1800" s="4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</row>
    <row r="1801" customFormat="false" ht="15" hidden="false" customHeight="false" outlineLevel="0" collapsed="false">
      <c r="A1801" s="46" t="str">
        <f aca="false">Orders!A1801</f>
        <v>ORD-01800</v>
      </c>
      <c r="B1801" s="46" t="str">
        <f aca="false">PROPER(TRIM(Orders!K1801))</f>
        <v>Bengaluru</v>
      </c>
      <c r="C1801" s="46" t="str">
        <f aca="false">IFERROR(VLOOKUP(Orders!D1801,Products!$A$2:$F$61,3,FALSE()),"Not Found")</f>
        <v>Apparel</v>
      </c>
      <c r="D1801" s="46" t="str">
        <f aca="false">IFERROR(VLOOKUP(Orders!C1801,Customers!$A$2:$F$301,5,FALSE()),"Not Found")</f>
        <v>Retail</v>
      </c>
      <c r="E1801" s="46" t="n">
        <f aca="false">IFERROR(VLOOKUP(Orders!C1801,Customers!$A$2:$F$301,3,FALSE()),"Not Found")</f>
        <v>47</v>
      </c>
      <c r="F1801" s="46" t="str">
        <f aca="false">IFERROR(VLOOKUP(Orders!E1801,Sales_Reps!$A$2:$E$31,3,FALSE()),"Not Found")</f>
        <v>South</v>
      </c>
      <c r="G1801" s="46" t="n">
        <f aca="false">IFERROR(VLOOKUP(Orders!D1801,Products!$A$2:$F$61,4,FALSE()),"")</f>
        <v>1748</v>
      </c>
      <c r="H1801" s="47" t="n">
        <f aca="false">IF(G1801="","",(Orders!G1801-G1801)/Orders!G1801)</f>
        <v>0.493333333333333</v>
      </c>
      <c r="I1801" s="46"/>
      <c r="J1801" s="46"/>
      <c r="K1801" s="46"/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  <c r="Y1801" s="46"/>
      <c r="Z1801" s="46"/>
      <c r="AA1801" s="46"/>
      <c r="AB1801" s="46"/>
      <c r="AC1801" s="46"/>
      <c r="AD1801" s="46"/>
      <c r="AE1801" s="46"/>
      <c r="AF1801" s="46"/>
      <c r="AG1801" s="46"/>
      <c r="AH1801" s="46"/>
      <c r="AI1801" s="46"/>
      <c r="AJ1801" s="46"/>
      <c r="AK1801" s="4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</row>
    <row r="1802" customFormat="false" ht="15" hidden="false" customHeight="false" outlineLevel="0" collapsed="false">
      <c r="A1802" s="46" t="str">
        <f aca="false">Orders!A1802</f>
        <v>ORD-01801</v>
      </c>
      <c r="B1802" s="46" t="str">
        <f aca="false">PROPER(TRIM(Orders!K1802))</f>
        <v>Hyderabad</v>
      </c>
      <c r="C1802" s="46" t="str">
        <f aca="false">IFERROR(VLOOKUP(Orders!D1802,Products!$A$2:$F$61,3,FALSE()),"Not Found")</f>
        <v>Electronics</v>
      </c>
      <c r="D1802" s="46" t="str">
        <f aca="false">IFERROR(VLOOKUP(Orders!C1802,Customers!$A$2:$F$301,5,FALSE()),"Not Found")</f>
        <v>Retail</v>
      </c>
      <c r="E1802" s="46" t="n">
        <f aca="false">IFERROR(VLOOKUP(Orders!C1802,Customers!$A$2:$F$301,3,FALSE()),"Not Found")</f>
        <v>26</v>
      </c>
      <c r="F1802" s="46" t="str">
        <f aca="false">IFERROR(VLOOKUP(Orders!E1802,Sales_Reps!$A$2:$E$31,3,FALSE()),"Not Found")</f>
        <v>East</v>
      </c>
      <c r="G1802" s="46" t="n">
        <f aca="false">IFERROR(VLOOKUP(Orders!D1802,Products!$A$2:$F$61,4,FALSE()),"")</f>
        <v>517</v>
      </c>
      <c r="H1802" s="47" t="n">
        <f aca="false">IF(G1802="","",(Orders!G1802-G1802)/Orders!G1802)</f>
        <v>0.576229508196721</v>
      </c>
      <c r="I1802" s="46"/>
      <c r="J1802" s="46"/>
      <c r="K1802" s="46"/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6"/>
      <c r="AA1802" s="46"/>
      <c r="AB1802" s="46"/>
      <c r="AC1802" s="46"/>
      <c r="AD1802" s="46"/>
      <c r="AE1802" s="46"/>
      <c r="AF1802" s="46"/>
      <c r="AG1802" s="46"/>
      <c r="AH1802" s="46"/>
      <c r="AI1802" s="46"/>
      <c r="AJ1802" s="46"/>
      <c r="AK1802" s="4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</row>
    <row r="1803" customFormat="false" ht="15" hidden="false" customHeight="false" outlineLevel="0" collapsed="false">
      <c r="A1803" s="46" t="str">
        <f aca="false">Orders!A1803</f>
        <v>ORD-01802</v>
      </c>
      <c r="B1803" s="46" t="str">
        <f aca="false">PROPER(TRIM(Orders!K1803))</f>
        <v>Hyderabad</v>
      </c>
      <c r="C1803" s="46" t="str">
        <f aca="false">IFERROR(VLOOKUP(Orders!D1803,Products!$A$2:$F$61,3,FALSE()),"Not Found")</f>
        <v>Grocery</v>
      </c>
      <c r="D1803" s="46" t="str">
        <f aca="false">IFERROR(VLOOKUP(Orders!C1803,Customers!$A$2:$F$301,5,FALSE()),"Not Found")</f>
        <v>SMB</v>
      </c>
      <c r="E1803" s="46" t="n">
        <f aca="false">IFERROR(VLOOKUP(Orders!C1803,Customers!$A$2:$F$301,3,FALSE()),"Not Found")</f>
        <v>40</v>
      </c>
      <c r="F1803" s="46" t="str">
        <f aca="false">IFERROR(VLOOKUP(Orders!E1803,Sales_Reps!$A$2:$E$31,3,FALSE()),"Not Found")</f>
        <v>North</v>
      </c>
      <c r="G1803" s="46" t="n">
        <f aca="false">IFERROR(VLOOKUP(Orders!D1803,Products!$A$2:$F$61,4,FALSE()),"")</f>
        <v>2436</v>
      </c>
      <c r="H1803" s="47" t="n">
        <f aca="false">IF(G1803="","",(Orders!G1803-G1803)/Orders!G1803)</f>
        <v>0.355555555555556</v>
      </c>
      <c r="I1803" s="46"/>
      <c r="J1803" s="46"/>
      <c r="K1803" s="46"/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  <c r="Y1803" s="46"/>
      <c r="Z1803" s="46"/>
      <c r="AA1803" s="46"/>
      <c r="AB1803" s="46"/>
      <c r="AC1803" s="46"/>
      <c r="AD1803" s="46"/>
      <c r="AE1803" s="46"/>
      <c r="AF1803" s="46"/>
      <c r="AG1803" s="46"/>
      <c r="AH1803" s="46"/>
      <c r="AI1803" s="46"/>
      <c r="AJ1803" s="46"/>
      <c r="AK1803" s="4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</row>
    <row r="1804" customFormat="false" ht="15" hidden="false" customHeight="false" outlineLevel="0" collapsed="false">
      <c r="A1804" s="46" t="str">
        <f aca="false">Orders!A1804</f>
        <v>ORD-01803</v>
      </c>
      <c r="B1804" s="46" t="str">
        <f aca="false">PROPER(TRIM(Orders!K1804))</f>
        <v>Delhi</v>
      </c>
      <c r="C1804" s="46" t="str">
        <f aca="false">IFERROR(VLOOKUP(Orders!D1804,Products!$A$2:$F$61,3,FALSE()),"Not Found")</f>
        <v>Electronics</v>
      </c>
      <c r="D1804" s="46" t="str">
        <f aca="false">IFERROR(VLOOKUP(Orders!C1804,Customers!$A$2:$F$301,5,FALSE()),"Not Found")</f>
        <v>Retail</v>
      </c>
      <c r="E1804" s="46" t="n">
        <f aca="false">IFERROR(VLOOKUP(Orders!C1804,Customers!$A$2:$F$301,3,FALSE()),"Not Found")</f>
        <v>44</v>
      </c>
      <c r="F1804" s="46" t="str">
        <f aca="false">IFERROR(VLOOKUP(Orders!E1804,Sales_Reps!$A$2:$E$31,3,FALSE()),"Not Found")</f>
        <v>North</v>
      </c>
      <c r="G1804" s="46" t="n">
        <f aca="false">IFERROR(VLOOKUP(Orders!D1804,Products!$A$2:$F$61,4,FALSE()),"")</f>
        <v>1259</v>
      </c>
      <c r="H1804" s="47" t="n">
        <f aca="false">IF(G1804="","",(Orders!G1804-G1804)/Orders!G1804)</f>
        <v>0.526691729323308</v>
      </c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</row>
    <row r="1805" customFormat="false" ht="15" hidden="false" customHeight="false" outlineLevel="0" collapsed="false">
      <c r="A1805" s="46" t="str">
        <f aca="false">Orders!A1805</f>
        <v>ORD-01804</v>
      </c>
      <c r="B1805" s="46" t="str">
        <f aca="false">PROPER(TRIM(Orders!K1805))</f>
        <v>Hyderabad</v>
      </c>
      <c r="C1805" s="46" t="str">
        <f aca="false">IFERROR(VLOOKUP(Orders!D1805,Products!$A$2:$F$61,3,FALSE()),"Not Found")</f>
        <v>Home</v>
      </c>
      <c r="D1805" s="46" t="str">
        <f aca="false">IFERROR(VLOOKUP(Orders!C1805,Customers!$A$2:$F$301,5,FALSE()),"Not Found")</f>
        <v>Retail</v>
      </c>
      <c r="E1805" s="46" t="n">
        <f aca="false">IFERROR(VLOOKUP(Orders!C1805,Customers!$A$2:$F$301,3,FALSE()),"Not Found")</f>
        <v>46</v>
      </c>
      <c r="F1805" s="46" t="str">
        <f aca="false">IFERROR(VLOOKUP(Orders!E1805,Sales_Reps!$A$2:$E$31,3,FALSE()),"Not Found")</f>
        <v>North</v>
      </c>
      <c r="G1805" s="46" t="n">
        <f aca="false">IFERROR(VLOOKUP(Orders!D1805,Products!$A$2:$F$61,4,FALSE()),"")</f>
        <v>464</v>
      </c>
      <c r="H1805" s="47" t="n">
        <f aca="false">IF(G1805="","",(Orders!G1805-G1805)/Orders!G1805)</f>
        <v>0.574311926605505</v>
      </c>
      <c r="I1805" s="46"/>
      <c r="J1805" s="46"/>
      <c r="K1805" s="46"/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</row>
    <row r="1806" customFormat="false" ht="15" hidden="false" customHeight="false" outlineLevel="0" collapsed="false">
      <c r="A1806" s="46" t="str">
        <f aca="false">Orders!A1806</f>
        <v>ORD-01805</v>
      </c>
      <c r="B1806" s="46" t="str">
        <f aca="false">PROPER(TRIM(Orders!K1806))</f>
        <v>Mumbai</v>
      </c>
      <c r="C1806" s="46" t="str">
        <f aca="false">IFERROR(VLOOKUP(Orders!D1806,Products!$A$2:$F$61,3,FALSE()),"Not Found")</f>
        <v>Home</v>
      </c>
      <c r="D1806" s="46" t="str">
        <f aca="false">IFERROR(VLOOKUP(Orders!C1806,Customers!$A$2:$F$301,5,FALSE()),"Not Found")</f>
        <v>Not Found</v>
      </c>
      <c r="E1806" s="46" t="str">
        <f aca="false">IFERROR(VLOOKUP(Orders!C1806,Customers!$A$2:$F$301,3,FALSE()),"Not Found")</f>
        <v>Not Found</v>
      </c>
      <c r="F1806" s="46" t="str">
        <f aca="false">IFERROR(VLOOKUP(Orders!E1806,Sales_Reps!$A$2:$E$31,3,FALSE()),"Not Found")</f>
        <v>South</v>
      </c>
      <c r="G1806" s="46" t="n">
        <f aca="false">IFERROR(VLOOKUP(Orders!D1806,Products!$A$2:$F$61,4,FALSE()),"")</f>
        <v>329</v>
      </c>
      <c r="H1806" s="47" t="n">
        <f aca="false">IF(G1806="","",(Orders!G1806-G1806)/Orders!G1806)</f>
        <v>0.501515151515152</v>
      </c>
      <c r="I1806" s="46"/>
      <c r="J1806" s="46"/>
      <c r="K1806" s="46"/>
      <c r="L1806" s="46"/>
      <c r="M1806" s="46"/>
      <c r="N1806" s="46"/>
      <c r="O1806" s="46"/>
      <c r="P1806" s="46"/>
      <c r="Q1806" s="46"/>
      <c r="R1806" s="46"/>
      <c r="S1806" s="46"/>
      <c r="T1806" s="46"/>
      <c r="U1806" s="46"/>
      <c r="V1806" s="46"/>
      <c r="W1806" s="46"/>
      <c r="X1806" s="46"/>
      <c r="Y1806" s="46"/>
      <c r="Z1806" s="46"/>
      <c r="AA1806" s="46"/>
      <c r="AB1806" s="46"/>
      <c r="AC1806" s="46"/>
      <c r="AD1806" s="46"/>
      <c r="AE1806" s="46"/>
      <c r="AF1806" s="46"/>
      <c r="AG1806" s="46"/>
      <c r="AH1806" s="46"/>
      <c r="AI1806" s="46"/>
      <c r="AJ1806" s="46"/>
      <c r="AK1806" s="4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</row>
    <row r="1807" customFormat="false" ht="15" hidden="false" customHeight="false" outlineLevel="0" collapsed="false">
      <c r="A1807" s="46" t="str">
        <f aca="false">Orders!A1807</f>
        <v>ORD-01806</v>
      </c>
      <c r="B1807" s="46" t="str">
        <f aca="false">PROPER(TRIM(Orders!K1807))</f>
        <v>Mumbai</v>
      </c>
      <c r="C1807" s="46" t="str">
        <f aca="false">IFERROR(VLOOKUP(Orders!D1807,Products!$A$2:$F$61,3,FALSE()),"Not Found")</f>
        <v>Home</v>
      </c>
      <c r="D1807" s="46" t="str">
        <f aca="false">IFERROR(VLOOKUP(Orders!C1807,Customers!$A$2:$F$301,5,FALSE()),"Not Found")</f>
        <v>SMB</v>
      </c>
      <c r="E1807" s="46" t="n">
        <f aca="false">IFERROR(VLOOKUP(Orders!C1807,Customers!$A$2:$F$301,3,FALSE()),"Not Found")</f>
        <v>53</v>
      </c>
      <c r="F1807" s="46" t="str">
        <f aca="false">IFERROR(VLOOKUP(Orders!E1807,Sales_Reps!$A$2:$E$31,3,FALSE()),"Not Found")</f>
        <v>South</v>
      </c>
      <c r="G1807" s="46" t="n">
        <f aca="false">IFERROR(VLOOKUP(Orders!D1807,Products!$A$2:$F$61,4,FALSE()),"")</f>
        <v>464</v>
      </c>
      <c r="H1807" s="47" t="n">
        <f aca="false">IF(G1807="","",(Orders!G1807-G1807)/Orders!G1807)</f>
        <v>0.574311926605505</v>
      </c>
      <c r="I1807" s="46"/>
      <c r="J1807" s="46"/>
      <c r="K1807" s="46"/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46"/>
      <c r="AA1807" s="46"/>
      <c r="AB1807" s="46"/>
      <c r="AC1807" s="46"/>
      <c r="AD1807" s="46"/>
      <c r="AE1807" s="46"/>
      <c r="AF1807" s="46"/>
      <c r="AG1807" s="46"/>
      <c r="AH1807" s="46"/>
      <c r="AI1807" s="46"/>
      <c r="AJ1807" s="46"/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</row>
    <row r="1808" customFormat="false" ht="15" hidden="false" customHeight="false" outlineLevel="0" collapsed="false">
      <c r="A1808" s="46" t="str">
        <f aca="false">Orders!A1808</f>
        <v>ORD-01807</v>
      </c>
      <c r="B1808" s="46" t="str">
        <f aca="false">PROPER(TRIM(Orders!K1808))</f>
        <v>Bengaluru</v>
      </c>
      <c r="C1808" s="46" t="str">
        <f aca="false">IFERROR(VLOOKUP(Orders!D1808,Products!$A$2:$F$61,3,FALSE()),"Not Found")</f>
        <v>Grocery</v>
      </c>
      <c r="D1808" s="46" t="str">
        <f aca="false">IFERROR(VLOOKUP(Orders!C1808,Customers!$A$2:$F$301,5,FALSE()),"Not Found")</f>
        <v>Retail</v>
      </c>
      <c r="E1808" s="46" t="n">
        <f aca="false">IFERROR(VLOOKUP(Orders!C1808,Customers!$A$2:$F$301,3,FALSE()),"Not Found")</f>
        <v>42</v>
      </c>
      <c r="F1808" s="46" t="str">
        <f aca="false">IFERROR(VLOOKUP(Orders!E1808,Sales_Reps!$A$2:$E$31,3,FALSE()),"Not Found")</f>
        <v>South</v>
      </c>
      <c r="G1808" s="46" t="n">
        <f aca="false">IFERROR(VLOOKUP(Orders!D1808,Products!$A$2:$F$61,4,FALSE()),"")</f>
        <v>1010</v>
      </c>
      <c r="H1808" s="47" t="n">
        <f aca="false">IF(G1808="","",(Orders!G1808-G1808)/Orders!G1808)</f>
        <v>0.542986425339367</v>
      </c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  <c r="Y1808" s="46"/>
      <c r="Z1808" s="46"/>
      <c r="AA1808" s="46"/>
      <c r="AB1808" s="46"/>
      <c r="AC1808" s="46"/>
      <c r="AD1808" s="46"/>
      <c r="AE1808" s="46"/>
      <c r="AF1808" s="46"/>
      <c r="AG1808" s="46"/>
      <c r="AH1808" s="46"/>
      <c r="AI1808" s="46"/>
      <c r="AJ1808" s="46"/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</row>
    <row r="1809" customFormat="false" ht="15" hidden="false" customHeight="false" outlineLevel="0" collapsed="false">
      <c r="A1809" s="46" t="str">
        <f aca="false">Orders!A1809</f>
        <v>ORD-01808</v>
      </c>
      <c r="B1809" s="46" t="str">
        <f aca="false">PROPER(TRIM(Orders!K1809))</f>
        <v>Chennai</v>
      </c>
      <c r="C1809" s="46" t="str">
        <f aca="false">IFERROR(VLOOKUP(Orders!D1809,Products!$A$2:$F$61,3,FALSE()),"Not Found")</f>
        <v>Electronics</v>
      </c>
      <c r="D1809" s="46" t="str">
        <f aca="false">IFERROR(VLOOKUP(Orders!C1809,Customers!$A$2:$F$301,5,FALSE()),"Not Found")</f>
        <v>Corporate</v>
      </c>
      <c r="E1809" s="46" t="n">
        <f aca="false">IFERROR(VLOOKUP(Orders!C1809,Customers!$A$2:$F$301,3,FALSE()),"Not Found")</f>
        <v>55</v>
      </c>
      <c r="F1809" s="46" t="str">
        <f aca="false">IFERROR(VLOOKUP(Orders!E1809,Sales_Reps!$A$2:$E$31,3,FALSE()),"Not Found")</f>
        <v>West</v>
      </c>
      <c r="G1809" s="46" t="n">
        <f aca="false">IFERROR(VLOOKUP(Orders!D1809,Products!$A$2:$F$61,4,FALSE()),"")</f>
        <v>2865</v>
      </c>
      <c r="H1809" s="47" t="n">
        <f aca="false">IF(G1809="","",(Orders!G1809-G1809)/Orders!G1809)</f>
        <v>0.278337531486146</v>
      </c>
      <c r="I1809" s="46"/>
      <c r="J1809" s="46"/>
      <c r="K1809" s="46"/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  <c r="Y1809" s="46"/>
      <c r="Z1809" s="46"/>
      <c r="AA1809" s="46"/>
      <c r="AB1809" s="46"/>
      <c r="AC1809" s="46"/>
      <c r="AD1809" s="46"/>
      <c r="AE1809" s="46"/>
      <c r="AF1809" s="46"/>
      <c r="AG1809" s="46"/>
      <c r="AH1809" s="46"/>
      <c r="AI1809" s="46"/>
      <c r="AJ1809" s="46"/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</row>
    <row r="1810" customFormat="false" ht="15" hidden="false" customHeight="false" outlineLevel="0" collapsed="false">
      <c r="A1810" s="46" t="str">
        <f aca="false">Orders!A1810</f>
        <v>ORD-01809</v>
      </c>
      <c r="B1810" s="46" t="str">
        <f aca="false">PROPER(TRIM(Orders!K1810))</f>
        <v>Pune</v>
      </c>
      <c r="C1810" s="46" t="str">
        <f aca="false">IFERROR(VLOOKUP(Orders!D1810,Products!$A$2:$F$61,3,FALSE()),"Not Found")</f>
        <v>Home</v>
      </c>
      <c r="D1810" s="46" t="str">
        <f aca="false">IFERROR(VLOOKUP(Orders!C1810,Customers!$A$2:$F$301,5,FALSE()),"Not Found")</f>
        <v>Retail</v>
      </c>
      <c r="E1810" s="46" t="n">
        <f aca="false">IFERROR(VLOOKUP(Orders!C1810,Customers!$A$2:$F$301,3,FALSE()),"Not Found")</f>
        <v>59</v>
      </c>
      <c r="F1810" s="46" t="str">
        <f aca="false">IFERROR(VLOOKUP(Orders!E1810,Sales_Reps!$A$2:$E$31,3,FALSE()),"Not Found")</f>
        <v>East</v>
      </c>
      <c r="G1810" s="46" t="n">
        <f aca="false">IFERROR(VLOOKUP(Orders!D1810,Products!$A$2:$F$61,4,FALSE()),"")</f>
        <v>1850</v>
      </c>
      <c r="H1810" s="47" t="n">
        <f aca="false">IF(G1810="","",(Orders!G1810-G1810)/Orders!G1810)</f>
        <v>0.598698481561822</v>
      </c>
      <c r="I1810" s="46"/>
      <c r="J1810" s="46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  <c r="Y1810" s="46"/>
      <c r="Z1810" s="46"/>
      <c r="AA1810" s="46"/>
      <c r="AB1810" s="46"/>
      <c r="AC1810" s="46"/>
      <c r="AD1810" s="46"/>
      <c r="AE1810" s="46"/>
      <c r="AF1810" s="46"/>
      <c r="AG1810" s="46"/>
      <c r="AH1810" s="46"/>
      <c r="AI1810" s="46"/>
      <c r="AJ1810" s="46"/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</row>
    <row r="1811" customFormat="false" ht="15" hidden="false" customHeight="false" outlineLevel="0" collapsed="false">
      <c r="A1811" s="46" t="str">
        <f aca="false">Orders!A1811</f>
        <v>ORD-01810</v>
      </c>
      <c r="B1811" s="46" t="str">
        <f aca="false">PROPER(TRIM(Orders!K1811))</f>
        <v>Delhi</v>
      </c>
      <c r="C1811" s="46" t="str">
        <f aca="false">IFERROR(VLOOKUP(Orders!D1811,Products!$A$2:$F$61,3,FALSE()),"Not Found")</f>
        <v>Beauty</v>
      </c>
      <c r="D1811" s="46" t="str">
        <f aca="false">IFERROR(VLOOKUP(Orders!C1811,Customers!$A$2:$F$301,5,FALSE()),"Not Found")</f>
        <v>SMB</v>
      </c>
      <c r="E1811" s="46" t="n">
        <f aca="false">IFERROR(VLOOKUP(Orders!C1811,Customers!$A$2:$F$301,3,FALSE()),"Not Found")</f>
        <v>55</v>
      </c>
      <c r="F1811" s="46" t="str">
        <f aca="false">IFERROR(VLOOKUP(Orders!E1811,Sales_Reps!$A$2:$E$31,3,FALSE()),"Not Found")</f>
        <v>West</v>
      </c>
      <c r="G1811" s="46" t="n">
        <f aca="false">IFERROR(VLOOKUP(Orders!D1811,Products!$A$2:$F$61,4,FALSE()),"")</f>
        <v>675</v>
      </c>
      <c r="H1811" s="47" t="n">
        <f aca="false">IF(G1811="","",(Orders!G1811-G1811)/Orders!G1811)</f>
        <v>0.296875</v>
      </c>
      <c r="I1811" s="46"/>
      <c r="J1811" s="46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  <c r="AA1811" s="46"/>
      <c r="AB1811" s="46"/>
      <c r="AC1811" s="46"/>
      <c r="AD1811" s="46"/>
      <c r="AE1811" s="46"/>
      <c r="AF1811" s="46"/>
      <c r="AG1811" s="46"/>
      <c r="AH1811" s="46"/>
      <c r="AI1811" s="46"/>
      <c r="AJ1811" s="46"/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</row>
    <row r="1812" customFormat="false" ht="15" hidden="false" customHeight="false" outlineLevel="0" collapsed="false">
      <c r="A1812" s="46" t="str">
        <f aca="false">Orders!A1812</f>
        <v>ORD-01811</v>
      </c>
      <c r="B1812" s="46" t="str">
        <f aca="false">PROPER(TRIM(Orders!K1812))</f>
        <v>Bengaluru</v>
      </c>
      <c r="C1812" s="46" t="str">
        <f aca="false">IFERROR(VLOOKUP(Orders!D1812,Products!$A$2:$F$61,3,FALSE()),"Not Found")</f>
        <v>Beauty</v>
      </c>
      <c r="D1812" s="46" t="str">
        <f aca="false">IFERROR(VLOOKUP(Orders!C1812,Customers!$A$2:$F$301,5,FALSE()),"Not Found")</f>
        <v>SMB</v>
      </c>
      <c r="E1812" s="46" t="n">
        <f aca="false">IFERROR(VLOOKUP(Orders!C1812,Customers!$A$2:$F$301,3,FALSE()),"Not Found")</f>
        <v>64</v>
      </c>
      <c r="F1812" s="46" t="str">
        <f aca="false">IFERROR(VLOOKUP(Orders!E1812,Sales_Reps!$A$2:$E$31,3,FALSE()),"Not Found")</f>
        <v>South</v>
      </c>
      <c r="G1812" s="46" t="n">
        <f aca="false">IFERROR(VLOOKUP(Orders!D1812,Products!$A$2:$F$61,4,FALSE()),"")</f>
        <v>1626</v>
      </c>
      <c r="H1812" s="47" t="n">
        <f aca="false">IF(G1812="","",(Orders!G1812-G1812)/Orders!G1812)</f>
        <v>0.46158940397351</v>
      </c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  <c r="Y1812" s="46"/>
      <c r="Z1812" s="46"/>
      <c r="AA1812" s="46"/>
      <c r="AB1812" s="46"/>
      <c r="AC1812" s="46"/>
      <c r="AD1812" s="46"/>
      <c r="AE1812" s="46"/>
      <c r="AF1812" s="46"/>
      <c r="AG1812" s="46"/>
      <c r="AH1812" s="46"/>
      <c r="AI1812" s="46"/>
      <c r="AJ1812" s="46"/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</row>
    <row r="1813" customFormat="false" ht="15" hidden="false" customHeight="false" outlineLevel="0" collapsed="false">
      <c r="A1813" s="46" t="str">
        <f aca="false">Orders!A1813</f>
        <v>ORD-01812</v>
      </c>
      <c r="B1813" s="46" t="str">
        <f aca="false">PROPER(TRIM(Orders!K1813))</f>
        <v>Pune</v>
      </c>
      <c r="C1813" s="46" t="str">
        <f aca="false">IFERROR(VLOOKUP(Orders!D1813,Products!$A$2:$F$61,3,FALSE()),"Not Found")</f>
        <v>Apparel</v>
      </c>
      <c r="D1813" s="46" t="str">
        <f aca="false">IFERROR(VLOOKUP(Orders!C1813,Customers!$A$2:$F$301,5,FALSE()),"Not Found")</f>
        <v>SMB</v>
      </c>
      <c r="E1813" s="46" t="n">
        <f aca="false">IFERROR(VLOOKUP(Orders!C1813,Customers!$A$2:$F$301,3,FALSE()),"Not Found")</f>
        <v>39</v>
      </c>
      <c r="F1813" s="46" t="str">
        <f aca="false">IFERROR(VLOOKUP(Orders!E1813,Sales_Reps!$A$2:$E$31,3,FALSE()),"Not Found")</f>
        <v>West</v>
      </c>
      <c r="G1813" s="46" t="n">
        <f aca="false">IFERROR(VLOOKUP(Orders!D1813,Products!$A$2:$F$61,4,FALSE()),"")</f>
        <v>1173</v>
      </c>
      <c r="H1813" s="47" t="n">
        <f aca="false">IF(G1813="","",(Orders!G1813-G1813)/Orders!G1813)</f>
        <v>0.527016129032258</v>
      </c>
      <c r="I1813" s="46"/>
      <c r="J1813" s="46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  <c r="Y1813" s="46"/>
      <c r="Z1813" s="46"/>
      <c r="AA1813" s="46"/>
      <c r="AB1813" s="46"/>
      <c r="AC1813" s="46"/>
      <c r="AD1813" s="46"/>
      <c r="AE1813" s="46"/>
      <c r="AF1813" s="46"/>
      <c r="AG1813" s="46"/>
      <c r="AH1813" s="46"/>
      <c r="AI1813" s="46"/>
      <c r="AJ1813" s="46"/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</row>
    <row r="1814" customFormat="false" ht="15" hidden="false" customHeight="false" outlineLevel="0" collapsed="false">
      <c r="A1814" s="46" t="str">
        <f aca="false">Orders!A1814</f>
        <v>ORD-01813</v>
      </c>
      <c r="B1814" s="46" t="str">
        <f aca="false">PROPER(TRIM(Orders!K1814))</f>
        <v>Hyderabad</v>
      </c>
      <c r="C1814" s="46" t="str">
        <f aca="false">IFERROR(VLOOKUP(Orders!D1814,Products!$A$2:$F$61,3,FALSE()),"Not Found")</f>
        <v>Electronics</v>
      </c>
      <c r="D1814" s="46" t="str">
        <f aca="false">IFERROR(VLOOKUP(Orders!C1814,Customers!$A$2:$F$301,5,FALSE()),"Not Found")</f>
        <v>Retail</v>
      </c>
      <c r="E1814" s="46" t="n">
        <f aca="false">IFERROR(VLOOKUP(Orders!C1814,Customers!$A$2:$F$301,3,FALSE()),"Not Found")</f>
        <v>22</v>
      </c>
      <c r="F1814" s="46" t="str">
        <f aca="false">IFERROR(VLOOKUP(Orders!E1814,Sales_Reps!$A$2:$E$31,3,FALSE()),"Not Found")</f>
        <v>South</v>
      </c>
      <c r="G1814" s="46" t="n">
        <f aca="false">IFERROR(VLOOKUP(Orders!D1814,Products!$A$2:$F$61,4,FALSE()),"")</f>
        <v>1559</v>
      </c>
      <c r="H1814" s="47" t="n">
        <f aca="false">IF(G1814="","",(Orders!G1814-G1814)/Orders!G1814)</f>
        <v>0.597157622739018</v>
      </c>
      <c r="I1814" s="46"/>
      <c r="J1814" s="46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/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</row>
    <row r="1815" customFormat="false" ht="15" hidden="false" customHeight="false" outlineLevel="0" collapsed="false">
      <c r="A1815" s="46" t="str">
        <f aca="false">Orders!A1815</f>
        <v>ORD-01814</v>
      </c>
      <c r="B1815" s="46" t="str">
        <f aca="false">PROPER(TRIM(Orders!K1815))</f>
        <v>Mumbai</v>
      </c>
      <c r="C1815" s="46" t="str">
        <f aca="false">IFERROR(VLOOKUP(Orders!D1815,Products!$A$2:$F$61,3,FALSE()),"Not Found")</f>
        <v>Home</v>
      </c>
      <c r="D1815" s="46" t="str">
        <f aca="false">IFERROR(VLOOKUP(Orders!C1815,Customers!$A$2:$F$301,5,FALSE()),"Not Found")</f>
        <v>Corporate</v>
      </c>
      <c r="E1815" s="46" t="n">
        <f aca="false">IFERROR(VLOOKUP(Orders!C1815,Customers!$A$2:$F$301,3,FALSE()),"Not Found")</f>
        <v>62</v>
      </c>
      <c r="F1815" s="46" t="str">
        <f aca="false">IFERROR(VLOOKUP(Orders!E1815,Sales_Reps!$A$2:$E$31,3,FALSE()),"Not Found")</f>
        <v>East</v>
      </c>
      <c r="G1815" s="46" t="n">
        <f aca="false">IFERROR(VLOOKUP(Orders!D1815,Products!$A$2:$F$61,4,FALSE()),"")</f>
        <v>329</v>
      </c>
      <c r="H1815" s="47" t="n">
        <f aca="false">IF(G1815="","",(Orders!G1815-G1815)/Orders!G1815)</f>
        <v>0.501515151515152</v>
      </c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  <c r="X1815" s="46"/>
      <c r="Y1815" s="46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</row>
    <row r="1816" customFormat="false" ht="15" hidden="false" customHeight="false" outlineLevel="0" collapsed="false">
      <c r="A1816" s="46" t="str">
        <f aca="false">Orders!A1816</f>
        <v>ORD-01815</v>
      </c>
      <c r="B1816" s="46" t="str">
        <f aca="false">PROPER(TRIM(Orders!K1816))</f>
        <v>Chennai</v>
      </c>
      <c r="C1816" s="46" t="str">
        <f aca="false">IFERROR(VLOOKUP(Orders!D1816,Products!$A$2:$F$61,3,FALSE()),"Not Found")</f>
        <v>Electronics</v>
      </c>
      <c r="D1816" s="46" t="str">
        <f aca="false">IFERROR(VLOOKUP(Orders!C1816,Customers!$A$2:$F$301,5,FALSE()),"Not Found")</f>
        <v>Not Found</v>
      </c>
      <c r="E1816" s="46" t="str">
        <f aca="false">IFERROR(VLOOKUP(Orders!C1816,Customers!$A$2:$F$301,3,FALSE()),"Not Found")</f>
        <v>Not Found</v>
      </c>
      <c r="F1816" s="46" t="str">
        <f aca="false">IFERROR(VLOOKUP(Orders!E1816,Sales_Reps!$A$2:$E$31,3,FALSE()),"Not Found")</f>
        <v>West</v>
      </c>
      <c r="G1816" s="46" t="n">
        <f aca="false">IFERROR(VLOOKUP(Orders!D1816,Products!$A$2:$F$61,4,FALSE()),"")</f>
        <v>1559</v>
      </c>
      <c r="H1816" s="47" t="n">
        <f aca="false">IF(G1816="","",(Orders!G1816-G1816)/Orders!G1816)</f>
        <v>0.597157622739018</v>
      </c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  <c r="Y1816" s="46"/>
      <c r="Z1816" s="46"/>
      <c r="AA1816" s="46"/>
      <c r="AB1816" s="46"/>
      <c r="AC1816" s="46"/>
      <c r="AD1816" s="46"/>
      <c r="AE1816" s="46"/>
      <c r="AF1816" s="46"/>
      <c r="AG1816" s="46"/>
      <c r="AH1816" s="46"/>
      <c r="AI1816" s="46"/>
      <c r="AJ1816" s="46"/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</row>
    <row r="1817" customFormat="false" ht="15" hidden="false" customHeight="false" outlineLevel="0" collapsed="false">
      <c r="A1817" s="46" t="str">
        <f aca="false">Orders!A1817</f>
        <v>ORD-01816</v>
      </c>
      <c r="B1817" s="46" t="str">
        <f aca="false">PROPER(TRIM(Orders!K1817))</f>
        <v>Pune</v>
      </c>
      <c r="C1817" s="46" t="str">
        <f aca="false">IFERROR(VLOOKUP(Orders!D1817,Products!$A$2:$F$61,3,FALSE()),"Not Found")</f>
        <v>Apparel</v>
      </c>
      <c r="D1817" s="46" t="str">
        <f aca="false">IFERROR(VLOOKUP(Orders!C1817,Customers!$A$2:$F$301,5,FALSE()),"Not Found")</f>
        <v>SMB</v>
      </c>
      <c r="E1817" s="46" t="n">
        <f aca="false">IFERROR(VLOOKUP(Orders!C1817,Customers!$A$2:$F$301,3,FALSE()),"Not Found")</f>
        <v>44</v>
      </c>
      <c r="F1817" s="46" t="str">
        <f aca="false">IFERROR(VLOOKUP(Orders!E1817,Sales_Reps!$A$2:$E$31,3,FALSE()),"Not Found")</f>
        <v>North</v>
      </c>
      <c r="G1817" s="46" t="n">
        <f aca="false">IFERROR(VLOOKUP(Orders!D1817,Products!$A$2:$F$61,4,FALSE()),"")</f>
        <v>1173</v>
      </c>
      <c r="H1817" s="47" t="n">
        <f aca="false">IF(G1817="","",(Orders!G1817-G1817)/Orders!G1817)</f>
        <v>0.527016129032258</v>
      </c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  <c r="Y1817" s="46"/>
      <c r="Z1817" s="46"/>
      <c r="AA1817" s="46"/>
      <c r="AB1817" s="46"/>
      <c r="AC1817" s="46"/>
      <c r="AD1817" s="46"/>
      <c r="AE1817" s="46"/>
      <c r="AF1817" s="46"/>
      <c r="AG1817" s="46"/>
      <c r="AH1817" s="46"/>
      <c r="AI1817" s="46"/>
      <c r="AJ1817" s="46"/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</row>
    <row r="1818" customFormat="false" ht="15" hidden="false" customHeight="false" outlineLevel="0" collapsed="false">
      <c r="A1818" s="46" t="str">
        <f aca="false">Orders!A1818</f>
        <v>ORD-01817</v>
      </c>
      <c r="B1818" s="46" t="str">
        <f aca="false">PROPER(TRIM(Orders!K1818))</f>
        <v>Chennai</v>
      </c>
      <c r="C1818" s="46" t="str">
        <f aca="false">IFERROR(VLOOKUP(Orders!D1818,Products!$A$2:$F$61,3,FALSE()),"Not Found")</f>
        <v>Electronics</v>
      </c>
      <c r="D1818" s="46" t="str">
        <f aca="false">IFERROR(VLOOKUP(Orders!C1818,Customers!$A$2:$F$301,5,FALSE()),"Not Found")</f>
        <v>Retail</v>
      </c>
      <c r="E1818" s="46" t="n">
        <f aca="false">IFERROR(VLOOKUP(Orders!C1818,Customers!$A$2:$F$301,3,FALSE()),"Not Found")</f>
        <v>61</v>
      </c>
      <c r="F1818" s="46" t="str">
        <f aca="false">IFERROR(VLOOKUP(Orders!E1818,Sales_Reps!$A$2:$E$31,3,FALSE()),"Not Found")</f>
        <v>North</v>
      </c>
      <c r="G1818" s="46" t="n">
        <f aca="false">IFERROR(VLOOKUP(Orders!D1818,Products!$A$2:$F$61,4,FALSE()),"")</f>
        <v>1149</v>
      </c>
      <c r="H1818" s="47" t="n">
        <f aca="false">IF(G1818="","",(Orders!G1818-G1818)/Orders!G1818)</f>
        <v>0.564772727272727</v>
      </c>
      <c r="I1818" s="46"/>
      <c r="J1818" s="46"/>
      <c r="K1818" s="46"/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  <c r="Y1818" s="46"/>
      <c r="Z1818" s="46"/>
      <c r="AA1818" s="46"/>
      <c r="AB1818" s="46"/>
      <c r="AC1818" s="46"/>
      <c r="AD1818" s="46"/>
      <c r="AE1818" s="46"/>
      <c r="AF1818" s="46"/>
      <c r="AG1818" s="46"/>
      <c r="AH1818" s="46"/>
      <c r="AI1818" s="46"/>
      <c r="AJ1818" s="46"/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</row>
    <row r="1819" customFormat="false" ht="15" hidden="false" customHeight="false" outlineLevel="0" collapsed="false">
      <c r="A1819" s="46" t="str">
        <f aca="false">Orders!A1819</f>
        <v>ORD-01818</v>
      </c>
      <c r="B1819" s="46" t="str">
        <f aca="false">PROPER(TRIM(Orders!K1819))</f>
        <v>Hyderabad</v>
      </c>
      <c r="C1819" s="46" t="str">
        <f aca="false">IFERROR(VLOOKUP(Orders!D1819,Products!$A$2:$F$61,3,FALSE()),"Not Found")</f>
        <v>Grocery</v>
      </c>
      <c r="D1819" s="46" t="str">
        <f aca="false">IFERROR(VLOOKUP(Orders!C1819,Customers!$A$2:$F$301,5,FALSE()),"Not Found")</f>
        <v>SMB</v>
      </c>
      <c r="E1819" s="46" t="n">
        <f aca="false">IFERROR(VLOOKUP(Orders!C1819,Customers!$A$2:$F$301,3,FALSE()),"Not Found")</f>
        <v>25</v>
      </c>
      <c r="F1819" s="46" t="str">
        <f aca="false">IFERROR(VLOOKUP(Orders!E1819,Sales_Reps!$A$2:$E$31,3,FALSE()),"Not Found")</f>
        <v>North</v>
      </c>
      <c r="G1819" s="46" t="n">
        <f aca="false">IFERROR(VLOOKUP(Orders!D1819,Products!$A$2:$F$61,4,FALSE()),"")</f>
        <v>434</v>
      </c>
      <c r="H1819" s="47" t="n">
        <f aca="false">IF(G1819="","",(Orders!G1819-G1819)/Orders!G1819)</f>
        <v>0.552577319587629</v>
      </c>
      <c r="I1819" s="46"/>
      <c r="J1819" s="46"/>
      <c r="K1819" s="46"/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/>
      <c r="AB1819" s="46"/>
      <c r="AC1819" s="46"/>
      <c r="AD1819" s="46"/>
      <c r="AE1819" s="46"/>
      <c r="AF1819" s="46"/>
      <c r="AG1819" s="46"/>
      <c r="AH1819" s="46"/>
      <c r="AI1819" s="46"/>
      <c r="AJ1819" s="46"/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</row>
    <row r="1820" customFormat="false" ht="15" hidden="false" customHeight="false" outlineLevel="0" collapsed="false">
      <c r="A1820" s="46" t="str">
        <f aca="false">Orders!A1820</f>
        <v>ORD-01819</v>
      </c>
      <c r="B1820" s="46" t="str">
        <f aca="false">PROPER(TRIM(Orders!K1820))</f>
        <v>Mumbai</v>
      </c>
      <c r="C1820" s="46" t="str">
        <f aca="false">IFERROR(VLOOKUP(Orders!D1820,Products!$A$2:$F$61,3,FALSE()),"Not Found")</f>
        <v>Sports</v>
      </c>
      <c r="D1820" s="46" t="str">
        <f aca="false">IFERROR(VLOOKUP(Orders!C1820,Customers!$A$2:$F$301,5,FALSE()),"Not Found")</f>
        <v>Retail</v>
      </c>
      <c r="E1820" s="46" t="n">
        <f aca="false">IFERROR(VLOOKUP(Orders!C1820,Customers!$A$2:$F$301,3,FALSE()),"Not Found")</f>
        <v>39</v>
      </c>
      <c r="F1820" s="46" t="str">
        <f aca="false">IFERROR(VLOOKUP(Orders!E1820,Sales_Reps!$A$2:$E$31,3,FALSE()),"Not Found")</f>
        <v>North</v>
      </c>
      <c r="G1820" s="46" t="n">
        <f aca="false">IFERROR(VLOOKUP(Orders!D1820,Products!$A$2:$F$61,4,FALSE()),"")</f>
        <v>705</v>
      </c>
      <c r="H1820" s="47" t="n">
        <f aca="false">IF(G1820="","",(Orders!G1820-G1820)/Orders!G1820)</f>
        <v>0.265625</v>
      </c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  <c r="Y1820" s="46"/>
      <c r="Z1820" s="46"/>
      <c r="AA1820" s="46"/>
      <c r="AB1820" s="46"/>
      <c r="AC1820" s="46"/>
      <c r="AD1820" s="46"/>
      <c r="AE1820" s="46"/>
      <c r="AF1820" s="46"/>
      <c r="AG1820" s="46"/>
      <c r="AH1820" s="46"/>
      <c r="AI1820" s="46"/>
      <c r="AJ1820" s="46"/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</row>
    <row r="1821" customFormat="false" ht="15" hidden="false" customHeight="false" outlineLevel="0" collapsed="false">
      <c r="A1821" s="46" t="str">
        <f aca="false">Orders!A1821</f>
        <v>ORD-01820</v>
      </c>
      <c r="B1821" s="46" t="str">
        <f aca="false">PROPER(TRIM(Orders!K1821))</f>
        <v>Chennai</v>
      </c>
      <c r="C1821" s="46" t="str">
        <f aca="false">IFERROR(VLOOKUP(Orders!D1821,Products!$A$2:$F$61,3,FALSE()),"Not Found")</f>
        <v>Home</v>
      </c>
      <c r="D1821" s="46" t="str">
        <f aca="false">IFERROR(VLOOKUP(Orders!C1821,Customers!$A$2:$F$301,5,FALSE()),"Not Found")</f>
        <v>Retail</v>
      </c>
      <c r="E1821" s="46" t="n">
        <f aca="false">IFERROR(VLOOKUP(Orders!C1821,Customers!$A$2:$F$301,3,FALSE()),"Not Found")</f>
        <v>31</v>
      </c>
      <c r="F1821" s="46" t="str">
        <f aca="false">IFERROR(VLOOKUP(Orders!E1821,Sales_Reps!$A$2:$E$31,3,FALSE()),"Not Found")</f>
        <v>North</v>
      </c>
      <c r="G1821" s="46" t="n">
        <f aca="false">IFERROR(VLOOKUP(Orders!D1821,Products!$A$2:$F$61,4,FALSE()),"")</f>
        <v>1143</v>
      </c>
      <c r="H1821" s="47" t="n">
        <f aca="false">IF(G1821="","",(Orders!G1821-G1821)/Orders!G1821)</f>
        <v>0.436945812807882</v>
      </c>
      <c r="I1821" s="46"/>
      <c r="J1821" s="46"/>
      <c r="K1821" s="46"/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  <c r="Y1821" s="46"/>
      <c r="Z1821" s="46"/>
      <c r="AA1821" s="46"/>
      <c r="AB1821" s="46"/>
      <c r="AC1821" s="46"/>
      <c r="AD1821" s="46"/>
      <c r="AE1821" s="46"/>
      <c r="AF1821" s="46"/>
      <c r="AG1821" s="46"/>
      <c r="AH1821" s="46"/>
      <c r="AI1821" s="46"/>
      <c r="AJ1821" s="46"/>
      <c r="AK1821" s="4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</row>
    <row r="1822" customFormat="false" ht="15" hidden="false" customHeight="false" outlineLevel="0" collapsed="false">
      <c r="A1822" s="46" t="str">
        <f aca="false">Orders!A1822</f>
        <v>ORD-01821</v>
      </c>
      <c r="B1822" s="46" t="str">
        <f aca="false">PROPER(TRIM(Orders!K1822))</f>
        <v>Pune</v>
      </c>
      <c r="C1822" s="46" t="str">
        <f aca="false">IFERROR(VLOOKUP(Orders!D1822,Products!$A$2:$F$61,3,FALSE()),"Not Found")</f>
        <v>Beauty</v>
      </c>
      <c r="D1822" s="46" t="str">
        <f aca="false">IFERROR(VLOOKUP(Orders!C1822,Customers!$A$2:$F$301,5,FALSE()),"Not Found")</f>
        <v>SMB</v>
      </c>
      <c r="E1822" s="46" t="n">
        <f aca="false">IFERROR(VLOOKUP(Orders!C1822,Customers!$A$2:$F$301,3,FALSE()),"Not Found")</f>
        <v>29</v>
      </c>
      <c r="F1822" s="46" t="str">
        <f aca="false">IFERROR(VLOOKUP(Orders!E1822,Sales_Reps!$A$2:$E$31,3,FALSE()),"Not Found")</f>
        <v>West</v>
      </c>
      <c r="G1822" s="46" t="n">
        <f aca="false">IFERROR(VLOOKUP(Orders!D1822,Products!$A$2:$F$61,4,FALSE()),"")</f>
        <v>1219</v>
      </c>
      <c r="H1822" s="47" t="n">
        <f aca="false">IF(G1822="","",(Orders!G1822-G1822)/Orders!G1822)</f>
        <v>0.467685589519651</v>
      </c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6"/>
      <c r="AB1822" s="46"/>
      <c r="AC1822" s="46"/>
      <c r="AD1822" s="46"/>
      <c r="AE1822" s="46"/>
      <c r="AF1822" s="46"/>
      <c r="AG1822" s="46"/>
      <c r="AH1822" s="46"/>
      <c r="AI1822" s="46"/>
      <c r="AJ1822" s="46"/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</row>
    <row r="1823" customFormat="false" ht="15" hidden="false" customHeight="false" outlineLevel="0" collapsed="false">
      <c r="A1823" s="46" t="str">
        <f aca="false">Orders!A1823</f>
        <v>ORD-01822</v>
      </c>
      <c r="B1823" s="46" t="str">
        <f aca="false">PROPER(TRIM(Orders!K1823))</f>
        <v>Chennai</v>
      </c>
      <c r="C1823" s="46" t="str">
        <f aca="false">IFERROR(VLOOKUP(Orders!D1823,Products!$A$2:$F$61,3,FALSE()),"Not Found")</f>
        <v>Apparel</v>
      </c>
      <c r="D1823" s="46" t="str">
        <f aca="false">IFERROR(VLOOKUP(Orders!C1823,Customers!$A$2:$F$301,5,FALSE()),"Not Found")</f>
        <v>Retail</v>
      </c>
      <c r="E1823" s="46" t="n">
        <f aca="false">IFERROR(VLOOKUP(Orders!C1823,Customers!$A$2:$F$301,3,FALSE()),"Not Found")</f>
        <v>26</v>
      </c>
      <c r="F1823" s="46" t="str">
        <f aca="false">IFERROR(VLOOKUP(Orders!E1823,Sales_Reps!$A$2:$E$31,3,FALSE()),"Not Found")</f>
        <v>West</v>
      </c>
      <c r="G1823" s="46" t="n">
        <f aca="false">IFERROR(VLOOKUP(Orders!D1823,Products!$A$2:$F$61,4,FALSE()),"")</f>
        <v>391</v>
      </c>
      <c r="H1823" s="47" t="n">
        <f aca="false">IF(G1823="","",(Orders!G1823-G1823)/Orders!G1823)</f>
        <v>0.523170731707317</v>
      </c>
      <c r="I1823" s="46"/>
      <c r="J1823" s="46"/>
      <c r="K1823" s="46"/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  <c r="AB1823" s="46"/>
      <c r="AC1823" s="46"/>
      <c r="AD1823" s="46"/>
      <c r="AE1823" s="46"/>
      <c r="AF1823" s="46"/>
      <c r="AG1823" s="46"/>
      <c r="AH1823" s="46"/>
      <c r="AI1823" s="46"/>
      <c r="AJ1823" s="46"/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</row>
    <row r="1824" customFormat="false" ht="15" hidden="false" customHeight="false" outlineLevel="0" collapsed="false">
      <c r="A1824" s="46" t="str">
        <f aca="false">Orders!A1824</f>
        <v>ORD-01823</v>
      </c>
      <c r="B1824" s="46" t="str">
        <f aca="false">PROPER(TRIM(Orders!K1824))</f>
        <v>Hyderabad</v>
      </c>
      <c r="C1824" s="46" t="str">
        <f aca="false">IFERROR(VLOOKUP(Orders!D1824,Products!$A$2:$F$61,3,FALSE()),"Not Found")</f>
        <v>Home</v>
      </c>
      <c r="D1824" s="46" t="str">
        <f aca="false">IFERROR(VLOOKUP(Orders!C1824,Customers!$A$2:$F$301,5,FALSE()),"Not Found")</f>
        <v>SMB</v>
      </c>
      <c r="E1824" s="46" t="n">
        <f aca="false">IFERROR(VLOOKUP(Orders!C1824,Customers!$A$2:$F$301,3,FALSE()),"Not Found")</f>
        <v>65</v>
      </c>
      <c r="F1824" s="46" t="str">
        <f aca="false">IFERROR(VLOOKUP(Orders!E1824,Sales_Reps!$A$2:$E$31,3,FALSE()),"Not Found")</f>
        <v>West</v>
      </c>
      <c r="G1824" s="46" t="n">
        <f aca="false">IFERROR(VLOOKUP(Orders!D1824,Products!$A$2:$F$61,4,FALSE()),"")</f>
        <v>519</v>
      </c>
      <c r="H1824" s="47" t="n">
        <f aca="false">IF(G1824="","",(Orders!G1824-G1824)/Orders!G1824)</f>
        <v>0.519444444444445</v>
      </c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  <c r="AA1824" s="46"/>
      <c r="AB1824" s="46"/>
      <c r="AC1824" s="46"/>
      <c r="AD1824" s="46"/>
      <c r="AE1824" s="46"/>
      <c r="AF1824" s="46"/>
      <c r="AG1824" s="46"/>
      <c r="AH1824" s="46"/>
      <c r="AI1824" s="46"/>
      <c r="AJ1824" s="46"/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</row>
    <row r="1825" customFormat="false" ht="15" hidden="false" customHeight="false" outlineLevel="0" collapsed="false">
      <c r="A1825" s="46" t="str">
        <f aca="false">Orders!A1825</f>
        <v>ORD-01824</v>
      </c>
      <c r="B1825" s="46" t="str">
        <f aca="false">PROPER(TRIM(Orders!K1825))</f>
        <v>Pune</v>
      </c>
      <c r="C1825" s="46" t="str">
        <f aca="false">IFERROR(VLOOKUP(Orders!D1825,Products!$A$2:$F$61,3,FALSE()),"Not Found")</f>
        <v>Sports</v>
      </c>
      <c r="D1825" s="46" t="str">
        <f aca="false">IFERROR(VLOOKUP(Orders!C1825,Customers!$A$2:$F$301,5,FALSE()),"Not Found")</f>
        <v>SMB</v>
      </c>
      <c r="E1825" s="46" t="n">
        <f aca="false">IFERROR(VLOOKUP(Orders!C1825,Customers!$A$2:$F$301,3,FALSE()),"Not Found")</f>
        <v>49</v>
      </c>
      <c r="F1825" s="46" t="str">
        <f aca="false">IFERROR(VLOOKUP(Orders!E1825,Sales_Reps!$A$2:$E$31,3,FALSE()),"Not Found")</f>
        <v>West</v>
      </c>
      <c r="G1825" s="46" t="n">
        <f aca="false">IFERROR(VLOOKUP(Orders!D1825,Products!$A$2:$F$61,4,FALSE()),"")</f>
        <v>147</v>
      </c>
      <c r="H1825" s="47" t="n">
        <f aca="false">IF(G1825="","",(Orders!G1825-G1825)/Orders!G1825)</f>
        <v>0.226315789473684</v>
      </c>
      <c r="I1825" s="46"/>
      <c r="J1825" s="46"/>
      <c r="K1825" s="46"/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  <c r="Y1825" s="46"/>
      <c r="Z1825" s="46"/>
      <c r="AA1825" s="46"/>
      <c r="AB1825" s="46"/>
      <c r="AC1825" s="46"/>
      <c r="AD1825" s="46"/>
      <c r="AE1825" s="46"/>
      <c r="AF1825" s="46"/>
      <c r="AG1825" s="46"/>
      <c r="AH1825" s="46"/>
      <c r="AI1825" s="46"/>
      <c r="AJ1825" s="46"/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</row>
    <row r="1826" customFormat="false" ht="15" hidden="false" customHeight="false" outlineLevel="0" collapsed="false">
      <c r="A1826" s="46" t="str">
        <f aca="false">Orders!A1826</f>
        <v>ORD-01825</v>
      </c>
      <c r="B1826" s="46" t="str">
        <f aca="false">PROPER(TRIM(Orders!K1826))</f>
        <v>Chennai</v>
      </c>
      <c r="C1826" s="46" t="str">
        <f aca="false">IFERROR(VLOOKUP(Orders!D1826,Products!$A$2:$F$61,3,FALSE()),"Not Found")</f>
        <v>Apparel</v>
      </c>
      <c r="D1826" s="46" t="str">
        <f aca="false">IFERROR(VLOOKUP(Orders!C1826,Customers!$A$2:$F$301,5,FALSE()),"Not Found")</f>
        <v>SMB</v>
      </c>
      <c r="E1826" s="46" t="n">
        <f aca="false">IFERROR(VLOOKUP(Orders!C1826,Customers!$A$2:$F$301,3,FALSE()),"Not Found")</f>
        <v>55</v>
      </c>
      <c r="F1826" s="46" t="str">
        <f aca="false">IFERROR(VLOOKUP(Orders!E1826,Sales_Reps!$A$2:$E$31,3,FALSE()),"Not Found")</f>
        <v>West</v>
      </c>
      <c r="G1826" s="46" t="n">
        <f aca="false">IFERROR(VLOOKUP(Orders!D1826,Products!$A$2:$F$61,4,FALSE()),"")</f>
        <v>1075</v>
      </c>
      <c r="H1826" s="47" t="n">
        <f aca="false">IF(G1826="","",(Orders!G1826-G1826)/Orders!G1826)</f>
        <v>0.571713147410359</v>
      </c>
      <c r="I1826" s="46"/>
      <c r="J1826" s="46"/>
      <c r="K1826" s="46"/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  <c r="Y1826" s="46"/>
      <c r="Z1826" s="46"/>
      <c r="AA1826" s="46"/>
      <c r="AB1826" s="46"/>
      <c r="AC1826" s="46"/>
      <c r="AD1826" s="46"/>
      <c r="AE1826" s="46"/>
      <c r="AF1826" s="46"/>
      <c r="AG1826" s="46"/>
      <c r="AH1826" s="46"/>
      <c r="AI1826" s="46"/>
      <c r="AJ1826" s="46"/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</row>
    <row r="1827" customFormat="false" ht="15" hidden="false" customHeight="false" outlineLevel="0" collapsed="false">
      <c r="A1827" s="46" t="str">
        <f aca="false">Orders!A1827</f>
        <v>ORD-01826</v>
      </c>
      <c r="B1827" s="46" t="str">
        <f aca="false">PROPER(TRIM(Orders!K1827))</f>
        <v>Chennai</v>
      </c>
      <c r="C1827" s="46" t="str">
        <f aca="false">IFERROR(VLOOKUP(Orders!D1827,Products!$A$2:$F$61,3,FALSE()),"Not Found")</f>
        <v>Apparel</v>
      </c>
      <c r="D1827" s="46" t="str">
        <f aca="false">IFERROR(VLOOKUP(Orders!C1827,Customers!$A$2:$F$301,5,FALSE()),"Not Found")</f>
        <v>Retail</v>
      </c>
      <c r="E1827" s="46" t="n">
        <f aca="false">IFERROR(VLOOKUP(Orders!C1827,Customers!$A$2:$F$301,3,FALSE()),"Not Found")</f>
        <v>36</v>
      </c>
      <c r="F1827" s="46" t="str">
        <f aca="false">IFERROR(VLOOKUP(Orders!E1827,Sales_Reps!$A$2:$E$31,3,FALSE()),"Not Found")</f>
        <v>South</v>
      </c>
      <c r="G1827" s="46" t="n">
        <f aca="false">IFERROR(VLOOKUP(Orders!D1827,Products!$A$2:$F$61,4,FALSE()),"")</f>
        <v>2629</v>
      </c>
      <c r="H1827" s="47" t="n">
        <f aca="false">IF(G1827="","",(Orders!G1827-G1827)/Orders!G1827)</f>
        <v>0.261516853932584</v>
      </c>
      <c r="I1827" s="46"/>
      <c r="J1827" s="46"/>
      <c r="K1827" s="46"/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  <c r="Y1827" s="46"/>
      <c r="Z1827" s="46"/>
      <c r="AA1827" s="46"/>
      <c r="AB1827" s="46"/>
      <c r="AC1827" s="46"/>
      <c r="AD1827" s="46"/>
      <c r="AE1827" s="46"/>
      <c r="AF1827" s="46"/>
      <c r="AG1827" s="46"/>
      <c r="AH1827" s="46"/>
      <c r="AI1827" s="46"/>
      <c r="AJ1827" s="46"/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</row>
    <row r="1828" customFormat="false" ht="15" hidden="false" customHeight="false" outlineLevel="0" collapsed="false">
      <c r="A1828" s="46" t="str">
        <f aca="false">Orders!A1828</f>
        <v>ORD-01827</v>
      </c>
      <c r="B1828" s="46" t="str">
        <f aca="false">PROPER(TRIM(Orders!K1828))</f>
        <v>Bengaluru</v>
      </c>
      <c r="C1828" s="46" t="str">
        <f aca="false">IFERROR(VLOOKUP(Orders!D1828,Products!$A$2:$F$61,3,FALSE()),"Not Found")</f>
        <v>Apparel</v>
      </c>
      <c r="D1828" s="46" t="str">
        <f aca="false">IFERROR(VLOOKUP(Orders!C1828,Customers!$A$2:$F$301,5,FALSE()),"Not Found")</f>
        <v>Corporate</v>
      </c>
      <c r="E1828" s="46" t="n">
        <f aca="false">IFERROR(VLOOKUP(Orders!C1828,Customers!$A$2:$F$301,3,FALSE()),"Not Found")</f>
        <v>41</v>
      </c>
      <c r="F1828" s="46" t="str">
        <f aca="false">IFERROR(VLOOKUP(Orders!E1828,Sales_Reps!$A$2:$E$31,3,FALSE()),"Not Found")</f>
        <v>South</v>
      </c>
      <c r="G1828" s="46" t="n">
        <f aca="false">IFERROR(VLOOKUP(Orders!D1828,Products!$A$2:$F$61,4,FALSE()),"")</f>
        <v>391</v>
      </c>
      <c r="H1828" s="47" t="n">
        <f aca="false">IF(G1828="","",(Orders!G1828-G1828)/Orders!G1828)</f>
        <v>0.523170731707317</v>
      </c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6"/>
      <c r="AA1828" s="46"/>
      <c r="AB1828" s="46"/>
      <c r="AC1828" s="46"/>
      <c r="AD1828" s="46"/>
      <c r="AE1828" s="46"/>
      <c r="AF1828" s="46"/>
      <c r="AG1828" s="46"/>
      <c r="AH1828" s="46"/>
      <c r="AI1828" s="46"/>
      <c r="AJ1828" s="46"/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</row>
    <row r="1829" customFormat="false" ht="15" hidden="false" customHeight="false" outlineLevel="0" collapsed="false">
      <c r="A1829" s="46" t="str">
        <f aca="false">Orders!A1829</f>
        <v>ORD-01828</v>
      </c>
      <c r="B1829" s="46" t="str">
        <f aca="false">PROPER(TRIM(Orders!K1829))</f>
        <v>Mumbai</v>
      </c>
      <c r="C1829" s="46" t="str">
        <f aca="false">IFERROR(VLOOKUP(Orders!D1829,Products!$A$2:$F$61,3,FALSE()),"Not Found")</f>
        <v>Apparel</v>
      </c>
      <c r="D1829" s="46" t="str">
        <f aca="false">IFERROR(VLOOKUP(Orders!C1829,Customers!$A$2:$F$301,5,FALSE()),"Not Found")</f>
        <v>Corporate</v>
      </c>
      <c r="E1829" s="46" t="n">
        <f aca="false">IFERROR(VLOOKUP(Orders!C1829,Customers!$A$2:$F$301,3,FALSE()),"Not Found")</f>
        <v>42</v>
      </c>
      <c r="F1829" s="46" t="str">
        <f aca="false">IFERROR(VLOOKUP(Orders!E1829,Sales_Reps!$A$2:$E$31,3,FALSE()),"Not Found")</f>
        <v>North</v>
      </c>
      <c r="G1829" s="46" t="n">
        <f aca="false">IFERROR(VLOOKUP(Orders!D1829,Products!$A$2:$F$61,4,FALSE()),"")</f>
        <v>2611</v>
      </c>
      <c r="H1829" s="47" t="n">
        <f aca="false">IF(G1829="","",(Orders!G1829-G1829)/Orders!G1829)</f>
        <v>0.282692307692308</v>
      </c>
      <c r="I1829" s="46"/>
      <c r="J1829" s="46"/>
      <c r="K1829" s="46"/>
      <c r="L1829" s="46"/>
      <c r="M1829" s="46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/>
      <c r="AA1829" s="46"/>
      <c r="AB1829" s="46"/>
      <c r="AC1829" s="46"/>
      <c r="AD1829" s="46"/>
      <c r="AE1829" s="46"/>
      <c r="AF1829" s="46"/>
      <c r="AG1829" s="46"/>
      <c r="AH1829" s="46"/>
      <c r="AI1829" s="46"/>
      <c r="AJ1829" s="46"/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</row>
    <row r="1830" customFormat="false" ht="15" hidden="false" customHeight="false" outlineLevel="0" collapsed="false">
      <c r="A1830" s="46" t="str">
        <f aca="false">Orders!A1830</f>
        <v>ORD-01829</v>
      </c>
      <c r="B1830" s="46" t="str">
        <f aca="false">PROPER(TRIM(Orders!K1830))</f>
        <v>Mumbai</v>
      </c>
      <c r="C1830" s="46" t="str">
        <f aca="false">IFERROR(VLOOKUP(Orders!D1830,Products!$A$2:$F$61,3,FALSE()),"Not Found")</f>
        <v>Grocery</v>
      </c>
      <c r="D1830" s="46" t="str">
        <f aca="false">IFERROR(VLOOKUP(Orders!C1830,Customers!$A$2:$F$301,5,FALSE()),"Not Found")</f>
        <v>Retail</v>
      </c>
      <c r="E1830" s="46" t="n">
        <f aca="false">IFERROR(VLOOKUP(Orders!C1830,Customers!$A$2:$F$301,3,FALSE()),"Not Found")</f>
        <v>54</v>
      </c>
      <c r="F1830" s="46" t="str">
        <f aca="false">IFERROR(VLOOKUP(Orders!E1830,Sales_Reps!$A$2:$E$31,3,FALSE()),"Not Found")</f>
        <v>East</v>
      </c>
      <c r="G1830" s="46" t="n">
        <f aca="false">IFERROR(VLOOKUP(Orders!D1830,Products!$A$2:$F$61,4,FALSE()),"")</f>
        <v>2214</v>
      </c>
      <c r="H1830" s="47" t="n">
        <f aca="false">IF(G1830="","",(Orders!G1830-G1830)/Orders!G1830)</f>
        <v>0.395081967213115</v>
      </c>
      <c r="I1830" s="46"/>
      <c r="J1830" s="46"/>
      <c r="K1830" s="46"/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6"/>
      <c r="AA1830" s="46"/>
      <c r="AB1830" s="46"/>
      <c r="AC1830" s="46"/>
      <c r="AD1830" s="46"/>
      <c r="AE1830" s="46"/>
      <c r="AF1830" s="46"/>
      <c r="AG1830" s="46"/>
      <c r="AH1830" s="46"/>
      <c r="AI1830" s="46"/>
      <c r="AJ1830" s="46"/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</row>
    <row r="1831" customFormat="false" ht="15" hidden="false" customHeight="false" outlineLevel="0" collapsed="false">
      <c r="A1831" s="46" t="str">
        <f aca="false">Orders!A1831</f>
        <v>ORD-01830</v>
      </c>
      <c r="B1831" s="46" t="str">
        <f aca="false">PROPER(TRIM(Orders!K1831))</f>
        <v>Pune</v>
      </c>
      <c r="C1831" s="46" t="str">
        <f aca="false">IFERROR(VLOOKUP(Orders!D1831,Products!$A$2:$F$61,3,FALSE()),"Not Found")</f>
        <v>Sports</v>
      </c>
      <c r="D1831" s="46" t="str">
        <f aca="false">IFERROR(VLOOKUP(Orders!C1831,Customers!$A$2:$F$301,5,FALSE()),"Not Found")</f>
        <v>SMB</v>
      </c>
      <c r="E1831" s="46" t="n">
        <f aca="false">IFERROR(VLOOKUP(Orders!C1831,Customers!$A$2:$F$301,3,FALSE()),"Not Found")</f>
        <v>29</v>
      </c>
      <c r="F1831" s="46" t="str">
        <f aca="false">IFERROR(VLOOKUP(Orders!E1831,Sales_Reps!$A$2:$E$31,3,FALSE()),"Not Found")</f>
        <v>West</v>
      </c>
      <c r="G1831" s="46" t="n">
        <f aca="false">IFERROR(VLOOKUP(Orders!D1831,Products!$A$2:$F$61,4,FALSE()),"")</f>
        <v>2028</v>
      </c>
      <c r="H1831" s="47" t="n">
        <f aca="false">IF(G1831="","",(Orders!G1831-G1831)/Orders!G1831)</f>
        <v>0.290909090909091</v>
      </c>
      <c r="I1831" s="46"/>
      <c r="J1831" s="46"/>
      <c r="K1831" s="46"/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  <c r="Y1831" s="46"/>
      <c r="Z1831" s="46"/>
      <c r="AA1831" s="46"/>
      <c r="AB1831" s="46"/>
      <c r="AC1831" s="46"/>
      <c r="AD1831" s="46"/>
      <c r="AE1831" s="46"/>
      <c r="AF1831" s="46"/>
      <c r="AG1831" s="46"/>
      <c r="AH1831" s="46"/>
      <c r="AI1831" s="46"/>
      <c r="AJ1831" s="46"/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</row>
    <row r="1832" customFormat="false" ht="15" hidden="false" customHeight="false" outlineLevel="0" collapsed="false">
      <c r="A1832" s="46" t="str">
        <f aca="false">Orders!A1832</f>
        <v>ORD-01831</v>
      </c>
      <c r="B1832" s="46" t="str">
        <f aca="false">PROPER(TRIM(Orders!K1832))</f>
        <v>Delhi</v>
      </c>
      <c r="C1832" s="46" t="str">
        <f aca="false">IFERROR(VLOOKUP(Orders!D1832,Products!$A$2:$F$61,3,FALSE()),"Not Found")</f>
        <v>Apparel</v>
      </c>
      <c r="D1832" s="46" t="str">
        <f aca="false">IFERROR(VLOOKUP(Orders!C1832,Customers!$A$2:$F$301,5,FALSE()),"Not Found")</f>
        <v>Retail</v>
      </c>
      <c r="E1832" s="46" t="n">
        <f aca="false">IFERROR(VLOOKUP(Orders!C1832,Customers!$A$2:$F$301,3,FALSE()),"Not Found")</f>
        <v>43</v>
      </c>
      <c r="F1832" s="46" t="str">
        <f aca="false">IFERROR(VLOOKUP(Orders!E1832,Sales_Reps!$A$2:$E$31,3,FALSE()),"Not Found")</f>
        <v>East</v>
      </c>
      <c r="G1832" s="46" t="n">
        <f aca="false">IFERROR(VLOOKUP(Orders!D1832,Products!$A$2:$F$61,4,FALSE()),"")</f>
        <v>1962</v>
      </c>
      <c r="H1832" s="47" t="n">
        <f aca="false">IF(G1832="","",(Orders!G1832-G1832)/Orders!G1832)</f>
        <v>0.278676470588235</v>
      </c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6"/>
      <c r="AA1832" s="46"/>
      <c r="AB1832" s="46"/>
      <c r="AC1832" s="46"/>
      <c r="AD1832" s="46"/>
      <c r="AE1832" s="46"/>
      <c r="AF1832" s="46"/>
      <c r="AG1832" s="46"/>
      <c r="AH1832" s="46"/>
      <c r="AI1832" s="46"/>
      <c r="AJ1832" s="46"/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</row>
    <row r="1833" customFormat="false" ht="15" hidden="false" customHeight="false" outlineLevel="0" collapsed="false">
      <c r="A1833" s="46" t="str">
        <f aca="false">Orders!A1833</f>
        <v>ORD-01832</v>
      </c>
      <c r="B1833" s="46" t="str">
        <f aca="false">PROPER(TRIM(Orders!K1833))</f>
        <v>Bengaluru</v>
      </c>
      <c r="C1833" s="46" t="str">
        <f aca="false">IFERROR(VLOOKUP(Orders!D1833,Products!$A$2:$F$61,3,FALSE()),"Not Found")</f>
        <v>Sports</v>
      </c>
      <c r="D1833" s="46" t="str">
        <f aca="false">IFERROR(VLOOKUP(Orders!C1833,Customers!$A$2:$F$301,5,FALSE()),"Not Found")</f>
        <v>Retail</v>
      </c>
      <c r="E1833" s="46" t="n">
        <f aca="false">IFERROR(VLOOKUP(Orders!C1833,Customers!$A$2:$F$301,3,FALSE()),"Not Found")</f>
        <v>46</v>
      </c>
      <c r="F1833" s="46" t="str">
        <f aca="false">IFERROR(VLOOKUP(Orders!E1833,Sales_Reps!$A$2:$E$31,3,FALSE()),"Not Found")</f>
        <v>North</v>
      </c>
      <c r="G1833" s="46" t="n">
        <f aca="false">IFERROR(VLOOKUP(Orders!D1833,Products!$A$2:$F$61,4,FALSE()),"")</f>
        <v>2028</v>
      </c>
      <c r="H1833" s="47" t="n">
        <f aca="false">IF(G1833="","",(Orders!G1833-G1833)/Orders!G1833)</f>
        <v>0.290909090909091</v>
      </c>
      <c r="I1833" s="46"/>
      <c r="J1833" s="46"/>
      <c r="K1833" s="46"/>
      <c r="L1833" s="46"/>
      <c r="M1833" s="46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  <c r="AA1833" s="46"/>
      <c r="AB1833" s="46"/>
      <c r="AC1833" s="46"/>
      <c r="AD1833" s="46"/>
      <c r="AE1833" s="46"/>
      <c r="AF1833" s="46"/>
      <c r="AG1833" s="46"/>
      <c r="AH1833" s="46"/>
      <c r="AI1833" s="46"/>
      <c r="AJ1833" s="46"/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</row>
    <row r="1834" customFormat="false" ht="15" hidden="false" customHeight="false" outlineLevel="0" collapsed="false">
      <c r="A1834" s="46" t="str">
        <f aca="false">Orders!A1834</f>
        <v>ORD-01833</v>
      </c>
      <c r="B1834" s="46" t="str">
        <f aca="false">PROPER(TRIM(Orders!K1834))</f>
        <v>Mumbai</v>
      </c>
      <c r="C1834" s="46" t="str">
        <f aca="false">IFERROR(VLOOKUP(Orders!D1834,Products!$A$2:$F$61,3,FALSE()),"Not Found")</f>
        <v>Apparel</v>
      </c>
      <c r="D1834" s="46" t="str">
        <f aca="false">IFERROR(VLOOKUP(Orders!C1834,Customers!$A$2:$F$301,5,FALSE()),"Not Found")</f>
        <v>Retail</v>
      </c>
      <c r="E1834" s="46" t="n">
        <f aca="false">IFERROR(VLOOKUP(Orders!C1834,Customers!$A$2:$F$301,3,FALSE()),"Not Found")</f>
        <v>37</v>
      </c>
      <c r="F1834" s="46" t="str">
        <f aca="false">IFERROR(VLOOKUP(Orders!E1834,Sales_Reps!$A$2:$E$31,3,FALSE()),"Not Found")</f>
        <v>East</v>
      </c>
      <c r="G1834" s="46" t="n">
        <f aca="false">IFERROR(VLOOKUP(Orders!D1834,Products!$A$2:$F$61,4,FALSE()),"")</f>
        <v>1075</v>
      </c>
      <c r="H1834" s="47" t="n">
        <f aca="false">IF(G1834="","",(Orders!G1834-G1834)/Orders!G1834)</f>
        <v>0.571713147410359</v>
      </c>
      <c r="I1834" s="46"/>
      <c r="J1834" s="46"/>
      <c r="K1834" s="46"/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  <c r="Y1834" s="46"/>
      <c r="Z1834" s="46"/>
      <c r="AA1834" s="46"/>
      <c r="AB1834" s="46"/>
      <c r="AC1834" s="46"/>
      <c r="AD1834" s="46"/>
      <c r="AE1834" s="46"/>
      <c r="AF1834" s="46"/>
      <c r="AG1834" s="46"/>
      <c r="AH1834" s="46"/>
      <c r="AI1834" s="46"/>
      <c r="AJ1834" s="46"/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</row>
    <row r="1835" customFormat="false" ht="15" hidden="false" customHeight="false" outlineLevel="0" collapsed="false">
      <c r="A1835" s="46" t="str">
        <f aca="false">Orders!A1835</f>
        <v>ORD-01834</v>
      </c>
      <c r="B1835" s="46" t="str">
        <f aca="false">PROPER(TRIM(Orders!K1835))</f>
        <v>Chennai</v>
      </c>
      <c r="C1835" s="46" t="str">
        <f aca="false">IFERROR(VLOOKUP(Orders!D1835,Products!$A$2:$F$61,3,FALSE()),"Not Found")</f>
        <v>Apparel</v>
      </c>
      <c r="D1835" s="46" t="str">
        <f aca="false">IFERROR(VLOOKUP(Orders!C1835,Customers!$A$2:$F$301,5,FALSE()),"Not Found")</f>
        <v>SMB</v>
      </c>
      <c r="E1835" s="46" t="n">
        <f aca="false">IFERROR(VLOOKUP(Orders!C1835,Customers!$A$2:$F$301,3,FALSE()),"Not Found")</f>
        <v>59</v>
      </c>
      <c r="F1835" s="46" t="str">
        <f aca="false">IFERROR(VLOOKUP(Orders!E1835,Sales_Reps!$A$2:$E$31,3,FALSE()),"Not Found")</f>
        <v>East</v>
      </c>
      <c r="G1835" s="46" t="n">
        <f aca="false">IFERROR(VLOOKUP(Orders!D1835,Products!$A$2:$F$61,4,FALSE()),"")</f>
        <v>1075</v>
      </c>
      <c r="H1835" s="47" t="n">
        <f aca="false">IF(G1835="","",(Orders!G1835-G1835)/Orders!G1835)</f>
        <v>0.571713147410359</v>
      </c>
      <c r="I1835" s="46"/>
      <c r="J1835" s="46"/>
      <c r="K1835" s="46"/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</row>
    <row r="1836" customFormat="false" ht="15" hidden="false" customHeight="false" outlineLevel="0" collapsed="false">
      <c r="A1836" s="46" t="str">
        <f aca="false">Orders!A1836</f>
        <v>ORD-01835</v>
      </c>
      <c r="B1836" s="46" t="str">
        <f aca="false">PROPER(TRIM(Orders!K1836))</f>
        <v>Chennai</v>
      </c>
      <c r="C1836" s="46" t="str">
        <f aca="false">IFERROR(VLOOKUP(Orders!D1836,Products!$A$2:$F$61,3,FALSE()),"Not Found")</f>
        <v>Beauty</v>
      </c>
      <c r="D1836" s="46" t="str">
        <f aca="false">IFERROR(VLOOKUP(Orders!C1836,Customers!$A$2:$F$301,5,FALSE()),"Not Found")</f>
        <v>Retail</v>
      </c>
      <c r="E1836" s="46" t="n">
        <f aca="false">IFERROR(VLOOKUP(Orders!C1836,Customers!$A$2:$F$301,3,FALSE()),"Not Found")</f>
        <v>49</v>
      </c>
      <c r="F1836" s="46" t="str">
        <f aca="false">IFERROR(VLOOKUP(Orders!E1836,Sales_Reps!$A$2:$E$31,3,FALSE()),"Not Found")</f>
        <v>North</v>
      </c>
      <c r="G1836" s="46" t="n">
        <f aca="false">IFERROR(VLOOKUP(Orders!D1836,Products!$A$2:$F$61,4,FALSE()),"")</f>
        <v>675</v>
      </c>
      <c r="H1836" s="47" t="n">
        <f aca="false">IF(G1836="","",(Orders!G1836-G1836)/Orders!G1836)</f>
        <v>0.296875</v>
      </c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  <c r="Y1836" s="46"/>
      <c r="Z1836" s="46"/>
      <c r="AA1836" s="46"/>
      <c r="AB1836" s="46"/>
      <c r="AC1836" s="46"/>
      <c r="AD1836" s="46"/>
      <c r="AE1836" s="46"/>
      <c r="AF1836" s="46"/>
      <c r="AG1836" s="46"/>
      <c r="AH1836" s="46"/>
      <c r="AI1836" s="46"/>
      <c r="AJ1836" s="46"/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</row>
    <row r="1837" customFormat="false" ht="15" hidden="false" customHeight="false" outlineLevel="0" collapsed="false">
      <c r="A1837" s="46" t="str">
        <f aca="false">Orders!A1837</f>
        <v>ORD-01836</v>
      </c>
      <c r="B1837" s="46" t="str">
        <f aca="false">PROPER(TRIM(Orders!K1837))</f>
        <v>Hyderabad</v>
      </c>
      <c r="C1837" s="46" t="str">
        <f aca="false">IFERROR(VLOOKUP(Orders!D1837,Products!$A$2:$F$61,3,FALSE()),"Not Found")</f>
        <v>Home</v>
      </c>
      <c r="D1837" s="46" t="str">
        <f aca="false">IFERROR(VLOOKUP(Orders!C1837,Customers!$A$2:$F$301,5,FALSE()),"Not Found")</f>
        <v>SMB</v>
      </c>
      <c r="E1837" s="46" t="n">
        <f aca="false">IFERROR(VLOOKUP(Orders!C1837,Customers!$A$2:$F$301,3,FALSE()),"Not Found")</f>
        <v>39</v>
      </c>
      <c r="F1837" s="46" t="str">
        <f aca="false">IFERROR(VLOOKUP(Orders!E1837,Sales_Reps!$A$2:$E$31,3,FALSE()),"Not Found")</f>
        <v>South</v>
      </c>
      <c r="G1837" s="46" t="n">
        <f aca="false">IFERROR(VLOOKUP(Orders!D1837,Products!$A$2:$F$61,4,FALSE()),"")</f>
        <v>2549</v>
      </c>
      <c r="H1837" s="47" t="n">
        <f aca="false">IF(G1837="","",(Orders!G1837-G1837)/Orders!G1837)</f>
        <v>0.535701275045537</v>
      </c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/>
      <c r="AB1837" s="46"/>
      <c r="AC1837" s="46"/>
      <c r="AD1837" s="46"/>
      <c r="AE1837" s="46"/>
      <c r="AF1837" s="46"/>
      <c r="AG1837" s="46"/>
      <c r="AH1837" s="46"/>
      <c r="AI1837" s="46"/>
      <c r="AJ1837" s="46"/>
      <c r="AK1837" s="4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</row>
    <row r="1838" customFormat="false" ht="15" hidden="false" customHeight="false" outlineLevel="0" collapsed="false">
      <c r="A1838" s="46" t="str">
        <f aca="false">Orders!A1838</f>
        <v>ORD-01837</v>
      </c>
      <c r="B1838" s="46" t="str">
        <f aca="false">PROPER(TRIM(Orders!K1838))</f>
        <v>Pune</v>
      </c>
      <c r="C1838" s="46" t="str">
        <f aca="false">IFERROR(VLOOKUP(Orders!D1838,Products!$A$2:$F$61,3,FALSE()),"Not Found")</f>
        <v>Apparel</v>
      </c>
      <c r="D1838" s="46" t="str">
        <f aca="false">IFERROR(VLOOKUP(Orders!C1838,Customers!$A$2:$F$301,5,FALSE()),"Not Found")</f>
        <v>Retail</v>
      </c>
      <c r="E1838" s="46" t="n">
        <f aca="false">IFERROR(VLOOKUP(Orders!C1838,Customers!$A$2:$F$301,3,FALSE()),"Not Found")</f>
        <v>54</v>
      </c>
      <c r="F1838" s="46" t="str">
        <f aca="false">IFERROR(VLOOKUP(Orders!E1838,Sales_Reps!$A$2:$E$31,3,FALSE()),"Not Found")</f>
        <v>North</v>
      </c>
      <c r="G1838" s="46" t="n">
        <f aca="false">IFERROR(VLOOKUP(Orders!D1838,Products!$A$2:$F$61,4,FALSE()),"")</f>
        <v>1075</v>
      </c>
      <c r="H1838" s="47" t="n">
        <f aca="false">IF(G1838="","",(Orders!G1838-G1838)/Orders!G1838)</f>
        <v>0.571713147410359</v>
      </c>
      <c r="I1838" s="46"/>
      <c r="J1838" s="46"/>
      <c r="K1838" s="46"/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  <c r="AB1838" s="46"/>
      <c r="AC1838" s="46"/>
      <c r="AD1838" s="46"/>
      <c r="AE1838" s="46"/>
      <c r="AF1838" s="46"/>
      <c r="AG1838" s="46"/>
      <c r="AH1838" s="46"/>
      <c r="AI1838" s="46"/>
      <c r="AJ1838" s="46"/>
      <c r="AK1838" s="4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</row>
    <row r="1839" customFormat="false" ht="15" hidden="false" customHeight="false" outlineLevel="0" collapsed="false">
      <c r="A1839" s="46" t="str">
        <f aca="false">Orders!A1839</f>
        <v>ORD-01838</v>
      </c>
      <c r="B1839" s="46" t="str">
        <f aca="false">PROPER(TRIM(Orders!K1839))</f>
        <v>Delhi</v>
      </c>
      <c r="C1839" s="46" t="str">
        <f aca="false">IFERROR(VLOOKUP(Orders!D1839,Products!$A$2:$F$61,3,FALSE()),"Not Found")</f>
        <v>Apparel</v>
      </c>
      <c r="D1839" s="46" t="str">
        <f aca="false">IFERROR(VLOOKUP(Orders!C1839,Customers!$A$2:$F$301,5,FALSE()),"Not Found")</f>
        <v>Retail</v>
      </c>
      <c r="E1839" s="46" t="n">
        <f aca="false">IFERROR(VLOOKUP(Orders!C1839,Customers!$A$2:$F$301,3,FALSE()),"Not Found")</f>
        <v>63</v>
      </c>
      <c r="F1839" s="46" t="str">
        <f aca="false">IFERROR(VLOOKUP(Orders!E1839,Sales_Reps!$A$2:$E$31,3,FALSE()),"Not Found")</f>
        <v>South</v>
      </c>
      <c r="G1839" s="46" t="n">
        <f aca="false">IFERROR(VLOOKUP(Orders!D1839,Products!$A$2:$F$61,4,FALSE()),"")</f>
        <v>391</v>
      </c>
      <c r="H1839" s="47" t="n">
        <f aca="false">IF(G1839="","",(Orders!G1839-G1839)/Orders!G1839)</f>
        <v>0.523170731707317</v>
      </c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  <c r="AA1839" s="46"/>
      <c r="AB1839" s="46"/>
      <c r="AC1839" s="46"/>
      <c r="AD1839" s="46"/>
      <c r="AE1839" s="46"/>
      <c r="AF1839" s="46"/>
      <c r="AG1839" s="46"/>
      <c r="AH1839" s="46"/>
      <c r="AI1839" s="46"/>
      <c r="AJ1839" s="46"/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</row>
    <row r="1840" customFormat="false" ht="15" hidden="false" customHeight="false" outlineLevel="0" collapsed="false">
      <c r="A1840" s="46" t="str">
        <f aca="false">Orders!A1840</f>
        <v>ORD-01839</v>
      </c>
      <c r="B1840" s="46" t="str">
        <f aca="false">PROPER(TRIM(Orders!K1840))</f>
        <v>Mumbai</v>
      </c>
      <c r="C1840" s="46" t="str">
        <f aca="false">IFERROR(VLOOKUP(Orders!D1840,Products!$A$2:$F$61,3,FALSE()),"Not Found")</f>
        <v>Electronics</v>
      </c>
      <c r="D1840" s="46" t="str">
        <f aca="false">IFERROR(VLOOKUP(Orders!C1840,Customers!$A$2:$F$301,5,FALSE()),"Not Found")</f>
        <v>SMB</v>
      </c>
      <c r="E1840" s="46" t="n">
        <f aca="false">IFERROR(VLOOKUP(Orders!C1840,Customers!$A$2:$F$301,3,FALSE()),"Not Found")</f>
        <v>22</v>
      </c>
      <c r="F1840" s="46" t="str">
        <f aca="false">IFERROR(VLOOKUP(Orders!E1840,Sales_Reps!$A$2:$E$31,3,FALSE()),"Not Found")</f>
        <v>East</v>
      </c>
      <c r="G1840" s="46" t="n">
        <f aca="false">IFERROR(VLOOKUP(Orders!D1840,Products!$A$2:$F$61,4,FALSE()),"")</f>
        <v>128</v>
      </c>
      <c r="H1840" s="47" t="n">
        <f aca="false">IF(G1840="","",(Orders!G1840-G1840)/Orders!G1840)</f>
        <v>0.573333333333333</v>
      </c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</row>
    <row r="1841" customFormat="false" ht="15" hidden="false" customHeight="false" outlineLevel="0" collapsed="false">
      <c r="A1841" s="46" t="str">
        <f aca="false">Orders!A1841</f>
        <v>ORD-01840</v>
      </c>
      <c r="B1841" s="46" t="str">
        <f aca="false">PROPER(TRIM(Orders!K1841))</f>
        <v>Chennai</v>
      </c>
      <c r="C1841" s="46" t="str">
        <f aca="false">IFERROR(VLOOKUP(Orders!D1841,Products!$A$2:$F$61,3,FALSE()),"Not Found")</f>
        <v>Beauty</v>
      </c>
      <c r="D1841" s="46" t="str">
        <f aca="false">IFERROR(VLOOKUP(Orders!C1841,Customers!$A$2:$F$301,5,FALSE()),"Not Found")</f>
        <v>Retail</v>
      </c>
      <c r="E1841" s="46" t="n">
        <f aca="false">IFERROR(VLOOKUP(Orders!C1841,Customers!$A$2:$F$301,3,FALSE()),"Not Found")</f>
        <v>36</v>
      </c>
      <c r="F1841" s="46" t="str">
        <f aca="false">IFERROR(VLOOKUP(Orders!E1841,Sales_Reps!$A$2:$E$31,3,FALSE()),"Not Found")</f>
        <v>South</v>
      </c>
      <c r="G1841" s="46" t="n">
        <f aca="false">IFERROR(VLOOKUP(Orders!D1841,Products!$A$2:$F$61,4,FALSE()),"")</f>
        <v>1728</v>
      </c>
      <c r="H1841" s="47" t="n">
        <f aca="false">IF(G1841="","",(Orders!G1841-G1841)/Orders!G1841)</f>
        <v>0.484179104477612</v>
      </c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  <c r="AA1841" s="46"/>
      <c r="AB1841" s="46"/>
      <c r="AC1841" s="46"/>
      <c r="AD1841" s="46"/>
      <c r="AE1841" s="46"/>
      <c r="AF1841" s="46"/>
      <c r="AG1841" s="46"/>
      <c r="AH1841" s="46"/>
      <c r="AI1841" s="46"/>
      <c r="AJ1841" s="46"/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</row>
    <row r="1842" customFormat="false" ht="15" hidden="false" customHeight="false" outlineLevel="0" collapsed="false">
      <c r="A1842" s="46" t="str">
        <f aca="false">Orders!A1842</f>
        <v>ORD-01841</v>
      </c>
      <c r="B1842" s="46" t="str">
        <f aca="false">PROPER(TRIM(Orders!K1842))</f>
        <v>Delhi</v>
      </c>
      <c r="C1842" s="46" t="str">
        <f aca="false">IFERROR(VLOOKUP(Orders!D1842,Products!$A$2:$F$61,3,FALSE()),"Not Found")</f>
        <v>Home</v>
      </c>
      <c r="D1842" s="46" t="str">
        <f aca="false">IFERROR(VLOOKUP(Orders!C1842,Customers!$A$2:$F$301,5,FALSE()),"Not Found")</f>
        <v>Retail</v>
      </c>
      <c r="E1842" s="46" t="n">
        <f aca="false">IFERROR(VLOOKUP(Orders!C1842,Customers!$A$2:$F$301,3,FALSE()),"Not Found")</f>
        <v>62</v>
      </c>
      <c r="F1842" s="46" t="str">
        <f aca="false">IFERROR(VLOOKUP(Orders!E1842,Sales_Reps!$A$2:$E$31,3,FALSE()),"Not Found")</f>
        <v>West</v>
      </c>
      <c r="G1842" s="46" t="n">
        <f aca="false">IFERROR(VLOOKUP(Orders!D1842,Products!$A$2:$F$61,4,FALSE()),"")</f>
        <v>1556</v>
      </c>
      <c r="H1842" s="47" t="n">
        <f aca="false">IF(G1842="","",(Orders!G1842-G1842)/Orders!G1842)</f>
        <v>0.521230769230769</v>
      </c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  <c r="AA1842" s="46"/>
      <c r="AB1842" s="46"/>
      <c r="AC1842" s="46"/>
      <c r="AD1842" s="46"/>
      <c r="AE1842" s="46"/>
      <c r="AF1842" s="46"/>
      <c r="AG1842" s="46"/>
      <c r="AH1842" s="46"/>
      <c r="AI1842" s="46"/>
      <c r="AJ1842" s="46"/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</row>
    <row r="1843" customFormat="false" ht="15" hidden="false" customHeight="false" outlineLevel="0" collapsed="false">
      <c r="A1843" s="46" t="str">
        <f aca="false">Orders!A1843</f>
        <v>ORD-01842</v>
      </c>
      <c r="B1843" s="46" t="str">
        <f aca="false">PROPER(TRIM(Orders!K1843))</f>
        <v>Bengaluru</v>
      </c>
      <c r="C1843" s="46" t="str">
        <f aca="false">IFERROR(VLOOKUP(Orders!D1843,Products!$A$2:$F$61,3,FALSE()),"Not Found")</f>
        <v>Beauty</v>
      </c>
      <c r="D1843" s="46" t="str">
        <f aca="false">IFERROR(VLOOKUP(Orders!C1843,Customers!$A$2:$F$301,5,FALSE()),"Not Found")</f>
        <v>SMB</v>
      </c>
      <c r="E1843" s="46" t="n">
        <f aca="false">IFERROR(VLOOKUP(Orders!C1843,Customers!$A$2:$F$301,3,FALSE()),"Not Found")</f>
        <v>46</v>
      </c>
      <c r="F1843" s="46" t="str">
        <f aca="false">IFERROR(VLOOKUP(Orders!E1843,Sales_Reps!$A$2:$E$31,3,FALSE()),"Not Found")</f>
        <v>West</v>
      </c>
      <c r="G1843" s="46" t="n">
        <f aca="false">IFERROR(VLOOKUP(Orders!D1843,Products!$A$2:$F$61,4,FALSE()),"")</f>
        <v>1222</v>
      </c>
      <c r="H1843" s="47" t="n">
        <f aca="false">IF(G1843="","",(Orders!G1843-G1843)/Orders!G1843)</f>
        <v>0.259393939393939</v>
      </c>
      <c r="I1843" s="46"/>
      <c r="J1843" s="46"/>
      <c r="K1843" s="46"/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  <c r="Y1843" s="46"/>
      <c r="Z1843" s="46"/>
      <c r="AA1843" s="46"/>
      <c r="AB1843" s="46"/>
      <c r="AC1843" s="46"/>
      <c r="AD1843" s="46"/>
      <c r="AE1843" s="46"/>
      <c r="AF1843" s="46"/>
      <c r="AG1843" s="46"/>
      <c r="AH1843" s="46"/>
      <c r="AI1843" s="46"/>
      <c r="AJ1843" s="46"/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</row>
    <row r="1844" customFormat="false" ht="15" hidden="false" customHeight="false" outlineLevel="0" collapsed="false">
      <c r="A1844" s="46" t="str">
        <f aca="false">Orders!A1844</f>
        <v>ORD-01843</v>
      </c>
      <c r="B1844" s="46" t="str">
        <f aca="false">PROPER(TRIM(Orders!K1844))</f>
        <v>Bengaluru</v>
      </c>
      <c r="C1844" s="46" t="str">
        <f aca="false">IFERROR(VLOOKUP(Orders!D1844,Products!$A$2:$F$61,3,FALSE()),"Not Found")</f>
        <v>Electronics</v>
      </c>
      <c r="D1844" s="46" t="str">
        <f aca="false">IFERROR(VLOOKUP(Orders!C1844,Customers!$A$2:$F$301,5,FALSE()),"Not Found")</f>
        <v>Retail</v>
      </c>
      <c r="E1844" s="46" t="n">
        <f aca="false">IFERROR(VLOOKUP(Orders!C1844,Customers!$A$2:$F$301,3,FALSE()),"Not Found")</f>
        <v>32</v>
      </c>
      <c r="F1844" s="46" t="str">
        <f aca="false">IFERROR(VLOOKUP(Orders!E1844,Sales_Reps!$A$2:$E$31,3,FALSE()),"Not Found")</f>
        <v>West</v>
      </c>
      <c r="G1844" s="46" t="n">
        <f aca="false">IFERROR(VLOOKUP(Orders!D1844,Products!$A$2:$F$61,4,FALSE()),"")</f>
        <v>517</v>
      </c>
      <c r="H1844" s="47" t="n">
        <f aca="false">IF(G1844="","",(Orders!G1844-G1844)/Orders!G1844)</f>
        <v>0.576229508196721</v>
      </c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  <c r="Y1844" s="46"/>
      <c r="Z1844" s="46"/>
      <c r="AA1844" s="46"/>
      <c r="AB1844" s="46"/>
      <c r="AC1844" s="46"/>
      <c r="AD1844" s="46"/>
      <c r="AE1844" s="46"/>
      <c r="AF1844" s="46"/>
      <c r="AG1844" s="46"/>
      <c r="AH1844" s="46"/>
      <c r="AI1844" s="46"/>
      <c r="AJ1844" s="46"/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</row>
    <row r="1845" customFormat="false" ht="15" hidden="false" customHeight="false" outlineLevel="0" collapsed="false">
      <c r="A1845" s="46" t="str">
        <f aca="false">Orders!A1845</f>
        <v>ORD-01844</v>
      </c>
      <c r="B1845" s="46" t="str">
        <f aca="false">PROPER(TRIM(Orders!K1845))</f>
        <v>Hyderabad</v>
      </c>
      <c r="C1845" s="46" t="str">
        <f aca="false">IFERROR(VLOOKUP(Orders!D1845,Products!$A$2:$F$61,3,FALSE()),"Not Found")</f>
        <v>Beauty</v>
      </c>
      <c r="D1845" s="46" t="str">
        <f aca="false">IFERROR(VLOOKUP(Orders!C1845,Customers!$A$2:$F$301,5,FALSE()),"Not Found")</f>
        <v>Retail</v>
      </c>
      <c r="E1845" s="46" t="n">
        <f aca="false">IFERROR(VLOOKUP(Orders!C1845,Customers!$A$2:$F$301,3,FALSE()),"Not Found")</f>
        <v>46</v>
      </c>
      <c r="F1845" s="46" t="str">
        <f aca="false">IFERROR(VLOOKUP(Orders!E1845,Sales_Reps!$A$2:$E$31,3,FALSE()),"Not Found")</f>
        <v>West</v>
      </c>
      <c r="G1845" s="46" t="n">
        <f aca="false">IFERROR(VLOOKUP(Orders!D1845,Products!$A$2:$F$61,4,FALSE()),"")</f>
        <v>675</v>
      </c>
      <c r="H1845" s="47" t="n">
        <f aca="false">IF(G1845="","",(Orders!G1845-G1845)/Orders!G1845)</f>
        <v>0.296875</v>
      </c>
      <c r="I1845" s="46"/>
      <c r="J1845" s="46"/>
      <c r="K1845" s="46"/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  <c r="Y1845" s="46"/>
      <c r="Z1845" s="46"/>
      <c r="AA1845" s="46"/>
      <c r="AB1845" s="46"/>
      <c r="AC1845" s="46"/>
      <c r="AD1845" s="46"/>
      <c r="AE1845" s="46"/>
      <c r="AF1845" s="46"/>
      <c r="AG1845" s="46"/>
      <c r="AH1845" s="46"/>
      <c r="AI1845" s="46"/>
      <c r="AJ1845" s="46"/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</row>
    <row r="1846" customFormat="false" ht="15" hidden="false" customHeight="false" outlineLevel="0" collapsed="false">
      <c r="A1846" s="46" t="str">
        <f aca="false">Orders!A1846</f>
        <v>ORD-01845</v>
      </c>
      <c r="B1846" s="46" t="str">
        <f aca="false">PROPER(TRIM(Orders!K1846))</f>
        <v>Mumbai</v>
      </c>
      <c r="C1846" s="46" t="str">
        <f aca="false">IFERROR(VLOOKUP(Orders!D1846,Products!$A$2:$F$61,3,FALSE()),"Not Found")</f>
        <v>Beauty</v>
      </c>
      <c r="D1846" s="46" t="str">
        <f aca="false">IFERROR(VLOOKUP(Orders!C1846,Customers!$A$2:$F$301,5,FALSE()),"Not Found")</f>
        <v>SMB</v>
      </c>
      <c r="E1846" s="46" t="n">
        <f aca="false">IFERROR(VLOOKUP(Orders!C1846,Customers!$A$2:$F$301,3,FALSE()),"Not Found")</f>
        <v>43</v>
      </c>
      <c r="F1846" s="46" t="str">
        <f aca="false">IFERROR(VLOOKUP(Orders!E1846,Sales_Reps!$A$2:$E$31,3,FALSE()),"Not Found")</f>
        <v>South</v>
      </c>
      <c r="G1846" s="46" t="n">
        <f aca="false">IFERROR(VLOOKUP(Orders!D1846,Products!$A$2:$F$61,4,FALSE()),"")</f>
        <v>2768</v>
      </c>
      <c r="H1846" s="47" t="n">
        <f aca="false">IF(G1846="","",(Orders!G1846-G1846)/Orders!G1846)</f>
        <v>0.432786885245902</v>
      </c>
      <c r="I1846" s="46"/>
      <c r="J1846" s="46"/>
      <c r="K1846" s="46"/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6"/>
      <c r="AA1846" s="46"/>
      <c r="AB1846" s="46"/>
      <c r="AC1846" s="46"/>
      <c r="AD1846" s="46"/>
      <c r="AE1846" s="46"/>
      <c r="AF1846" s="46"/>
      <c r="AG1846" s="46"/>
      <c r="AH1846" s="46"/>
      <c r="AI1846" s="46"/>
      <c r="AJ1846" s="46"/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</row>
    <row r="1847" customFormat="false" ht="15" hidden="false" customHeight="false" outlineLevel="0" collapsed="false">
      <c r="A1847" s="46" t="str">
        <f aca="false">Orders!A1847</f>
        <v>ORD-01846</v>
      </c>
      <c r="B1847" s="46" t="str">
        <f aca="false">PROPER(TRIM(Orders!K1847))</f>
        <v>Chennai</v>
      </c>
      <c r="C1847" s="46" t="str">
        <f aca="false">IFERROR(VLOOKUP(Orders!D1847,Products!$A$2:$F$61,3,FALSE()),"Not Found")</f>
        <v>Grocery</v>
      </c>
      <c r="D1847" s="46" t="str">
        <f aca="false">IFERROR(VLOOKUP(Orders!C1847,Customers!$A$2:$F$301,5,FALSE()),"Not Found")</f>
        <v>SMB</v>
      </c>
      <c r="E1847" s="46" t="n">
        <f aca="false">IFERROR(VLOOKUP(Orders!C1847,Customers!$A$2:$F$301,3,FALSE()),"Not Found")</f>
        <v>59</v>
      </c>
      <c r="F1847" s="46" t="str">
        <f aca="false">IFERROR(VLOOKUP(Orders!E1847,Sales_Reps!$A$2:$E$31,3,FALSE()),"Not Found")</f>
        <v>West</v>
      </c>
      <c r="G1847" s="46" t="n">
        <f aca="false">IFERROR(VLOOKUP(Orders!D1847,Products!$A$2:$F$61,4,FALSE()),"")</f>
        <v>1203</v>
      </c>
      <c r="H1847" s="47" t="n">
        <f aca="false">IF(G1847="","",(Orders!G1847-G1847)/Orders!G1847)</f>
        <v>0.470044052863436</v>
      </c>
      <c r="I1847" s="46"/>
      <c r="J1847" s="46"/>
      <c r="K1847" s="46"/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  <c r="Y1847" s="46"/>
      <c r="Z1847" s="46"/>
      <c r="AA1847" s="46"/>
      <c r="AB1847" s="46"/>
      <c r="AC1847" s="46"/>
      <c r="AD1847" s="46"/>
      <c r="AE1847" s="46"/>
      <c r="AF1847" s="46"/>
      <c r="AG1847" s="46"/>
      <c r="AH1847" s="46"/>
      <c r="AI1847" s="46"/>
      <c r="AJ1847" s="46"/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</row>
    <row r="1848" customFormat="false" ht="15" hidden="false" customHeight="false" outlineLevel="0" collapsed="false">
      <c r="A1848" s="46" t="str">
        <f aca="false">Orders!A1848</f>
        <v>ORD-01847</v>
      </c>
      <c r="B1848" s="46" t="str">
        <f aca="false">PROPER(TRIM(Orders!K1848))</f>
        <v>Mumbai</v>
      </c>
      <c r="C1848" s="46" t="str">
        <f aca="false">IFERROR(VLOOKUP(Orders!D1848,Products!$A$2:$F$61,3,FALSE()),"Not Found")</f>
        <v>Home</v>
      </c>
      <c r="D1848" s="46" t="str">
        <f aca="false">IFERROR(VLOOKUP(Orders!C1848,Customers!$A$2:$F$301,5,FALSE()),"Not Found")</f>
        <v>Retail</v>
      </c>
      <c r="E1848" s="46" t="n">
        <f aca="false">IFERROR(VLOOKUP(Orders!C1848,Customers!$A$2:$F$301,3,FALSE()),"Not Found")</f>
        <v>44</v>
      </c>
      <c r="F1848" s="46" t="str">
        <f aca="false">IFERROR(VLOOKUP(Orders!E1848,Sales_Reps!$A$2:$E$31,3,FALSE()),"Not Found")</f>
        <v>West</v>
      </c>
      <c r="G1848" s="46" t="n">
        <f aca="false">IFERROR(VLOOKUP(Orders!D1848,Products!$A$2:$F$61,4,FALSE()),"")</f>
        <v>464</v>
      </c>
      <c r="H1848" s="47" t="n">
        <f aca="false">IF(G1848="","",(Orders!G1848-G1848)/Orders!G1848)</f>
        <v>0.574311926605505</v>
      </c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</row>
    <row r="1849" customFormat="false" ht="15" hidden="false" customHeight="false" outlineLevel="0" collapsed="false">
      <c r="A1849" s="46" t="str">
        <f aca="false">Orders!A1849</f>
        <v>ORD-01848</v>
      </c>
      <c r="B1849" s="46" t="str">
        <f aca="false">PROPER(TRIM(Orders!K1849))</f>
        <v>Hyderabad</v>
      </c>
      <c r="C1849" s="46" t="str">
        <f aca="false">IFERROR(VLOOKUP(Orders!D1849,Products!$A$2:$F$61,3,FALSE()),"Not Found")</f>
        <v>Home</v>
      </c>
      <c r="D1849" s="46" t="str">
        <f aca="false">IFERROR(VLOOKUP(Orders!C1849,Customers!$A$2:$F$301,5,FALSE()),"Not Found")</f>
        <v>Retail</v>
      </c>
      <c r="E1849" s="46" t="n">
        <f aca="false">IFERROR(VLOOKUP(Orders!C1849,Customers!$A$2:$F$301,3,FALSE()),"Not Found")</f>
        <v>28</v>
      </c>
      <c r="F1849" s="46" t="str">
        <f aca="false">IFERROR(VLOOKUP(Orders!E1849,Sales_Reps!$A$2:$E$31,3,FALSE()),"Not Found")</f>
        <v>West</v>
      </c>
      <c r="G1849" s="46" t="n">
        <f aca="false">IFERROR(VLOOKUP(Orders!D1849,Products!$A$2:$F$61,4,FALSE()),"")</f>
        <v>2459</v>
      </c>
      <c r="H1849" s="47" t="n">
        <f aca="false">IF(G1849="","",(Orders!G1849-G1849)/Orders!G1849)</f>
        <v>0.515944881889764</v>
      </c>
      <c r="I1849" s="46"/>
      <c r="J1849" s="46"/>
      <c r="K1849" s="46"/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  <c r="Y1849" s="46"/>
      <c r="Z1849" s="46"/>
      <c r="AA1849" s="46"/>
      <c r="AB1849" s="46"/>
      <c r="AC1849" s="46"/>
      <c r="AD1849" s="46"/>
      <c r="AE1849" s="46"/>
      <c r="AF1849" s="46"/>
      <c r="AG1849" s="46"/>
      <c r="AH1849" s="46"/>
      <c r="AI1849" s="46"/>
      <c r="AJ1849" s="46"/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</row>
    <row r="1850" customFormat="false" ht="15" hidden="false" customHeight="false" outlineLevel="0" collapsed="false">
      <c r="A1850" s="46" t="str">
        <f aca="false">Orders!A1850</f>
        <v>ORD-01849</v>
      </c>
      <c r="B1850" s="46" t="str">
        <f aca="false">PROPER(TRIM(Orders!K1850))</f>
        <v>Pune</v>
      </c>
      <c r="C1850" s="46" t="str">
        <f aca="false">IFERROR(VLOOKUP(Orders!D1850,Products!$A$2:$F$61,3,FALSE()),"Not Found")</f>
        <v>Home</v>
      </c>
      <c r="D1850" s="46" t="str">
        <f aca="false">IFERROR(VLOOKUP(Orders!C1850,Customers!$A$2:$F$301,5,FALSE()),"Not Found")</f>
        <v>SMB</v>
      </c>
      <c r="E1850" s="46" t="n">
        <f aca="false">IFERROR(VLOOKUP(Orders!C1850,Customers!$A$2:$F$301,3,FALSE()),"Not Found")</f>
        <v>59</v>
      </c>
      <c r="F1850" s="46" t="str">
        <f aca="false">IFERROR(VLOOKUP(Orders!E1850,Sales_Reps!$A$2:$E$31,3,FALSE()),"Not Found")</f>
        <v>East</v>
      </c>
      <c r="G1850" s="46" t="n">
        <f aca="false">IFERROR(VLOOKUP(Orders!D1850,Products!$A$2:$F$61,4,FALSE()),"")</f>
        <v>1850</v>
      </c>
      <c r="H1850" s="47" t="n">
        <f aca="false">IF(G1850="","",(Orders!G1850-G1850)/Orders!G1850)</f>
        <v>0.598698481561822</v>
      </c>
      <c r="I1850" s="46"/>
      <c r="J1850" s="46"/>
      <c r="K1850" s="46"/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</row>
    <row r="1851" customFormat="false" ht="15" hidden="false" customHeight="false" outlineLevel="0" collapsed="false">
      <c r="A1851" s="46" t="str">
        <f aca="false">Orders!A1851</f>
        <v>ORD-01850</v>
      </c>
      <c r="B1851" s="46" t="str">
        <f aca="false">PROPER(TRIM(Orders!K1851))</f>
        <v>Hyderabad</v>
      </c>
      <c r="C1851" s="46" t="str">
        <f aca="false">IFERROR(VLOOKUP(Orders!D1851,Products!$A$2:$F$61,3,FALSE()),"Not Found")</f>
        <v>Beauty</v>
      </c>
      <c r="D1851" s="46" t="str">
        <f aca="false">IFERROR(VLOOKUP(Orders!C1851,Customers!$A$2:$F$301,5,FALSE()),"Not Found")</f>
        <v>SMB</v>
      </c>
      <c r="E1851" s="46" t="n">
        <f aca="false">IFERROR(VLOOKUP(Orders!C1851,Customers!$A$2:$F$301,3,FALSE()),"Not Found")</f>
        <v>65</v>
      </c>
      <c r="F1851" s="46" t="str">
        <f aca="false">IFERROR(VLOOKUP(Orders!E1851,Sales_Reps!$A$2:$E$31,3,FALSE()),"Not Found")</f>
        <v>West</v>
      </c>
      <c r="G1851" s="46" t="n">
        <f aca="false">IFERROR(VLOOKUP(Orders!D1851,Products!$A$2:$F$61,4,FALSE()),"")</f>
        <v>1626</v>
      </c>
      <c r="H1851" s="47" t="n">
        <f aca="false">IF(G1851="","",(Orders!G1851-G1851)/Orders!G1851)</f>
        <v>0.46158940397351</v>
      </c>
      <c r="I1851" s="46"/>
      <c r="J1851" s="46"/>
      <c r="K1851" s="46"/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</row>
    <row r="1852" customFormat="false" ht="15" hidden="false" customHeight="false" outlineLevel="0" collapsed="false">
      <c r="A1852" s="46" t="str">
        <f aca="false">Orders!A1852</f>
        <v>ORD-01851</v>
      </c>
      <c r="B1852" s="46" t="str">
        <f aca="false">PROPER(TRIM(Orders!K1852))</f>
        <v>Delhi</v>
      </c>
      <c r="C1852" s="46" t="str">
        <f aca="false">IFERROR(VLOOKUP(Orders!D1852,Products!$A$2:$F$61,3,FALSE()),"Not Found")</f>
        <v>Grocery</v>
      </c>
      <c r="D1852" s="46" t="str">
        <f aca="false">IFERROR(VLOOKUP(Orders!C1852,Customers!$A$2:$F$301,5,FALSE()),"Not Found")</f>
        <v>Retail</v>
      </c>
      <c r="E1852" s="46" t="n">
        <f aca="false">IFERROR(VLOOKUP(Orders!C1852,Customers!$A$2:$F$301,3,FALSE()),"Not Found")</f>
        <v>43</v>
      </c>
      <c r="F1852" s="46" t="str">
        <f aca="false">IFERROR(VLOOKUP(Orders!E1852,Sales_Reps!$A$2:$E$31,3,FALSE()),"Not Found")</f>
        <v>West</v>
      </c>
      <c r="G1852" s="46" t="n">
        <f aca="false">IFERROR(VLOOKUP(Orders!D1852,Products!$A$2:$F$61,4,FALSE()),"")</f>
        <v>1412</v>
      </c>
      <c r="H1852" s="47" t="n">
        <f aca="false">IF(G1852="","",(Orders!G1852-G1852)/Orders!G1852)</f>
        <v>0.377973568281938</v>
      </c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</row>
    <row r="1853" customFormat="false" ht="15" hidden="false" customHeight="false" outlineLevel="0" collapsed="false">
      <c r="A1853" s="46" t="str">
        <f aca="false">Orders!A1853</f>
        <v>ORD-01852</v>
      </c>
      <c r="B1853" s="46" t="str">
        <f aca="false">PROPER(TRIM(Orders!K1853))</f>
        <v>Pune</v>
      </c>
      <c r="C1853" s="46" t="str">
        <f aca="false">IFERROR(VLOOKUP(Orders!D1853,Products!$A$2:$F$61,3,FALSE()),"Not Found")</f>
        <v>Grocery</v>
      </c>
      <c r="D1853" s="46" t="str">
        <f aca="false">IFERROR(VLOOKUP(Orders!C1853,Customers!$A$2:$F$301,5,FALSE()),"Not Found")</f>
        <v>SMB</v>
      </c>
      <c r="E1853" s="46" t="n">
        <f aca="false">IFERROR(VLOOKUP(Orders!C1853,Customers!$A$2:$F$301,3,FALSE()),"Not Found")</f>
        <v>39</v>
      </c>
      <c r="F1853" s="46" t="str">
        <f aca="false">IFERROR(VLOOKUP(Orders!E1853,Sales_Reps!$A$2:$E$31,3,FALSE()),"Not Found")</f>
        <v>South</v>
      </c>
      <c r="G1853" s="46" t="n">
        <f aca="false">IFERROR(VLOOKUP(Orders!D1853,Products!$A$2:$F$61,4,FALSE()),"")</f>
        <v>2027</v>
      </c>
      <c r="H1853" s="47" t="n">
        <f aca="false">IF(G1853="","",(Orders!G1853-G1853)/Orders!G1853)</f>
        <v>0.501965601965602</v>
      </c>
      <c r="I1853" s="46"/>
      <c r="J1853" s="46"/>
      <c r="K1853" s="46"/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  <c r="Y1853" s="46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</row>
    <row r="1854" customFormat="false" ht="15" hidden="false" customHeight="false" outlineLevel="0" collapsed="false">
      <c r="A1854" s="46" t="str">
        <f aca="false">Orders!A1854</f>
        <v>ORD-01853</v>
      </c>
      <c r="B1854" s="46" t="str">
        <f aca="false">PROPER(TRIM(Orders!K1854))</f>
        <v>Chennai</v>
      </c>
      <c r="C1854" s="46" t="str">
        <f aca="false">IFERROR(VLOOKUP(Orders!D1854,Products!$A$2:$F$61,3,FALSE()),"Not Found")</f>
        <v>Electronics</v>
      </c>
      <c r="D1854" s="46" t="str">
        <f aca="false">IFERROR(VLOOKUP(Orders!C1854,Customers!$A$2:$F$301,5,FALSE()),"Not Found")</f>
        <v>Corporate</v>
      </c>
      <c r="E1854" s="46" t="n">
        <f aca="false">IFERROR(VLOOKUP(Orders!C1854,Customers!$A$2:$F$301,3,FALSE()),"Not Found")</f>
        <v>34</v>
      </c>
      <c r="F1854" s="46" t="str">
        <f aca="false">IFERROR(VLOOKUP(Orders!E1854,Sales_Reps!$A$2:$E$31,3,FALSE()),"Not Found")</f>
        <v>East</v>
      </c>
      <c r="G1854" s="46" t="n">
        <f aca="false">IFERROR(VLOOKUP(Orders!D1854,Products!$A$2:$F$61,4,FALSE()),"")</f>
        <v>517</v>
      </c>
      <c r="H1854" s="47" t="n">
        <f aca="false">IF(G1854="","",(Orders!G1854-G1854)/Orders!G1854)</f>
        <v>0.576229508196721</v>
      </c>
      <c r="I1854" s="46"/>
      <c r="J1854" s="46"/>
      <c r="K1854" s="46"/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</row>
    <row r="1855" customFormat="false" ht="15" hidden="false" customHeight="false" outlineLevel="0" collapsed="false">
      <c r="A1855" s="46" t="str">
        <f aca="false">Orders!A1855</f>
        <v>ORD-01854</v>
      </c>
      <c r="B1855" s="46" t="str">
        <f aca="false">PROPER(TRIM(Orders!K1855))</f>
        <v>Bengaluru</v>
      </c>
      <c r="C1855" s="46" t="str">
        <f aca="false">IFERROR(VLOOKUP(Orders!D1855,Products!$A$2:$F$61,3,FALSE()),"Not Found")</f>
        <v>Apparel</v>
      </c>
      <c r="D1855" s="46" t="str">
        <f aca="false">IFERROR(VLOOKUP(Orders!C1855,Customers!$A$2:$F$301,5,FALSE()),"Not Found")</f>
        <v>Retail</v>
      </c>
      <c r="E1855" s="46" t="n">
        <f aca="false">IFERROR(VLOOKUP(Orders!C1855,Customers!$A$2:$F$301,3,FALSE()),"Not Found")</f>
        <v>23</v>
      </c>
      <c r="F1855" s="46" t="str">
        <f aca="false">IFERROR(VLOOKUP(Orders!E1855,Sales_Reps!$A$2:$E$31,3,FALSE()),"Not Found")</f>
        <v>West</v>
      </c>
      <c r="G1855" s="46" t="n">
        <f aca="false">IFERROR(VLOOKUP(Orders!D1855,Products!$A$2:$F$61,4,FALSE()),"")</f>
        <v>1173</v>
      </c>
      <c r="H1855" s="47" t="n">
        <f aca="false">IF(G1855="","",(Orders!G1855-G1855)/Orders!G1855)</f>
        <v>0.527016129032258</v>
      </c>
      <c r="I1855" s="46"/>
      <c r="J1855" s="46"/>
      <c r="K1855" s="46"/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  <c r="Y1855" s="46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</row>
    <row r="1856" customFormat="false" ht="15" hidden="false" customHeight="false" outlineLevel="0" collapsed="false">
      <c r="A1856" s="46" t="str">
        <f aca="false">Orders!A1856</f>
        <v>ORD-01855</v>
      </c>
      <c r="B1856" s="46" t="str">
        <f aca="false">PROPER(TRIM(Orders!K1856))</f>
        <v>Pune</v>
      </c>
      <c r="C1856" s="46" t="str">
        <f aca="false">IFERROR(VLOOKUP(Orders!D1856,Products!$A$2:$F$61,3,FALSE()),"Not Found")</f>
        <v>Sports</v>
      </c>
      <c r="D1856" s="46" t="str">
        <f aca="false">IFERROR(VLOOKUP(Orders!C1856,Customers!$A$2:$F$301,5,FALSE()),"Not Found")</f>
        <v>Corporate</v>
      </c>
      <c r="E1856" s="46" t="n">
        <f aca="false">IFERROR(VLOOKUP(Orders!C1856,Customers!$A$2:$F$301,3,FALSE()),"Not Found")</f>
        <v>37</v>
      </c>
      <c r="F1856" s="46" t="str">
        <f aca="false">IFERROR(VLOOKUP(Orders!E1856,Sales_Reps!$A$2:$E$31,3,FALSE()),"Not Found")</f>
        <v>North</v>
      </c>
      <c r="G1856" s="46" t="n">
        <f aca="false">IFERROR(VLOOKUP(Orders!D1856,Products!$A$2:$F$61,4,FALSE()),"")</f>
        <v>2028</v>
      </c>
      <c r="H1856" s="47" t="n">
        <f aca="false">IF(G1856="","",(Orders!G1856-G1856)/Orders!G1856)</f>
        <v>0.290909090909091</v>
      </c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</row>
    <row r="1857" customFormat="false" ht="15" hidden="false" customHeight="false" outlineLevel="0" collapsed="false">
      <c r="A1857" s="46" t="str">
        <f aca="false">Orders!A1857</f>
        <v>ORD-01856</v>
      </c>
      <c r="B1857" s="46" t="str">
        <f aca="false">PROPER(TRIM(Orders!K1857))</f>
        <v>Delhi</v>
      </c>
      <c r="C1857" s="46" t="str">
        <f aca="false">IFERROR(VLOOKUP(Orders!D1857,Products!$A$2:$F$61,3,FALSE()),"Not Found")</f>
        <v>Grocery</v>
      </c>
      <c r="D1857" s="46" t="str">
        <f aca="false">IFERROR(VLOOKUP(Orders!C1857,Customers!$A$2:$F$301,5,FALSE()),"Not Found")</f>
        <v>Retail</v>
      </c>
      <c r="E1857" s="46" t="n">
        <f aca="false">IFERROR(VLOOKUP(Orders!C1857,Customers!$A$2:$F$301,3,FALSE()),"Not Found")</f>
        <v>31</v>
      </c>
      <c r="F1857" s="46" t="str">
        <f aca="false">IFERROR(VLOOKUP(Orders!E1857,Sales_Reps!$A$2:$E$31,3,FALSE()),"Not Found")</f>
        <v>West</v>
      </c>
      <c r="G1857" s="46" t="n">
        <f aca="false">IFERROR(VLOOKUP(Orders!D1857,Products!$A$2:$F$61,4,FALSE()),"")</f>
        <v>2436</v>
      </c>
      <c r="H1857" s="47" t="n">
        <f aca="false">IF(G1857="","",(Orders!G1857-G1857)/Orders!G1857)</f>
        <v>0.355555555555556</v>
      </c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</row>
    <row r="1858" customFormat="false" ht="15" hidden="false" customHeight="false" outlineLevel="0" collapsed="false">
      <c r="A1858" s="46" t="str">
        <f aca="false">Orders!A1858</f>
        <v>ORD-01857</v>
      </c>
      <c r="B1858" s="46" t="str">
        <f aca="false">PROPER(TRIM(Orders!K1858))</f>
        <v>Pune</v>
      </c>
      <c r="C1858" s="46" t="str">
        <f aca="false">IFERROR(VLOOKUP(Orders!D1858,Products!$A$2:$F$61,3,FALSE()),"Not Found")</f>
        <v>Sports</v>
      </c>
      <c r="D1858" s="46" t="str">
        <f aca="false">IFERROR(VLOOKUP(Orders!C1858,Customers!$A$2:$F$301,5,FALSE()),"Not Found")</f>
        <v>Corporate</v>
      </c>
      <c r="E1858" s="46" t="n">
        <f aca="false">IFERROR(VLOOKUP(Orders!C1858,Customers!$A$2:$F$301,3,FALSE()),"Not Found")</f>
        <v>29</v>
      </c>
      <c r="F1858" s="46" t="str">
        <f aca="false">IFERROR(VLOOKUP(Orders!E1858,Sales_Reps!$A$2:$E$31,3,FALSE()),"Not Found")</f>
        <v>West</v>
      </c>
      <c r="G1858" s="46" t="n">
        <f aca="false">IFERROR(VLOOKUP(Orders!D1858,Products!$A$2:$F$61,4,FALSE()),"")</f>
        <v>2028</v>
      </c>
      <c r="H1858" s="47" t="n">
        <f aca="false">IF(G1858="","",(Orders!G1858-G1858)/Orders!G1858)</f>
        <v>0.290909090909091</v>
      </c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  <c r="Y1858" s="46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</row>
    <row r="1859" customFormat="false" ht="15" hidden="false" customHeight="false" outlineLevel="0" collapsed="false">
      <c r="A1859" s="46" t="str">
        <f aca="false">Orders!A1859</f>
        <v>ORD-01858</v>
      </c>
      <c r="B1859" s="46" t="str">
        <f aca="false">PROPER(TRIM(Orders!K1859))</f>
        <v>Hyderabad</v>
      </c>
      <c r="C1859" s="46" t="str">
        <f aca="false">IFERROR(VLOOKUP(Orders!D1859,Products!$A$2:$F$61,3,FALSE()),"Not Found")</f>
        <v>Sports</v>
      </c>
      <c r="D1859" s="46" t="str">
        <f aca="false">IFERROR(VLOOKUP(Orders!C1859,Customers!$A$2:$F$301,5,FALSE()),"Not Found")</f>
        <v>SMB</v>
      </c>
      <c r="E1859" s="46" t="n">
        <f aca="false">IFERROR(VLOOKUP(Orders!C1859,Customers!$A$2:$F$301,3,FALSE()),"Not Found")</f>
        <v>29</v>
      </c>
      <c r="F1859" s="46" t="str">
        <f aca="false">IFERROR(VLOOKUP(Orders!E1859,Sales_Reps!$A$2:$E$31,3,FALSE()),"Not Found")</f>
        <v>West</v>
      </c>
      <c r="G1859" s="46" t="n">
        <f aca="false">IFERROR(VLOOKUP(Orders!D1859,Products!$A$2:$F$61,4,FALSE()),"")</f>
        <v>974</v>
      </c>
      <c r="H1859" s="47" t="n">
        <f aca="false">IF(G1859="","",(Orders!G1859-G1859)/Orders!G1859)</f>
        <v>0.594166666666667</v>
      </c>
      <c r="I1859" s="46"/>
      <c r="J1859" s="46"/>
      <c r="K1859" s="46"/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  <c r="Y1859" s="46"/>
      <c r="Z1859" s="46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</row>
    <row r="1860" customFormat="false" ht="15" hidden="false" customHeight="false" outlineLevel="0" collapsed="false">
      <c r="A1860" s="46" t="str">
        <f aca="false">Orders!A1860</f>
        <v>ORD-01859</v>
      </c>
      <c r="B1860" s="46" t="str">
        <f aca="false">PROPER(TRIM(Orders!K1860))</f>
        <v>Bengaluru</v>
      </c>
      <c r="C1860" s="46" t="str">
        <f aca="false">IFERROR(VLOOKUP(Orders!D1860,Products!$A$2:$F$61,3,FALSE()),"Not Found")</f>
        <v>Grocery</v>
      </c>
      <c r="D1860" s="46" t="str">
        <f aca="false">IFERROR(VLOOKUP(Orders!C1860,Customers!$A$2:$F$301,5,FALSE()),"Not Found")</f>
        <v>Retail</v>
      </c>
      <c r="E1860" s="46" t="n">
        <f aca="false">IFERROR(VLOOKUP(Orders!C1860,Customers!$A$2:$F$301,3,FALSE()),"Not Found")</f>
        <v>54</v>
      </c>
      <c r="F1860" s="46" t="str">
        <f aca="false">IFERROR(VLOOKUP(Orders!E1860,Sales_Reps!$A$2:$E$31,3,FALSE()),"Not Found")</f>
        <v>West</v>
      </c>
      <c r="G1860" s="46" t="n">
        <f aca="false">IFERROR(VLOOKUP(Orders!D1860,Products!$A$2:$F$61,4,FALSE()),"")</f>
        <v>1182</v>
      </c>
      <c r="H1860" s="47" t="n">
        <f aca="false">IF(G1860="","",(Orders!G1860-G1860)/Orders!G1860)</f>
        <v>0.503361344537815</v>
      </c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</row>
    <row r="1861" customFormat="false" ht="15" hidden="false" customHeight="false" outlineLevel="0" collapsed="false">
      <c r="A1861" s="46" t="str">
        <f aca="false">Orders!A1861</f>
        <v>ORD-01860</v>
      </c>
      <c r="B1861" s="46" t="str">
        <f aca="false">PROPER(TRIM(Orders!K1861))</f>
        <v>Pune</v>
      </c>
      <c r="C1861" s="46" t="str">
        <f aca="false">IFERROR(VLOOKUP(Orders!D1861,Products!$A$2:$F$61,3,FALSE()),"Not Found")</f>
        <v>Beauty</v>
      </c>
      <c r="D1861" s="46" t="str">
        <f aca="false">IFERROR(VLOOKUP(Orders!C1861,Customers!$A$2:$F$301,5,FALSE()),"Not Found")</f>
        <v>Retail</v>
      </c>
      <c r="E1861" s="46" t="n">
        <f aca="false">IFERROR(VLOOKUP(Orders!C1861,Customers!$A$2:$F$301,3,FALSE()),"Not Found")</f>
        <v>29</v>
      </c>
      <c r="F1861" s="46" t="str">
        <f aca="false">IFERROR(VLOOKUP(Orders!E1861,Sales_Reps!$A$2:$E$31,3,FALSE()),"Not Found")</f>
        <v>North</v>
      </c>
      <c r="G1861" s="46" t="n">
        <f aca="false">IFERROR(VLOOKUP(Orders!D1861,Products!$A$2:$F$61,4,FALSE()),"")</f>
        <v>2237</v>
      </c>
      <c r="H1861" s="47" t="n">
        <f aca="false">IF(G1861="","",(Orders!G1861-G1861)/Orders!G1861)</f>
        <v>0.561372549019608</v>
      </c>
      <c r="I1861" s="46"/>
      <c r="J1861" s="46"/>
      <c r="K1861" s="46"/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</row>
    <row r="1862" customFormat="false" ht="15" hidden="false" customHeight="false" outlineLevel="0" collapsed="false">
      <c r="A1862" s="46" t="str">
        <f aca="false">Orders!A1862</f>
        <v>ORD-01861</v>
      </c>
      <c r="B1862" s="46" t="str">
        <f aca="false">PROPER(TRIM(Orders!K1862))</f>
        <v>Pune</v>
      </c>
      <c r="C1862" s="46" t="str">
        <f aca="false">IFERROR(VLOOKUP(Orders!D1862,Products!$A$2:$F$61,3,FALSE()),"Not Found")</f>
        <v>Electronics</v>
      </c>
      <c r="D1862" s="46" t="str">
        <f aca="false">IFERROR(VLOOKUP(Orders!C1862,Customers!$A$2:$F$301,5,FALSE()),"Not Found")</f>
        <v>Corporate</v>
      </c>
      <c r="E1862" s="46" t="n">
        <f aca="false">IFERROR(VLOOKUP(Orders!C1862,Customers!$A$2:$F$301,3,FALSE()),"Not Found")</f>
        <v>29</v>
      </c>
      <c r="F1862" s="46" t="str">
        <f aca="false">IFERROR(VLOOKUP(Orders!E1862,Sales_Reps!$A$2:$E$31,3,FALSE()),"Not Found")</f>
        <v>South</v>
      </c>
      <c r="G1862" s="46" t="n">
        <f aca="false">IFERROR(VLOOKUP(Orders!D1862,Products!$A$2:$F$61,4,FALSE()),"")</f>
        <v>128</v>
      </c>
      <c r="H1862" s="47" t="n">
        <f aca="false">IF(G1862="","",(Orders!G1862-G1862)/Orders!G1862)</f>
        <v>0.573333333333333</v>
      </c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</row>
    <row r="1863" customFormat="false" ht="15" hidden="false" customHeight="false" outlineLevel="0" collapsed="false">
      <c r="A1863" s="46" t="str">
        <f aca="false">Orders!A1863</f>
        <v>ORD-01862</v>
      </c>
      <c r="B1863" s="46" t="str">
        <f aca="false">PROPER(TRIM(Orders!K1863))</f>
        <v>Delhi</v>
      </c>
      <c r="C1863" s="46" t="str">
        <f aca="false">IFERROR(VLOOKUP(Orders!D1863,Products!$A$2:$F$61,3,FALSE()),"Not Found")</f>
        <v>Sports</v>
      </c>
      <c r="D1863" s="46" t="str">
        <f aca="false">IFERROR(VLOOKUP(Orders!C1863,Customers!$A$2:$F$301,5,FALSE()),"Not Found")</f>
        <v>SMB</v>
      </c>
      <c r="E1863" s="46" t="n">
        <f aca="false">IFERROR(VLOOKUP(Orders!C1863,Customers!$A$2:$F$301,3,FALSE()),"Not Found")</f>
        <v>27</v>
      </c>
      <c r="F1863" s="46" t="str">
        <f aca="false">IFERROR(VLOOKUP(Orders!E1863,Sales_Reps!$A$2:$E$31,3,FALSE()),"Not Found")</f>
        <v>South</v>
      </c>
      <c r="G1863" s="46" t="n">
        <f aca="false">IFERROR(VLOOKUP(Orders!D1863,Products!$A$2:$F$61,4,FALSE()),"")</f>
        <v>2467</v>
      </c>
      <c r="H1863" s="47" t="n">
        <f aca="false">IF(G1863="","",(Orders!G1863-G1863)/Orders!G1863)</f>
        <v>0.284927536231884</v>
      </c>
      <c r="I1863" s="46"/>
      <c r="J1863" s="46"/>
      <c r="K1863" s="46"/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</row>
    <row r="1864" customFormat="false" ht="15" hidden="false" customHeight="false" outlineLevel="0" collapsed="false">
      <c r="A1864" s="46" t="str">
        <f aca="false">Orders!A1864</f>
        <v>ORD-01863</v>
      </c>
      <c r="B1864" s="46" t="str">
        <f aca="false">PROPER(TRIM(Orders!K1864))</f>
        <v>Mumbai</v>
      </c>
      <c r="C1864" s="46" t="str">
        <f aca="false">IFERROR(VLOOKUP(Orders!D1864,Products!$A$2:$F$61,3,FALSE()),"Not Found")</f>
        <v>Sports</v>
      </c>
      <c r="D1864" s="46" t="str">
        <f aca="false">IFERROR(VLOOKUP(Orders!C1864,Customers!$A$2:$F$301,5,FALSE()),"Not Found")</f>
        <v>Retail</v>
      </c>
      <c r="E1864" s="46" t="n">
        <f aca="false">IFERROR(VLOOKUP(Orders!C1864,Customers!$A$2:$F$301,3,FALSE()),"Not Found")</f>
        <v>35</v>
      </c>
      <c r="F1864" s="46" t="str">
        <f aca="false">IFERROR(VLOOKUP(Orders!E1864,Sales_Reps!$A$2:$E$31,3,FALSE()),"Not Found")</f>
        <v>South</v>
      </c>
      <c r="G1864" s="46" t="n">
        <f aca="false">IFERROR(VLOOKUP(Orders!D1864,Products!$A$2:$F$61,4,FALSE()),"")</f>
        <v>2028</v>
      </c>
      <c r="H1864" s="47" t="n">
        <f aca="false">IF(G1864="","",(Orders!G1864-G1864)/Orders!G1864)</f>
        <v>0.290909090909091</v>
      </c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</row>
    <row r="1865" customFormat="false" ht="15" hidden="false" customHeight="false" outlineLevel="0" collapsed="false">
      <c r="A1865" s="46" t="str">
        <f aca="false">Orders!A1865</f>
        <v>ORD-01864</v>
      </c>
      <c r="B1865" s="46" t="str">
        <f aca="false">PROPER(TRIM(Orders!K1865))</f>
        <v>Mumbai</v>
      </c>
      <c r="C1865" s="46" t="str">
        <f aca="false">IFERROR(VLOOKUP(Orders!D1865,Products!$A$2:$F$61,3,FALSE()),"Not Found")</f>
        <v>Apparel</v>
      </c>
      <c r="D1865" s="46" t="str">
        <f aca="false">IFERROR(VLOOKUP(Orders!C1865,Customers!$A$2:$F$301,5,FALSE()),"Not Found")</f>
        <v>Retail</v>
      </c>
      <c r="E1865" s="46" t="n">
        <f aca="false">IFERROR(VLOOKUP(Orders!C1865,Customers!$A$2:$F$301,3,FALSE()),"Not Found")</f>
        <v>44</v>
      </c>
      <c r="F1865" s="46" t="str">
        <f aca="false">IFERROR(VLOOKUP(Orders!E1865,Sales_Reps!$A$2:$E$31,3,FALSE()),"Not Found")</f>
        <v>North</v>
      </c>
      <c r="G1865" s="46" t="n">
        <f aca="false">IFERROR(VLOOKUP(Orders!D1865,Products!$A$2:$F$61,4,FALSE()),"")</f>
        <v>1962</v>
      </c>
      <c r="H1865" s="47" t="n">
        <f aca="false">IF(G1865="","",(Orders!G1865-G1865)/Orders!G1865)</f>
        <v>0.278676470588235</v>
      </c>
      <c r="I1865" s="46"/>
      <c r="J1865" s="46"/>
      <c r="K1865" s="46"/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</row>
    <row r="1866" customFormat="false" ht="15" hidden="false" customHeight="false" outlineLevel="0" collapsed="false">
      <c r="A1866" s="46" t="str">
        <f aca="false">Orders!A1866</f>
        <v>ORD-01865</v>
      </c>
      <c r="B1866" s="46" t="str">
        <f aca="false">PROPER(TRIM(Orders!K1866))</f>
        <v>Chennai</v>
      </c>
      <c r="C1866" s="46" t="str">
        <f aca="false">IFERROR(VLOOKUP(Orders!D1866,Products!$A$2:$F$61,3,FALSE()),"Not Found")</f>
        <v>Home</v>
      </c>
      <c r="D1866" s="46" t="str">
        <f aca="false">IFERROR(VLOOKUP(Orders!C1866,Customers!$A$2:$F$301,5,FALSE()),"Not Found")</f>
        <v>Corporate</v>
      </c>
      <c r="E1866" s="46" t="n">
        <f aca="false">IFERROR(VLOOKUP(Orders!C1866,Customers!$A$2:$F$301,3,FALSE()),"Not Found")</f>
        <v>51</v>
      </c>
      <c r="F1866" s="46" t="str">
        <f aca="false">IFERROR(VLOOKUP(Orders!E1866,Sales_Reps!$A$2:$E$31,3,FALSE()),"Not Found")</f>
        <v>West</v>
      </c>
      <c r="G1866" s="46" t="n">
        <f aca="false">IFERROR(VLOOKUP(Orders!D1866,Products!$A$2:$F$61,4,FALSE()),"")</f>
        <v>2135</v>
      </c>
      <c r="H1866" s="47" t="n">
        <f aca="false">IF(G1866="","",(Orders!G1866-G1866)/Orders!G1866)</f>
        <v>0.427613941018767</v>
      </c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</row>
    <row r="1867" customFormat="false" ht="15" hidden="false" customHeight="false" outlineLevel="0" collapsed="false">
      <c r="A1867" s="46" t="str">
        <f aca="false">Orders!A1867</f>
        <v>ORD-01866</v>
      </c>
      <c r="B1867" s="46" t="str">
        <f aca="false">PROPER(TRIM(Orders!K1867))</f>
        <v>Mumbai</v>
      </c>
      <c r="C1867" s="46" t="str">
        <f aca="false">IFERROR(VLOOKUP(Orders!D1867,Products!$A$2:$F$61,3,FALSE()),"Not Found")</f>
        <v>Grocery</v>
      </c>
      <c r="D1867" s="46" t="str">
        <f aca="false">IFERROR(VLOOKUP(Orders!C1867,Customers!$A$2:$F$301,5,FALSE()),"Not Found")</f>
        <v>Retail</v>
      </c>
      <c r="E1867" s="46" t="n">
        <f aca="false">IFERROR(VLOOKUP(Orders!C1867,Customers!$A$2:$F$301,3,FALSE()),"Not Found")</f>
        <v>38</v>
      </c>
      <c r="F1867" s="46" t="str">
        <f aca="false">IFERROR(VLOOKUP(Orders!E1867,Sales_Reps!$A$2:$E$31,3,FALSE()),"Not Found")</f>
        <v>North</v>
      </c>
      <c r="G1867" s="46" t="n">
        <f aca="false">IFERROR(VLOOKUP(Orders!D1867,Products!$A$2:$F$61,4,FALSE()),"")</f>
        <v>2911</v>
      </c>
      <c r="H1867" s="47" t="n">
        <f aca="false">IF(G1867="","",(Orders!G1867-G1867)/Orders!G1867)</f>
        <v>0.283004926108374</v>
      </c>
      <c r="I1867" s="46"/>
      <c r="J1867" s="46"/>
      <c r="K1867" s="46"/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/>
      <c r="AB1867" s="46"/>
      <c r="AC1867" s="46"/>
      <c r="AD1867" s="46"/>
      <c r="AE1867" s="46"/>
      <c r="AF1867" s="46"/>
      <c r="AG1867" s="46"/>
      <c r="AH1867" s="46"/>
      <c r="AI1867" s="46"/>
      <c r="AJ1867" s="46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</row>
    <row r="1868" customFormat="false" ht="15" hidden="false" customHeight="false" outlineLevel="0" collapsed="false">
      <c r="A1868" s="46" t="str">
        <f aca="false">Orders!A1868</f>
        <v>ORD-01867</v>
      </c>
      <c r="B1868" s="46" t="str">
        <f aca="false">PROPER(TRIM(Orders!K1868))</f>
        <v>Bengaluru</v>
      </c>
      <c r="C1868" s="46" t="str">
        <f aca="false">IFERROR(VLOOKUP(Orders!D1868,Products!$A$2:$F$61,3,FALSE()),"Not Found")</f>
        <v>Beauty</v>
      </c>
      <c r="D1868" s="46" t="str">
        <f aca="false">IFERROR(VLOOKUP(Orders!C1868,Customers!$A$2:$F$301,5,FALSE()),"Not Found")</f>
        <v>Retail</v>
      </c>
      <c r="E1868" s="46" t="n">
        <f aca="false">IFERROR(VLOOKUP(Orders!C1868,Customers!$A$2:$F$301,3,FALSE()),"Not Found")</f>
        <v>28</v>
      </c>
      <c r="F1868" s="46" t="str">
        <f aca="false">IFERROR(VLOOKUP(Orders!E1868,Sales_Reps!$A$2:$E$31,3,FALSE()),"Not Found")</f>
        <v>East</v>
      </c>
      <c r="G1868" s="46" t="n">
        <f aca="false">IFERROR(VLOOKUP(Orders!D1868,Products!$A$2:$F$61,4,FALSE()),"")</f>
        <v>1219</v>
      </c>
      <c r="H1868" s="47" t="n">
        <f aca="false">IF(G1868="","",(Orders!G1868-G1868)/Orders!G1868)</f>
        <v>0.467685589519651</v>
      </c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</row>
    <row r="1869" customFormat="false" ht="15" hidden="false" customHeight="false" outlineLevel="0" collapsed="false">
      <c r="A1869" s="46" t="str">
        <f aca="false">Orders!A1869</f>
        <v>ORD-01868</v>
      </c>
      <c r="B1869" s="46" t="str">
        <f aca="false">PROPER(TRIM(Orders!K1869))</f>
        <v>Chennai</v>
      </c>
      <c r="C1869" s="46" t="str">
        <f aca="false">IFERROR(VLOOKUP(Orders!D1869,Products!$A$2:$F$61,3,FALSE()),"Not Found")</f>
        <v>Sports</v>
      </c>
      <c r="D1869" s="46" t="str">
        <f aca="false">IFERROR(VLOOKUP(Orders!C1869,Customers!$A$2:$F$301,5,FALSE()),"Not Found")</f>
        <v>Retail</v>
      </c>
      <c r="E1869" s="46" t="n">
        <f aca="false">IFERROR(VLOOKUP(Orders!C1869,Customers!$A$2:$F$301,3,FALSE()),"Not Found")</f>
        <v>60</v>
      </c>
      <c r="F1869" s="46" t="str">
        <f aca="false">IFERROR(VLOOKUP(Orders!E1869,Sales_Reps!$A$2:$E$31,3,FALSE()),"Not Found")</f>
        <v>South</v>
      </c>
      <c r="G1869" s="46" t="n">
        <f aca="false">IFERROR(VLOOKUP(Orders!D1869,Products!$A$2:$F$61,4,FALSE()),"")</f>
        <v>2827</v>
      </c>
      <c r="H1869" s="47" t="n">
        <f aca="false">IF(G1869="","",(Orders!G1869-G1869)/Orders!G1869)</f>
        <v>0.592651296829971</v>
      </c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46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</row>
    <row r="1870" customFormat="false" ht="15" hidden="false" customHeight="false" outlineLevel="0" collapsed="false">
      <c r="A1870" s="46" t="str">
        <f aca="false">Orders!A1870</f>
        <v>ORD-01869</v>
      </c>
      <c r="B1870" s="46" t="str">
        <f aca="false">PROPER(TRIM(Orders!K1870))</f>
        <v>Mumbai</v>
      </c>
      <c r="C1870" s="46" t="str">
        <f aca="false">IFERROR(VLOOKUP(Orders!D1870,Products!$A$2:$F$61,3,FALSE()),"Not Found")</f>
        <v>Home</v>
      </c>
      <c r="D1870" s="46" t="str">
        <f aca="false">IFERROR(VLOOKUP(Orders!C1870,Customers!$A$2:$F$301,5,FALSE()),"Not Found")</f>
        <v>Retail</v>
      </c>
      <c r="E1870" s="46" t="n">
        <f aca="false">IFERROR(VLOOKUP(Orders!C1870,Customers!$A$2:$F$301,3,FALSE()),"Not Found")</f>
        <v>61</v>
      </c>
      <c r="F1870" s="46" t="str">
        <f aca="false">IFERROR(VLOOKUP(Orders!E1870,Sales_Reps!$A$2:$E$31,3,FALSE()),"Not Found")</f>
        <v>South</v>
      </c>
      <c r="G1870" s="46" t="n">
        <f aca="false">IFERROR(VLOOKUP(Orders!D1870,Products!$A$2:$F$61,4,FALSE()),"")</f>
        <v>2135</v>
      </c>
      <c r="H1870" s="47" t="n">
        <f aca="false">IF(G1870="","",(Orders!G1870-G1870)/Orders!G1870)</f>
        <v>0.427613941018767</v>
      </c>
      <c r="I1870" s="46"/>
      <c r="J1870" s="46"/>
      <c r="K1870" s="46"/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</row>
    <row r="1871" customFormat="false" ht="15" hidden="false" customHeight="false" outlineLevel="0" collapsed="false">
      <c r="A1871" s="46" t="str">
        <f aca="false">Orders!A1871</f>
        <v>ORD-01870</v>
      </c>
      <c r="B1871" s="46" t="str">
        <f aca="false">PROPER(TRIM(Orders!K1871))</f>
        <v>Chennai</v>
      </c>
      <c r="C1871" s="46" t="str">
        <f aca="false">IFERROR(VLOOKUP(Orders!D1871,Products!$A$2:$F$61,3,FALSE()),"Not Found")</f>
        <v>Home</v>
      </c>
      <c r="D1871" s="46" t="str">
        <f aca="false">IFERROR(VLOOKUP(Orders!C1871,Customers!$A$2:$F$301,5,FALSE()),"Not Found")</f>
        <v>Retail</v>
      </c>
      <c r="E1871" s="46" t="n">
        <f aca="false">IFERROR(VLOOKUP(Orders!C1871,Customers!$A$2:$F$301,3,FALSE()),"Not Found")</f>
        <v>26</v>
      </c>
      <c r="F1871" s="46" t="str">
        <f aca="false">IFERROR(VLOOKUP(Orders!E1871,Sales_Reps!$A$2:$E$31,3,FALSE()),"Not Found")</f>
        <v>North</v>
      </c>
      <c r="G1871" s="46" t="n">
        <f aca="false">IFERROR(VLOOKUP(Orders!D1871,Products!$A$2:$F$61,4,FALSE()),"")</f>
        <v>2135</v>
      </c>
      <c r="H1871" s="47" t="n">
        <f aca="false">IF(G1871="","",(Orders!G1871-G1871)/Orders!G1871)</f>
        <v>0.427613941018767</v>
      </c>
      <c r="I1871" s="46"/>
      <c r="J1871" s="46"/>
      <c r="K1871" s="46"/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46"/>
      <c r="AE1871" s="46"/>
      <c r="AF1871" s="46"/>
      <c r="AG1871" s="46"/>
      <c r="AH1871" s="46"/>
      <c r="AI1871" s="46"/>
      <c r="AJ1871" s="46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</row>
    <row r="1872" customFormat="false" ht="15" hidden="false" customHeight="false" outlineLevel="0" collapsed="false">
      <c r="A1872" s="46" t="str">
        <f aca="false">Orders!A1872</f>
        <v>ORD-01871</v>
      </c>
      <c r="B1872" s="46" t="str">
        <f aca="false">PROPER(TRIM(Orders!K1872))</f>
        <v>Delhi</v>
      </c>
      <c r="C1872" s="46" t="str">
        <f aca="false">IFERROR(VLOOKUP(Orders!D1872,Products!$A$2:$F$61,3,FALSE()),"Not Found")</f>
        <v>Grocery</v>
      </c>
      <c r="D1872" s="46" t="str">
        <f aca="false">IFERROR(VLOOKUP(Orders!C1872,Customers!$A$2:$F$301,5,FALSE()),"Not Found")</f>
        <v>Retail</v>
      </c>
      <c r="E1872" s="46" t="n">
        <f aca="false">IFERROR(VLOOKUP(Orders!C1872,Customers!$A$2:$F$301,3,FALSE()),"Not Found")</f>
        <v>62</v>
      </c>
      <c r="F1872" s="46" t="str">
        <f aca="false">IFERROR(VLOOKUP(Orders!E1872,Sales_Reps!$A$2:$E$31,3,FALSE()),"Not Found")</f>
        <v>South</v>
      </c>
      <c r="G1872" s="46" t="n">
        <f aca="false">IFERROR(VLOOKUP(Orders!D1872,Products!$A$2:$F$61,4,FALSE()),"")</f>
        <v>1182</v>
      </c>
      <c r="H1872" s="47" t="n">
        <f aca="false">IF(G1872="","",(Orders!G1872-G1872)/Orders!G1872)</f>
        <v>0.503361344537815</v>
      </c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</row>
    <row r="1873" customFormat="false" ht="15" hidden="false" customHeight="false" outlineLevel="0" collapsed="false">
      <c r="A1873" s="46" t="str">
        <f aca="false">Orders!A1873</f>
        <v>ORD-01872</v>
      </c>
      <c r="B1873" s="46" t="str">
        <f aca="false">PROPER(TRIM(Orders!K1873))</f>
        <v>Mumbai</v>
      </c>
      <c r="C1873" s="46" t="str">
        <f aca="false">IFERROR(VLOOKUP(Orders!D1873,Products!$A$2:$F$61,3,FALSE()),"Not Found")</f>
        <v>Home</v>
      </c>
      <c r="D1873" s="46" t="str">
        <f aca="false">IFERROR(VLOOKUP(Orders!C1873,Customers!$A$2:$F$301,5,FALSE()),"Not Found")</f>
        <v>Retail</v>
      </c>
      <c r="E1873" s="46" t="n">
        <f aca="false">IFERROR(VLOOKUP(Orders!C1873,Customers!$A$2:$F$301,3,FALSE()),"Not Found")</f>
        <v>44</v>
      </c>
      <c r="F1873" s="46" t="str">
        <f aca="false">IFERROR(VLOOKUP(Orders!E1873,Sales_Reps!$A$2:$E$31,3,FALSE()),"Not Found")</f>
        <v>North</v>
      </c>
      <c r="G1873" s="46" t="n">
        <f aca="false">IFERROR(VLOOKUP(Orders!D1873,Products!$A$2:$F$61,4,FALSE()),"")</f>
        <v>519</v>
      </c>
      <c r="H1873" s="47" t="n">
        <f aca="false">IF(G1873="","",(Orders!G1873-G1873)/Orders!G1873)</f>
        <v>0.519444444444445</v>
      </c>
      <c r="I1873" s="46"/>
      <c r="J1873" s="46"/>
      <c r="K1873" s="46"/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  <c r="AA1873" s="46"/>
      <c r="AB1873" s="46"/>
      <c r="AC1873" s="46"/>
      <c r="AD1873" s="46"/>
      <c r="AE1873" s="46"/>
      <c r="AF1873" s="46"/>
      <c r="AG1873" s="46"/>
      <c r="AH1873" s="46"/>
      <c r="AI1873" s="46"/>
      <c r="AJ1873" s="46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</row>
    <row r="1874" customFormat="false" ht="15" hidden="false" customHeight="false" outlineLevel="0" collapsed="false">
      <c r="A1874" s="46" t="str">
        <f aca="false">Orders!A1874</f>
        <v>ORD-01712</v>
      </c>
      <c r="B1874" s="46" t="str">
        <f aca="false">PROPER(TRIM(Orders!K1874))</f>
        <v>Hyderabad</v>
      </c>
      <c r="C1874" s="46" t="str">
        <f aca="false">IFERROR(VLOOKUP(Orders!D1874,Products!$A$2:$F$61,3,FALSE()),"Not Found")</f>
        <v>Sports</v>
      </c>
      <c r="D1874" s="46" t="str">
        <f aca="false">IFERROR(VLOOKUP(Orders!C1874,Customers!$A$2:$F$301,5,FALSE()),"Not Found")</f>
        <v>Retail</v>
      </c>
      <c r="E1874" s="46" t="n">
        <f aca="false">IFERROR(VLOOKUP(Orders!C1874,Customers!$A$2:$F$301,3,FALSE()),"Not Found")</f>
        <v>22</v>
      </c>
      <c r="F1874" s="46" t="str">
        <f aca="false">IFERROR(VLOOKUP(Orders!E1874,Sales_Reps!$A$2:$E$31,3,FALSE()),"Not Found")</f>
        <v>South</v>
      </c>
      <c r="G1874" s="46" t="n">
        <f aca="false">IFERROR(VLOOKUP(Orders!D1874,Products!$A$2:$F$61,4,FALSE()),"")</f>
        <v>302</v>
      </c>
      <c r="H1874" s="47" t="n">
        <f aca="false">IF(G1874="","",(Orders!G1874-G1874)/Orders!G1874)</f>
        <v>0.357446808510638</v>
      </c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</row>
    <row r="1875" customFormat="false" ht="15" hidden="false" customHeight="false" outlineLevel="0" collapsed="false">
      <c r="A1875" s="46" t="str">
        <f aca="false">Orders!A1875</f>
        <v>ORD-01874</v>
      </c>
      <c r="B1875" s="46" t="str">
        <f aca="false">PROPER(TRIM(Orders!K1875))</f>
        <v>Pune</v>
      </c>
      <c r="C1875" s="46" t="str">
        <f aca="false">IFERROR(VLOOKUP(Orders!D1875,Products!$A$2:$F$61,3,FALSE()),"Not Found")</f>
        <v>Home</v>
      </c>
      <c r="D1875" s="46" t="str">
        <f aca="false">IFERROR(VLOOKUP(Orders!C1875,Customers!$A$2:$F$301,5,FALSE()),"Not Found")</f>
        <v>Retail</v>
      </c>
      <c r="E1875" s="46" t="n">
        <f aca="false">IFERROR(VLOOKUP(Orders!C1875,Customers!$A$2:$F$301,3,FALSE()),"Not Found")</f>
        <v>54</v>
      </c>
      <c r="F1875" s="46" t="str">
        <f aca="false">IFERROR(VLOOKUP(Orders!E1875,Sales_Reps!$A$2:$E$31,3,FALSE()),"Not Found")</f>
        <v>West</v>
      </c>
      <c r="G1875" s="46" t="n">
        <f aca="false">IFERROR(VLOOKUP(Orders!D1875,Products!$A$2:$F$61,4,FALSE()),"")</f>
        <v>288</v>
      </c>
      <c r="H1875" s="47" t="n">
        <f aca="false">IF(G1875="","",(Orders!G1875-G1875)/Orders!G1875)</f>
        <v>0.221621621621622</v>
      </c>
      <c r="I1875" s="46"/>
      <c r="J1875" s="46"/>
      <c r="K1875" s="46"/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</row>
    <row r="1876" customFormat="false" ht="15" hidden="false" customHeight="false" outlineLevel="0" collapsed="false">
      <c r="A1876" s="46" t="str">
        <f aca="false">Orders!A1876</f>
        <v>ORD-01875</v>
      </c>
      <c r="B1876" s="46" t="str">
        <f aca="false">PROPER(TRIM(Orders!K1876))</f>
        <v>Mumbai</v>
      </c>
      <c r="C1876" s="46" t="str">
        <f aca="false">IFERROR(VLOOKUP(Orders!D1876,Products!$A$2:$F$61,3,FALSE()),"Not Found")</f>
        <v>Apparel</v>
      </c>
      <c r="D1876" s="46" t="str">
        <f aca="false">IFERROR(VLOOKUP(Orders!C1876,Customers!$A$2:$F$301,5,FALSE()),"Not Found")</f>
        <v>SMB</v>
      </c>
      <c r="E1876" s="46" t="n">
        <f aca="false">IFERROR(VLOOKUP(Orders!C1876,Customers!$A$2:$F$301,3,FALSE()),"Not Found")</f>
        <v>65</v>
      </c>
      <c r="F1876" s="46" t="str">
        <f aca="false">IFERROR(VLOOKUP(Orders!E1876,Sales_Reps!$A$2:$E$31,3,FALSE()),"Not Found")</f>
        <v>North</v>
      </c>
      <c r="G1876" s="46" t="n">
        <f aca="false">IFERROR(VLOOKUP(Orders!D1876,Products!$A$2:$F$61,4,FALSE()),"")</f>
        <v>1886</v>
      </c>
      <c r="H1876" s="47" t="n">
        <f aca="false">IF(G1876="","",(Orders!G1876-G1876)/Orders!G1876)</f>
        <v>0.403164556962025</v>
      </c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</row>
    <row r="1877" customFormat="false" ht="15" hidden="false" customHeight="false" outlineLevel="0" collapsed="false">
      <c r="A1877" s="46" t="str">
        <f aca="false">Orders!A1877</f>
        <v>ORD-01876</v>
      </c>
      <c r="B1877" s="46" t="str">
        <f aca="false">PROPER(TRIM(Orders!K1877))</f>
        <v>Bengaluru</v>
      </c>
      <c r="C1877" s="46" t="str">
        <f aca="false">IFERROR(VLOOKUP(Orders!D1877,Products!$A$2:$F$61,3,FALSE()),"Not Found")</f>
        <v>Apparel</v>
      </c>
      <c r="D1877" s="46" t="str">
        <f aca="false">IFERROR(VLOOKUP(Orders!C1877,Customers!$A$2:$F$301,5,FALSE()),"Not Found")</f>
        <v>Retail</v>
      </c>
      <c r="E1877" s="46" t="n">
        <f aca="false">IFERROR(VLOOKUP(Orders!C1877,Customers!$A$2:$F$301,3,FALSE()),"Not Found")</f>
        <v>59</v>
      </c>
      <c r="F1877" s="46" t="str">
        <f aca="false">IFERROR(VLOOKUP(Orders!E1877,Sales_Reps!$A$2:$E$31,3,FALSE()),"Not Found")</f>
        <v>West</v>
      </c>
      <c r="G1877" s="46" t="n">
        <f aca="false">IFERROR(VLOOKUP(Orders!D1877,Products!$A$2:$F$61,4,FALSE()),"")</f>
        <v>2629</v>
      </c>
      <c r="H1877" s="47" t="n">
        <f aca="false">IF(G1877="","",(Orders!G1877-G1877)/Orders!G1877)</f>
        <v>0.261516853932584</v>
      </c>
      <c r="I1877" s="46"/>
      <c r="J1877" s="46"/>
      <c r="K1877" s="46"/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46"/>
      <c r="AE1877" s="46"/>
      <c r="AF1877" s="46"/>
      <c r="AG1877" s="46"/>
      <c r="AH1877" s="46"/>
      <c r="AI1877" s="46"/>
      <c r="AJ1877" s="46"/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</row>
    <row r="1878" customFormat="false" ht="15" hidden="false" customHeight="false" outlineLevel="0" collapsed="false">
      <c r="A1878" s="46" t="str">
        <f aca="false">Orders!A1878</f>
        <v>ORD-01877</v>
      </c>
      <c r="B1878" s="46" t="str">
        <f aca="false">PROPER(TRIM(Orders!K1878))</f>
        <v>Chennai</v>
      </c>
      <c r="C1878" s="46" t="str">
        <f aca="false">IFERROR(VLOOKUP(Orders!D1878,Products!$A$2:$F$61,3,FALSE()),"Not Found")</f>
        <v>Home</v>
      </c>
      <c r="D1878" s="46" t="str">
        <f aca="false">IFERROR(VLOOKUP(Orders!C1878,Customers!$A$2:$F$301,5,FALSE()),"Not Found")</f>
        <v>SMB</v>
      </c>
      <c r="E1878" s="46" t="n">
        <f aca="false">IFERROR(VLOOKUP(Orders!C1878,Customers!$A$2:$F$301,3,FALSE()),"Not Found")</f>
        <v>64</v>
      </c>
      <c r="F1878" s="46" t="str">
        <f aca="false">IFERROR(VLOOKUP(Orders!E1878,Sales_Reps!$A$2:$E$31,3,FALSE()),"Not Found")</f>
        <v>East</v>
      </c>
      <c r="G1878" s="46" t="n">
        <f aca="false">IFERROR(VLOOKUP(Orders!D1878,Products!$A$2:$F$61,4,FALSE()),"")</f>
        <v>1143</v>
      </c>
      <c r="H1878" s="47" t="n">
        <f aca="false">IF(G1878="","",(Orders!G1878-G1878)/Orders!G1878)</f>
        <v>0.436945812807882</v>
      </c>
      <c r="I1878" s="46"/>
      <c r="J1878" s="46"/>
      <c r="K1878" s="46"/>
      <c r="L1878" s="46"/>
      <c r="M1878" s="46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</row>
    <row r="1879" customFormat="false" ht="15" hidden="false" customHeight="false" outlineLevel="0" collapsed="false">
      <c r="A1879" s="46" t="str">
        <f aca="false">Orders!A1879</f>
        <v>ORD-01878</v>
      </c>
      <c r="B1879" s="46" t="str">
        <f aca="false">PROPER(TRIM(Orders!K1879))</f>
        <v>Chennai</v>
      </c>
      <c r="C1879" s="46" t="str">
        <f aca="false">IFERROR(VLOOKUP(Orders!D1879,Products!$A$2:$F$61,3,FALSE()),"Not Found")</f>
        <v>Electronics</v>
      </c>
      <c r="D1879" s="46" t="str">
        <f aca="false">IFERROR(VLOOKUP(Orders!C1879,Customers!$A$2:$F$301,5,FALSE()),"Not Found")</f>
        <v>Corporate</v>
      </c>
      <c r="E1879" s="46" t="n">
        <f aca="false">IFERROR(VLOOKUP(Orders!C1879,Customers!$A$2:$F$301,3,FALSE()),"Not Found")</f>
        <v>35</v>
      </c>
      <c r="F1879" s="46" t="str">
        <f aca="false">IFERROR(VLOOKUP(Orders!E1879,Sales_Reps!$A$2:$E$31,3,FALSE()),"Not Found")</f>
        <v>East</v>
      </c>
      <c r="G1879" s="46" t="n">
        <f aca="false">IFERROR(VLOOKUP(Orders!D1879,Products!$A$2:$F$61,4,FALSE()),"")</f>
        <v>1149</v>
      </c>
      <c r="H1879" s="47" t="n">
        <f aca="false">IF(G1879="","",(Orders!G1879-G1879)/Orders!G1879)</f>
        <v>0.564772727272727</v>
      </c>
      <c r="I1879" s="46"/>
      <c r="J1879" s="46"/>
      <c r="K1879" s="46"/>
      <c r="L1879" s="46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46"/>
      <c r="AE1879" s="46"/>
      <c r="AF1879" s="46"/>
      <c r="AG1879" s="46"/>
      <c r="AH1879" s="46"/>
      <c r="AI1879" s="46"/>
      <c r="AJ1879" s="46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</row>
    <row r="1880" customFormat="false" ht="15" hidden="false" customHeight="false" outlineLevel="0" collapsed="false">
      <c r="A1880" s="46" t="str">
        <f aca="false">Orders!A1880</f>
        <v>ORD-01879</v>
      </c>
      <c r="B1880" s="46" t="str">
        <f aca="false">PROPER(TRIM(Orders!K1880))</f>
        <v>Chennai</v>
      </c>
      <c r="C1880" s="46" t="str">
        <f aca="false">IFERROR(VLOOKUP(Orders!D1880,Products!$A$2:$F$61,3,FALSE()),"Not Found")</f>
        <v>Grocery</v>
      </c>
      <c r="D1880" s="46" t="str">
        <f aca="false">IFERROR(VLOOKUP(Orders!C1880,Customers!$A$2:$F$301,5,FALSE()),"Not Found")</f>
        <v>Retail</v>
      </c>
      <c r="E1880" s="46" t="n">
        <f aca="false">IFERROR(VLOOKUP(Orders!C1880,Customers!$A$2:$F$301,3,FALSE()),"Not Found")</f>
        <v>37</v>
      </c>
      <c r="F1880" s="46" t="str">
        <f aca="false">IFERROR(VLOOKUP(Orders!E1880,Sales_Reps!$A$2:$E$31,3,FALSE()),"Not Found")</f>
        <v>North</v>
      </c>
      <c r="G1880" s="46" t="n">
        <f aca="false">IFERROR(VLOOKUP(Orders!D1880,Products!$A$2:$F$61,4,FALSE()),"")</f>
        <v>1412</v>
      </c>
      <c r="H1880" s="47" t="n">
        <f aca="false">IF(G1880="","",(Orders!G1880-G1880)/Orders!G1880)</f>
        <v>0.377973568281938</v>
      </c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</row>
    <row r="1881" customFormat="false" ht="15" hidden="false" customHeight="false" outlineLevel="0" collapsed="false">
      <c r="A1881" s="46" t="str">
        <f aca="false">Orders!A1881</f>
        <v>ORD-01880</v>
      </c>
      <c r="B1881" s="46" t="str">
        <f aca="false">PROPER(TRIM(Orders!K1881))</f>
        <v>Mumbai</v>
      </c>
      <c r="C1881" s="46" t="str">
        <f aca="false">IFERROR(VLOOKUP(Orders!D1881,Products!$A$2:$F$61,3,FALSE()),"Not Found")</f>
        <v>Home</v>
      </c>
      <c r="D1881" s="46" t="str">
        <f aca="false">IFERROR(VLOOKUP(Orders!C1881,Customers!$A$2:$F$301,5,FALSE()),"Not Found")</f>
        <v>Retail</v>
      </c>
      <c r="E1881" s="46" t="n">
        <f aca="false">IFERROR(VLOOKUP(Orders!C1881,Customers!$A$2:$F$301,3,FALSE()),"Not Found")</f>
        <v>44</v>
      </c>
      <c r="F1881" s="46" t="str">
        <f aca="false">IFERROR(VLOOKUP(Orders!E1881,Sales_Reps!$A$2:$E$31,3,FALSE()),"Not Found")</f>
        <v>North</v>
      </c>
      <c r="G1881" s="46" t="n">
        <f aca="false">IFERROR(VLOOKUP(Orders!D1881,Products!$A$2:$F$61,4,FALSE()),"")</f>
        <v>288</v>
      </c>
      <c r="H1881" s="47" t="n">
        <f aca="false">IF(G1881="","",(Orders!G1881-G1881)/Orders!G1881)</f>
        <v>0.221621621621622</v>
      </c>
      <c r="I1881" s="46"/>
      <c r="J1881" s="46"/>
      <c r="K1881" s="46"/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</row>
    <row r="1882" customFormat="false" ht="15" hidden="false" customHeight="false" outlineLevel="0" collapsed="false">
      <c r="A1882" s="46" t="str">
        <f aca="false">Orders!A1882</f>
        <v>ORD-01881</v>
      </c>
      <c r="B1882" s="46" t="str">
        <f aca="false">PROPER(TRIM(Orders!K1882))</f>
        <v>Chennai</v>
      </c>
      <c r="C1882" s="46" t="str">
        <f aca="false">IFERROR(VLOOKUP(Orders!D1882,Products!$A$2:$F$61,3,FALSE()),"Not Found")</f>
        <v>Beauty</v>
      </c>
      <c r="D1882" s="46" t="str">
        <f aca="false">IFERROR(VLOOKUP(Orders!C1882,Customers!$A$2:$F$301,5,FALSE()),"Not Found")</f>
        <v>SMB</v>
      </c>
      <c r="E1882" s="46" t="n">
        <f aca="false">IFERROR(VLOOKUP(Orders!C1882,Customers!$A$2:$F$301,3,FALSE()),"Not Found")</f>
        <v>55</v>
      </c>
      <c r="F1882" s="46" t="str">
        <f aca="false">IFERROR(VLOOKUP(Orders!E1882,Sales_Reps!$A$2:$E$31,3,FALSE()),"Not Found")</f>
        <v>East</v>
      </c>
      <c r="G1882" s="46" t="n">
        <f aca="false">IFERROR(VLOOKUP(Orders!D1882,Products!$A$2:$F$61,4,FALSE()),"")</f>
        <v>2237</v>
      </c>
      <c r="H1882" s="47" t="n">
        <f aca="false">IF(G1882="","",(Orders!G1882-G1882)/Orders!G1882)</f>
        <v>0.561372549019608</v>
      </c>
      <c r="I1882" s="46"/>
      <c r="J1882" s="46"/>
      <c r="K1882" s="46"/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</row>
    <row r="1883" customFormat="false" ht="15" hidden="false" customHeight="false" outlineLevel="0" collapsed="false">
      <c r="A1883" s="46" t="str">
        <f aca="false">Orders!A1883</f>
        <v>ORD-01882</v>
      </c>
      <c r="B1883" s="46" t="str">
        <f aca="false">PROPER(TRIM(Orders!K1883))</f>
        <v>Hyderabad</v>
      </c>
      <c r="C1883" s="46" t="str">
        <f aca="false">IFERROR(VLOOKUP(Orders!D1883,Products!$A$2:$F$61,3,FALSE()),"Not Found")</f>
        <v>Home</v>
      </c>
      <c r="D1883" s="46" t="str">
        <f aca="false">IFERROR(VLOOKUP(Orders!C1883,Customers!$A$2:$F$301,5,FALSE()),"Not Found")</f>
        <v>Retail</v>
      </c>
      <c r="E1883" s="46" t="n">
        <f aca="false">IFERROR(VLOOKUP(Orders!C1883,Customers!$A$2:$F$301,3,FALSE()),"Not Found")</f>
        <v>22</v>
      </c>
      <c r="F1883" s="46" t="str">
        <f aca="false">IFERROR(VLOOKUP(Orders!E1883,Sales_Reps!$A$2:$E$31,3,FALSE()),"Not Found")</f>
        <v>East</v>
      </c>
      <c r="G1883" s="46" t="n">
        <f aca="false">IFERROR(VLOOKUP(Orders!D1883,Products!$A$2:$F$61,4,FALSE()),"")</f>
        <v>288</v>
      </c>
      <c r="H1883" s="47" t="n">
        <f aca="false">IF(G1883="","",(Orders!G1883-G1883)/Orders!G1883)</f>
        <v>0.221621621621622</v>
      </c>
      <c r="I1883" s="46"/>
      <c r="J1883" s="46"/>
      <c r="K1883" s="46"/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</row>
    <row r="1884" customFormat="false" ht="15" hidden="false" customHeight="false" outlineLevel="0" collapsed="false">
      <c r="A1884" s="46" t="str">
        <f aca="false">Orders!A1884</f>
        <v>ORD-01883</v>
      </c>
      <c r="B1884" s="46" t="str">
        <f aca="false">PROPER(TRIM(Orders!K1884))</f>
        <v>Pune</v>
      </c>
      <c r="C1884" s="46" t="str">
        <f aca="false">IFERROR(VLOOKUP(Orders!D1884,Products!$A$2:$F$61,3,FALSE()),"Not Found")</f>
        <v>Grocery</v>
      </c>
      <c r="D1884" s="46" t="str">
        <f aca="false">IFERROR(VLOOKUP(Orders!C1884,Customers!$A$2:$F$301,5,FALSE()),"Not Found")</f>
        <v>SMB</v>
      </c>
      <c r="E1884" s="46" t="n">
        <f aca="false">IFERROR(VLOOKUP(Orders!C1884,Customers!$A$2:$F$301,3,FALSE()),"Not Found")</f>
        <v>24</v>
      </c>
      <c r="F1884" s="46" t="str">
        <f aca="false">IFERROR(VLOOKUP(Orders!E1884,Sales_Reps!$A$2:$E$31,3,FALSE()),"Not Found")</f>
        <v>North</v>
      </c>
      <c r="G1884" s="46" t="n">
        <f aca="false">IFERROR(VLOOKUP(Orders!D1884,Products!$A$2:$F$61,4,FALSE()),"")</f>
        <v>434</v>
      </c>
      <c r="H1884" s="47" t="n">
        <f aca="false">IF(G1884="","",(Orders!G1884-G1884)/Orders!G1884)</f>
        <v>0.552577319587629</v>
      </c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</row>
    <row r="1885" customFormat="false" ht="15" hidden="false" customHeight="false" outlineLevel="0" collapsed="false">
      <c r="A1885" s="46" t="str">
        <f aca="false">Orders!A1885</f>
        <v>ORD-01884</v>
      </c>
      <c r="B1885" s="46" t="str">
        <f aca="false">PROPER(TRIM(Orders!K1885))</f>
        <v>Delhi</v>
      </c>
      <c r="C1885" s="46" t="str">
        <f aca="false">IFERROR(VLOOKUP(Orders!D1885,Products!$A$2:$F$61,3,FALSE()),"Not Found")</f>
        <v>Grocery</v>
      </c>
      <c r="D1885" s="46" t="str">
        <f aca="false">IFERROR(VLOOKUP(Orders!C1885,Customers!$A$2:$F$301,5,FALSE()),"Not Found")</f>
        <v>Not Found</v>
      </c>
      <c r="E1885" s="46" t="str">
        <f aca="false">IFERROR(VLOOKUP(Orders!C1885,Customers!$A$2:$F$301,3,FALSE()),"Not Found")</f>
        <v>Not Found</v>
      </c>
      <c r="F1885" s="46" t="str">
        <f aca="false">IFERROR(VLOOKUP(Orders!E1885,Sales_Reps!$A$2:$E$31,3,FALSE()),"Not Found")</f>
        <v>West</v>
      </c>
      <c r="G1885" s="46" t="n">
        <f aca="false">IFERROR(VLOOKUP(Orders!D1885,Products!$A$2:$F$61,4,FALSE()),"")</f>
        <v>1010</v>
      </c>
      <c r="H1885" s="47" t="n">
        <f aca="false">IF(G1885="","",(Orders!G1885-G1885)/Orders!G1885)</f>
        <v>0.542986425339367</v>
      </c>
      <c r="I1885" s="46"/>
      <c r="J1885" s="46"/>
      <c r="K1885" s="46"/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46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</row>
    <row r="1886" customFormat="false" ht="15" hidden="false" customHeight="false" outlineLevel="0" collapsed="false">
      <c r="A1886" s="46" t="str">
        <f aca="false">Orders!A1886</f>
        <v>ORD-01885</v>
      </c>
      <c r="B1886" s="46" t="str">
        <f aca="false">PROPER(TRIM(Orders!K1886))</f>
        <v>Delhi</v>
      </c>
      <c r="C1886" s="46" t="str">
        <f aca="false">IFERROR(VLOOKUP(Orders!D1886,Products!$A$2:$F$61,3,FALSE()),"Not Found")</f>
        <v>Beauty</v>
      </c>
      <c r="D1886" s="46" t="str">
        <f aca="false">IFERROR(VLOOKUP(Orders!C1886,Customers!$A$2:$F$301,5,FALSE()),"Not Found")</f>
        <v>Corporate</v>
      </c>
      <c r="E1886" s="46" t="n">
        <f aca="false">IFERROR(VLOOKUP(Orders!C1886,Customers!$A$2:$F$301,3,FALSE()),"Not Found")</f>
        <v>27</v>
      </c>
      <c r="F1886" s="46" t="str">
        <f aca="false">IFERROR(VLOOKUP(Orders!E1886,Sales_Reps!$A$2:$E$31,3,FALSE()),"Not Found")</f>
        <v>North</v>
      </c>
      <c r="G1886" s="46" t="n">
        <f aca="false">IFERROR(VLOOKUP(Orders!D1886,Products!$A$2:$F$61,4,FALSE()),"")</f>
        <v>1222</v>
      </c>
      <c r="H1886" s="47" t="n">
        <f aca="false">IF(G1886="","",(Orders!G1886-G1886)/Orders!G1886)</f>
        <v>0.259393939393939</v>
      </c>
      <c r="I1886" s="46"/>
      <c r="J1886" s="46"/>
      <c r="K1886" s="46"/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</row>
    <row r="1887" customFormat="false" ht="15" hidden="false" customHeight="false" outlineLevel="0" collapsed="false">
      <c r="A1887" s="46" t="str">
        <f aca="false">Orders!A1887</f>
        <v>ORD-01886</v>
      </c>
      <c r="B1887" s="46" t="str">
        <f aca="false">PROPER(TRIM(Orders!K1887))</f>
        <v>Pune</v>
      </c>
      <c r="C1887" s="46" t="str">
        <f aca="false">IFERROR(VLOOKUP(Orders!D1887,Products!$A$2:$F$61,3,FALSE()),"Not Found")</f>
        <v>Sports</v>
      </c>
      <c r="D1887" s="46" t="str">
        <f aca="false">IFERROR(VLOOKUP(Orders!C1887,Customers!$A$2:$F$301,5,FALSE()),"Not Found")</f>
        <v>Retail</v>
      </c>
      <c r="E1887" s="46" t="n">
        <f aca="false">IFERROR(VLOOKUP(Orders!C1887,Customers!$A$2:$F$301,3,FALSE()),"Not Found")</f>
        <v>65</v>
      </c>
      <c r="F1887" s="46" t="str">
        <f aca="false">IFERROR(VLOOKUP(Orders!E1887,Sales_Reps!$A$2:$E$31,3,FALSE()),"Not Found")</f>
        <v>North</v>
      </c>
      <c r="G1887" s="46" t="n">
        <f aca="false">IFERROR(VLOOKUP(Orders!D1887,Products!$A$2:$F$61,4,FALSE()),"")</f>
        <v>2827</v>
      </c>
      <c r="H1887" s="47" t="n">
        <f aca="false">IF(G1887="","",(Orders!G1887-G1887)/Orders!G1887)</f>
        <v>0.592651296829971</v>
      </c>
      <c r="I1887" s="46"/>
      <c r="J1887" s="46"/>
      <c r="K1887" s="46"/>
      <c r="L1887" s="46"/>
      <c r="M1887" s="46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</row>
    <row r="1888" customFormat="false" ht="15" hidden="false" customHeight="false" outlineLevel="0" collapsed="false">
      <c r="A1888" s="46" t="str">
        <f aca="false">Orders!A1888</f>
        <v>ORD-01887</v>
      </c>
      <c r="B1888" s="46" t="str">
        <f aca="false">PROPER(TRIM(Orders!K1888))</f>
        <v>Pune</v>
      </c>
      <c r="C1888" s="46" t="str">
        <f aca="false">IFERROR(VLOOKUP(Orders!D1888,Products!$A$2:$F$61,3,FALSE()),"Not Found")</f>
        <v>Grocery</v>
      </c>
      <c r="D1888" s="46" t="str">
        <f aca="false">IFERROR(VLOOKUP(Orders!C1888,Customers!$A$2:$F$301,5,FALSE()),"Not Found")</f>
        <v>Corporate</v>
      </c>
      <c r="E1888" s="46" t="n">
        <f aca="false">IFERROR(VLOOKUP(Orders!C1888,Customers!$A$2:$F$301,3,FALSE()),"Not Found")</f>
        <v>29</v>
      </c>
      <c r="F1888" s="46" t="str">
        <f aca="false">IFERROR(VLOOKUP(Orders!E1888,Sales_Reps!$A$2:$E$31,3,FALSE()),"Not Found")</f>
        <v>East</v>
      </c>
      <c r="G1888" s="46" t="n">
        <f aca="false">IFERROR(VLOOKUP(Orders!D1888,Products!$A$2:$F$61,4,FALSE()),"")</f>
        <v>1010</v>
      </c>
      <c r="H1888" s="47" t="n">
        <f aca="false">IF(G1888="","",(Orders!G1888-G1888)/Orders!G1888)</f>
        <v>0.542986425339367</v>
      </c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</row>
    <row r="1889" customFormat="false" ht="15" hidden="false" customHeight="false" outlineLevel="0" collapsed="false">
      <c r="A1889" s="46" t="str">
        <f aca="false">Orders!A1889</f>
        <v>ORD-01888</v>
      </c>
      <c r="B1889" s="46" t="str">
        <f aca="false">PROPER(TRIM(Orders!K1889))</f>
        <v>Pune</v>
      </c>
      <c r="C1889" s="46" t="str">
        <f aca="false">IFERROR(VLOOKUP(Orders!D1889,Products!$A$2:$F$61,3,FALSE()),"Not Found")</f>
        <v>Electronics</v>
      </c>
      <c r="D1889" s="46" t="str">
        <f aca="false">IFERROR(VLOOKUP(Orders!C1889,Customers!$A$2:$F$301,5,FALSE()),"Not Found")</f>
        <v>SMB</v>
      </c>
      <c r="E1889" s="46" t="n">
        <f aca="false">IFERROR(VLOOKUP(Orders!C1889,Customers!$A$2:$F$301,3,FALSE()),"Not Found")</f>
        <v>60</v>
      </c>
      <c r="F1889" s="46" t="str">
        <f aca="false">IFERROR(VLOOKUP(Orders!E1889,Sales_Reps!$A$2:$E$31,3,FALSE()),"Not Found")</f>
        <v>South</v>
      </c>
      <c r="G1889" s="46" t="n">
        <f aca="false">IFERROR(VLOOKUP(Orders!D1889,Products!$A$2:$F$61,4,FALSE()),"")</f>
        <v>1052</v>
      </c>
      <c r="H1889" s="47" t="n">
        <f aca="false">IF(G1889="","",(Orders!G1889-G1889)/Orders!G1889)</f>
        <v>0.595384615384615</v>
      </c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  <c r="AB1889" s="46"/>
      <c r="AC1889" s="46"/>
      <c r="AD1889" s="46"/>
      <c r="AE1889" s="46"/>
      <c r="AF1889" s="46"/>
      <c r="AG1889" s="46"/>
      <c r="AH1889" s="46"/>
      <c r="AI1889" s="46"/>
      <c r="AJ1889" s="46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</row>
    <row r="1890" customFormat="false" ht="15" hidden="false" customHeight="false" outlineLevel="0" collapsed="false">
      <c r="A1890" s="46" t="str">
        <f aca="false">Orders!A1890</f>
        <v>ORD-01889</v>
      </c>
      <c r="B1890" s="46" t="str">
        <f aca="false">PROPER(TRIM(Orders!K1890))</f>
        <v>Bengaluru</v>
      </c>
      <c r="C1890" s="46" t="str">
        <f aca="false">IFERROR(VLOOKUP(Orders!D1890,Products!$A$2:$F$61,3,FALSE()),"Not Found")</f>
        <v>Sports</v>
      </c>
      <c r="D1890" s="46" t="str">
        <f aca="false">IFERROR(VLOOKUP(Orders!C1890,Customers!$A$2:$F$301,5,FALSE()),"Not Found")</f>
        <v>Retail</v>
      </c>
      <c r="E1890" s="46" t="n">
        <f aca="false">IFERROR(VLOOKUP(Orders!C1890,Customers!$A$2:$F$301,3,FALSE()),"Not Found")</f>
        <v>35</v>
      </c>
      <c r="F1890" s="46" t="str">
        <f aca="false">IFERROR(VLOOKUP(Orders!E1890,Sales_Reps!$A$2:$E$31,3,FALSE()),"Not Found")</f>
        <v>North</v>
      </c>
      <c r="G1890" s="46" t="n">
        <f aca="false">IFERROR(VLOOKUP(Orders!D1890,Products!$A$2:$F$61,4,FALSE()),"")</f>
        <v>1860</v>
      </c>
      <c r="H1890" s="47" t="n">
        <f aca="false">IF(G1890="","",(Orders!G1890-G1890)/Orders!G1890)</f>
        <v>0.507936507936508</v>
      </c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</row>
    <row r="1891" customFormat="false" ht="15" hidden="false" customHeight="false" outlineLevel="0" collapsed="false">
      <c r="A1891" s="46" t="str">
        <f aca="false">Orders!A1891</f>
        <v>ORD-01890</v>
      </c>
      <c r="B1891" s="46" t="str">
        <f aca="false">PROPER(TRIM(Orders!K1891))</f>
        <v>Bengaluru</v>
      </c>
      <c r="C1891" s="46" t="str">
        <f aca="false">IFERROR(VLOOKUP(Orders!D1891,Products!$A$2:$F$61,3,FALSE()),"Not Found")</f>
        <v>Sports</v>
      </c>
      <c r="D1891" s="46" t="str">
        <f aca="false">IFERROR(VLOOKUP(Orders!C1891,Customers!$A$2:$F$301,5,FALSE()),"Not Found")</f>
        <v>Corporate</v>
      </c>
      <c r="E1891" s="46" t="n">
        <f aca="false">IFERROR(VLOOKUP(Orders!C1891,Customers!$A$2:$F$301,3,FALSE()),"Not Found")</f>
        <v>55</v>
      </c>
      <c r="F1891" s="46" t="str">
        <f aca="false">IFERROR(VLOOKUP(Orders!E1891,Sales_Reps!$A$2:$E$31,3,FALSE()),"Not Found")</f>
        <v>South</v>
      </c>
      <c r="G1891" s="46" t="n">
        <f aca="false">IFERROR(VLOOKUP(Orders!D1891,Products!$A$2:$F$61,4,FALSE()),"")</f>
        <v>974</v>
      </c>
      <c r="H1891" s="47" t="n">
        <f aca="false">IF(G1891="","",(Orders!G1891-G1891)/Orders!G1891)</f>
        <v>0.594166666666667</v>
      </c>
      <c r="I1891" s="46"/>
      <c r="J1891" s="46"/>
      <c r="K1891" s="46"/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  <c r="AA1891" s="46"/>
      <c r="AB1891" s="46"/>
      <c r="AC1891" s="46"/>
      <c r="AD1891" s="46"/>
      <c r="AE1891" s="46"/>
      <c r="AF1891" s="46"/>
      <c r="AG1891" s="46"/>
      <c r="AH1891" s="46"/>
      <c r="AI1891" s="46"/>
      <c r="AJ1891" s="46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</row>
    <row r="1892" customFormat="false" ht="15" hidden="false" customHeight="false" outlineLevel="0" collapsed="false">
      <c r="A1892" s="46" t="str">
        <f aca="false">Orders!A1892</f>
        <v>ORD-01891</v>
      </c>
      <c r="B1892" s="46" t="str">
        <f aca="false">PROPER(TRIM(Orders!K1892))</f>
        <v>Pune</v>
      </c>
      <c r="C1892" s="46" t="str">
        <f aca="false">IFERROR(VLOOKUP(Orders!D1892,Products!$A$2:$F$61,3,FALSE()),"Not Found")</f>
        <v>Electronics</v>
      </c>
      <c r="D1892" s="46" t="str">
        <f aca="false">IFERROR(VLOOKUP(Orders!C1892,Customers!$A$2:$F$301,5,FALSE()),"Not Found")</f>
        <v>Retail</v>
      </c>
      <c r="E1892" s="46" t="n">
        <f aca="false">IFERROR(VLOOKUP(Orders!C1892,Customers!$A$2:$F$301,3,FALSE()),"Not Found")</f>
        <v>25</v>
      </c>
      <c r="F1892" s="46" t="str">
        <f aca="false">IFERROR(VLOOKUP(Orders!E1892,Sales_Reps!$A$2:$E$31,3,FALSE()),"Not Found")</f>
        <v>North</v>
      </c>
      <c r="G1892" s="46" t="n">
        <f aca="false">IFERROR(VLOOKUP(Orders!D1892,Products!$A$2:$F$61,4,FALSE()),"")</f>
        <v>128</v>
      </c>
      <c r="H1892" s="47" t="n">
        <f aca="false">IF(G1892="","",(Orders!G1892-G1892)/Orders!G1892)</f>
        <v>0.573333333333333</v>
      </c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</row>
    <row r="1893" customFormat="false" ht="15" hidden="false" customHeight="false" outlineLevel="0" collapsed="false">
      <c r="A1893" s="46" t="str">
        <f aca="false">Orders!A1893</f>
        <v>ORD-01892</v>
      </c>
      <c r="B1893" s="46" t="str">
        <f aca="false">PROPER(TRIM(Orders!K1893))</f>
        <v>Delhi</v>
      </c>
      <c r="C1893" s="46" t="str">
        <f aca="false">IFERROR(VLOOKUP(Orders!D1893,Products!$A$2:$F$61,3,FALSE()),"Not Found")</f>
        <v>Grocery</v>
      </c>
      <c r="D1893" s="46" t="str">
        <f aca="false">IFERROR(VLOOKUP(Orders!C1893,Customers!$A$2:$F$301,5,FALSE()),"Not Found")</f>
        <v>Corporate</v>
      </c>
      <c r="E1893" s="46" t="n">
        <f aca="false">IFERROR(VLOOKUP(Orders!C1893,Customers!$A$2:$F$301,3,FALSE()),"Not Found")</f>
        <v>55</v>
      </c>
      <c r="F1893" s="46" t="str">
        <f aca="false">IFERROR(VLOOKUP(Orders!E1893,Sales_Reps!$A$2:$E$31,3,FALSE()),"Not Found")</f>
        <v>South</v>
      </c>
      <c r="G1893" s="46" t="n">
        <f aca="false">IFERROR(VLOOKUP(Orders!D1893,Products!$A$2:$F$61,4,FALSE()),"")</f>
        <v>2214</v>
      </c>
      <c r="H1893" s="47" t="n">
        <f aca="false">IF(G1893="","",(Orders!G1893-G1893)/Orders!G1893)</f>
        <v>0.395081967213115</v>
      </c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/>
      <c r="AB1893" s="46"/>
      <c r="AC1893" s="46"/>
      <c r="AD1893" s="46"/>
      <c r="AE1893" s="46"/>
      <c r="AF1893" s="46"/>
      <c r="AG1893" s="46"/>
      <c r="AH1893" s="46"/>
      <c r="AI1893" s="46"/>
      <c r="AJ1893" s="46"/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</row>
    <row r="1894" customFormat="false" ht="15" hidden="false" customHeight="false" outlineLevel="0" collapsed="false">
      <c r="A1894" s="46" t="str">
        <f aca="false">Orders!A1894</f>
        <v>ORD-01893</v>
      </c>
      <c r="B1894" s="46" t="str">
        <f aca="false">PROPER(TRIM(Orders!K1894))</f>
        <v>Bengaluru</v>
      </c>
      <c r="C1894" s="46" t="str">
        <f aca="false">IFERROR(VLOOKUP(Orders!D1894,Products!$A$2:$F$61,3,FALSE()),"Not Found")</f>
        <v>Sports</v>
      </c>
      <c r="D1894" s="46" t="str">
        <f aca="false">IFERROR(VLOOKUP(Orders!C1894,Customers!$A$2:$F$301,5,FALSE()),"Not Found")</f>
        <v>Retail</v>
      </c>
      <c r="E1894" s="46" t="n">
        <f aca="false">IFERROR(VLOOKUP(Orders!C1894,Customers!$A$2:$F$301,3,FALSE()),"Not Found")</f>
        <v>42</v>
      </c>
      <c r="F1894" s="46" t="str">
        <f aca="false">IFERROR(VLOOKUP(Orders!E1894,Sales_Reps!$A$2:$E$31,3,FALSE()),"Not Found")</f>
        <v>South</v>
      </c>
      <c r="G1894" s="46" t="n">
        <f aca="false">IFERROR(VLOOKUP(Orders!D1894,Products!$A$2:$F$61,4,FALSE()),"")</f>
        <v>2467</v>
      </c>
      <c r="H1894" s="47" t="n">
        <f aca="false">IF(G1894="","",(Orders!G1894-G1894)/Orders!G1894)</f>
        <v>0.284927536231884</v>
      </c>
      <c r="I1894" s="46"/>
      <c r="J1894" s="46"/>
      <c r="K1894" s="46"/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</row>
    <row r="1895" customFormat="false" ht="15" hidden="false" customHeight="false" outlineLevel="0" collapsed="false">
      <c r="A1895" s="46" t="str">
        <f aca="false">Orders!A1895</f>
        <v>ORD-01894</v>
      </c>
      <c r="B1895" s="46" t="str">
        <f aca="false">PROPER(TRIM(Orders!K1895))</f>
        <v>Hyderabad</v>
      </c>
      <c r="C1895" s="46" t="str">
        <f aca="false">IFERROR(VLOOKUP(Orders!D1895,Products!$A$2:$F$61,3,FALSE()),"Not Found")</f>
        <v>Apparel</v>
      </c>
      <c r="D1895" s="46" t="str">
        <f aca="false">IFERROR(VLOOKUP(Orders!C1895,Customers!$A$2:$F$301,5,FALSE()),"Not Found")</f>
        <v>SMB</v>
      </c>
      <c r="E1895" s="46" t="n">
        <f aca="false">IFERROR(VLOOKUP(Orders!C1895,Customers!$A$2:$F$301,3,FALSE()),"Not Found")</f>
        <v>65</v>
      </c>
      <c r="F1895" s="46" t="str">
        <f aca="false">IFERROR(VLOOKUP(Orders!E1895,Sales_Reps!$A$2:$E$31,3,FALSE()),"Not Found")</f>
        <v>North</v>
      </c>
      <c r="G1895" s="46" t="n">
        <f aca="false">IFERROR(VLOOKUP(Orders!D1895,Products!$A$2:$F$61,4,FALSE()),"")</f>
        <v>1748</v>
      </c>
      <c r="H1895" s="47" t="n">
        <f aca="false">IF(G1895="","",(Orders!G1895-G1895)/Orders!G1895)</f>
        <v>0.493333333333333</v>
      </c>
      <c r="I1895" s="46"/>
      <c r="J1895" s="46"/>
      <c r="K1895" s="46"/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</row>
    <row r="1896" customFormat="false" ht="15" hidden="false" customHeight="false" outlineLevel="0" collapsed="false">
      <c r="A1896" s="46" t="str">
        <f aca="false">Orders!A1896</f>
        <v>ORD-01895</v>
      </c>
      <c r="B1896" s="46" t="str">
        <f aca="false">PROPER(TRIM(Orders!K1896))</f>
        <v>Delhi</v>
      </c>
      <c r="C1896" s="46" t="str">
        <f aca="false">IFERROR(VLOOKUP(Orders!D1896,Products!$A$2:$F$61,3,FALSE()),"Not Found")</f>
        <v>Grocery</v>
      </c>
      <c r="D1896" s="46" t="str">
        <f aca="false">IFERROR(VLOOKUP(Orders!C1896,Customers!$A$2:$F$301,5,FALSE()),"Not Found")</f>
        <v>Corporate</v>
      </c>
      <c r="E1896" s="46" t="n">
        <f aca="false">IFERROR(VLOOKUP(Orders!C1896,Customers!$A$2:$F$301,3,FALSE()),"Not Found")</f>
        <v>46</v>
      </c>
      <c r="F1896" s="46" t="str">
        <f aca="false">IFERROR(VLOOKUP(Orders!E1896,Sales_Reps!$A$2:$E$31,3,FALSE()),"Not Found")</f>
        <v>North</v>
      </c>
      <c r="G1896" s="46" t="n">
        <f aca="false">IFERROR(VLOOKUP(Orders!D1896,Products!$A$2:$F$61,4,FALSE()),"")</f>
        <v>2027</v>
      </c>
      <c r="H1896" s="47" t="n">
        <f aca="false">IF(G1896="","",(Orders!G1896-G1896)/Orders!G1896)</f>
        <v>0.501965601965602</v>
      </c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</row>
    <row r="1897" customFormat="false" ht="15" hidden="false" customHeight="false" outlineLevel="0" collapsed="false">
      <c r="A1897" s="46" t="str">
        <f aca="false">Orders!A1897</f>
        <v>ORD-01896</v>
      </c>
      <c r="B1897" s="46" t="str">
        <f aca="false">PROPER(TRIM(Orders!K1897))</f>
        <v>Chennai</v>
      </c>
      <c r="C1897" s="46" t="str">
        <f aca="false">IFERROR(VLOOKUP(Orders!D1897,Products!$A$2:$F$61,3,FALSE()),"Not Found")</f>
        <v>Sports</v>
      </c>
      <c r="D1897" s="46" t="str">
        <f aca="false">IFERROR(VLOOKUP(Orders!C1897,Customers!$A$2:$F$301,5,FALSE()),"Not Found")</f>
        <v>SMB</v>
      </c>
      <c r="E1897" s="46" t="n">
        <f aca="false">IFERROR(VLOOKUP(Orders!C1897,Customers!$A$2:$F$301,3,FALSE()),"Not Found")</f>
        <v>62</v>
      </c>
      <c r="F1897" s="46" t="str">
        <f aca="false">IFERROR(VLOOKUP(Orders!E1897,Sales_Reps!$A$2:$E$31,3,FALSE()),"Not Found")</f>
        <v>East</v>
      </c>
      <c r="G1897" s="46" t="n">
        <f aca="false">IFERROR(VLOOKUP(Orders!D1897,Products!$A$2:$F$61,4,FALSE()),"")</f>
        <v>1860</v>
      </c>
      <c r="H1897" s="47" t="n">
        <f aca="false">IF(G1897="","",(Orders!G1897-G1897)/Orders!G1897)</f>
        <v>0.507936507936508</v>
      </c>
      <c r="I1897" s="46"/>
      <c r="J1897" s="46"/>
      <c r="K1897" s="46"/>
      <c r="L1897" s="46"/>
      <c r="M1897" s="46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</row>
    <row r="1898" customFormat="false" ht="15" hidden="false" customHeight="false" outlineLevel="0" collapsed="false">
      <c r="A1898" s="46" t="str">
        <f aca="false">Orders!A1898</f>
        <v>ORD-01897</v>
      </c>
      <c r="B1898" s="46" t="str">
        <f aca="false">PROPER(TRIM(Orders!K1898))</f>
        <v>Mumbai</v>
      </c>
      <c r="C1898" s="46" t="str">
        <f aca="false">IFERROR(VLOOKUP(Orders!D1898,Products!$A$2:$F$61,3,FALSE()),"Not Found")</f>
        <v>Grocery</v>
      </c>
      <c r="D1898" s="46" t="str">
        <f aca="false">IFERROR(VLOOKUP(Orders!C1898,Customers!$A$2:$F$301,5,FALSE()),"Not Found")</f>
        <v>Retail</v>
      </c>
      <c r="E1898" s="46" t="n">
        <f aca="false">IFERROR(VLOOKUP(Orders!C1898,Customers!$A$2:$F$301,3,FALSE()),"Not Found")</f>
        <v>35</v>
      </c>
      <c r="F1898" s="46" t="str">
        <f aca="false">IFERROR(VLOOKUP(Orders!E1898,Sales_Reps!$A$2:$E$31,3,FALSE()),"Not Found")</f>
        <v>North</v>
      </c>
      <c r="G1898" s="46" t="n">
        <f aca="false">IFERROR(VLOOKUP(Orders!D1898,Products!$A$2:$F$61,4,FALSE()),"")</f>
        <v>1435</v>
      </c>
      <c r="H1898" s="47" t="n">
        <f aca="false">IF(G1898="","",(Orders!G1898-G1898)/Orders!G1898)</f>
        <v>0.480072463768116</v>
      </c>
      <c r="I1898" s="46"/>
      <c r="J1898" s="46"/>
      <c r="K1898" s="46"/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</row>
    <row r="1899" customFormat="false" ht="15" hidden="false" customHeight="false" outlineLevel="0" collapsed="false">
      <c r="A1899" s="46" t="str">
        <f aca="false">Orders!A1899</f>
        <v>ORD-01898</v>
      </c>
      <c r="B1899" s="46" t="str">
        <f aca="false">PROPER(TRIM(Orders!K1899))</f>
        <v>Hyderabad</v>
      </c>
      <c r="C1899" s="46" t="str">
        <f aca="false">IFERROR(VLOOKUP(Orders!D1899,Products!$A$2:$F$61,3,FALSE()),"Not Found")</f>
        <v>Beauty</v>
      </c>
      <c r="D1899" s="46" t="str">
        <f aca="false">IFERROR(VLOOKUP(Orders!C1899,Customers!$A$2:$F$301,5,FALSE()),"Not Found")</f>
        <v>Corporate</v>
      </c>
      <c r="E1899" s="46" t="n">
        <f aca="false">IFERROR(VLOOKUP(Orders!C1899,Customers!$A$2:$F$301,3,FALSE()),"Not Found")</f>
        <v>32</v>
      </c>
      <c r="F1899" s="46" t="str">
        <f aca="false">IFERROR(VLOOKUP(Orders!E1899,Sales_Reps!$A$2:$E$31,3,FALSE()),"Not Found")</f>
        <v>West</v>
      </c>
      <c r="G1899" s="46" t="n">
        <f aca="false">IFERROR(VLOOKUP(Orders!D1899,Products!$A$2:$F$61,4,FALSE()),"")</f>
        <v>2768</v>
      </c>
      <c r="H1899" s="47" t="n">
        <f aca="false">IF(G1899="","",(Orders!G1899-G1899)/Orders!G1899)</f>
        <v>0.432786885245902</v>
      </c>
      <c r="I1899" s="46"/>
      <c r="J1899" s="46"/>
      <c r="K1899" s="46"/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</row>
    <row r="1900" customFormat="false" ht="15" hidden="false" customHeight="false" outlineLevel="0" collapsed="false">
      <c r="A1900" s="46" t="str">
        <f aca="false">Orders!A1900</f>
        <v>ORD-01899</v>
      </c>
      <c r="B1900" s="46" t="str">
        <f aca="false">PROPER(TRIM(Orders!K1900))</f>
        <v>Mumbai</v>
      </c>
      <c r="C1900" s="46" t="str">
        <f aca="false">IFERROR(VLOOKUP(Orders!D1900,Products!$A$2:$F$61,3,FALSE()),"Not Found")</f>
        <v>Grocery</v>
      </c>
      <c r="D1900" s="46" t="str">
        <f aca="false">IFERROR(VLOOKUP(Orders!C1900,Customers!$A$2:$F$301,5,FALSE()),"Not Found")</f>
        <v>Retail</v>
      </c>
      <c r="E1900" s="46" t="n">
        <f aca="false">IFERROR(VLOOKUP(Orders!C1900,Customers!$A$2:$F$301,3,FALSE()),"Not Found")</f>
        <v>52</v>
      </c>
      <c r="F1900" s="46" t="str">
        <f aca="false">IFERROR(VLOOKUP(Orders!E1900,Sales_Reps!$A$2:$E$31,3,FALSE()),"Not Found")</f>
        <v>East</v>
      </c>
      <c r="G1900" s="46" t="n">
        <f aca="false">IFERROR(VLOOKUP(Orders!D1900,Products!$A$2:$F$61,4,FALSE()),"")</f>
        <v>1182</v>
      </c>
      <c r="H1900" s="47" t="n">
        <f aca="false">IF(G1900="","",(Orders!G1900-G1900)/Orders!G1900)</f>
        <v>0.503361344537815</v>
      </c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</row>
    <row r="1901" customFormat="false" ht="15" hidden="false" customHeight="false" outlineLevel="0" collapsed="false">
      <c r="A1901" s="46" t="str">
        <f aca="false">Orders!A1901</f>
        <v>ORD-01900</v>
      </c>
      <c r="B1901" s="46" t="str">
        <f aca="false">PROPER(TRIM(Orders!K1901))</f>
        <v>Bengaluru</v>
      </c>
      <c r="C1901" s="46" t="str">
        <f aca="false">IFERROR(VLOOKUP(Orders!D1901,Products!$A$2:$F$61,3,FALSE()),"Not Found")</f>
        <v>Beauty</v>
      </c>
      <c r="D1901" s="46" t="str">
        <f aca="false">IFERROR(VLOOKUP(Orders!C1901,Customers!$A$2:$F$301,5,FALSE()),"Not Found")</f>
        <v>Corporate</v>
      </c>
      <c r="E1901" s="46" t="n">
        <f aca="false">IFERROR(VLOOKUP(Orders!C1901,Customers!$A$2:$F$301,3,FALSE()),"Not Found")</f>
        <v>31</v>
      </c>
      <c r="F1901" s="46" t="str">
        <f aca="false">IFERROR(VLOOKUP(Orders!E1901,Sales_Reps!$A$2:$E$31,3,FALSE()),"Not Found")</f>
        <v>North</v>
      </c>
      <c r="G1901" s="46" t="n">
        <f aca="false">IFERROR(VLOOKUP(Orders!D1901,Products!$A$2:$F$61,4,FALSE()),"")</f>
        <v>1219</v>
      </c>
      <c r="H1901" s="47" t="n">
        <f aca="false">IF(G1901="","",(Orders!G1901-G1901)/Orders!G1901)</f>
        <v>0.467685589519651</v>
      </c>
      <c r="I1901" s="46"/>
      <c r="J1901" s="46"/>
      <c r="K1901" s="46"/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</row>
    <row r="1902" customFormat="false" ht="15" hidden="false" customHeight="false" outlineLevel="0" collapsed="false">
      <c r="A1902" s="46" t="str">
        <f aca="false">Orders!A1902</f>
        <v>ORD-01901</v>
      </c>
      <c r="B1902" s="46" t="str">
        <f aca="false">PROPER(TRIM(Orders!K1902))</f>
        <v>Hyderabad</v>
      </c>
      <c r="C1902" s="46" t="str">
        <f aca="false">IFERROR(VLOOKUP(Orders!D1902,Products!$A$2:$F$61,3,FALSE()),"Not Found")</f>
        <v>Grocery</v>
      </c>
      <c r="D1902" s="46" t="str">
        <f aca="false">IFERROR(VLOOKUP(Orders!C1902,Customers!$A$2:$F$301,5,FALSE()),"Not Found")</f>
        <v>Corporate</v>
      </c>
      <c r="E1902" s="46" t="n">
        <f aca="false">IFERROR(VLOOKUP(Orders!C1902,Customers!$A$2:$F$301,3,FALSE()),"Not Found")</f>
        <v>32</v>
      </c>
      <c r="F1902" s="46" t="str">
        <f aca="false">IFERROR(VLOOKUP(Orders!E1902,Sales_Reps!$A$2:$E$31,3,FALSE()),"Not Found")</f>
        <v>North</v>
      </c>
      <c r="G1902" s="46" t="n">
        <f aca="false">IFERROR(VLOOKUP(Orders!D1902,Products!$A$2:$F$61,4,FALSE()),"")</f>
        <v>1435</v>
      </c>
      <c r="H1902" s="47" t="n">
        <f aca="false">IF(G1902="","",(Orders!G1902-G1902)/Orders!G1902)</f>
        <v>0.480072463768116</v>
      </c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</row>
    <row r="1903" customFormat="false" ht="15" hidden="false" customHeight="false" outlineLevel="0" collapsed="false">
      <c r="A1903" s="46" t="str">
        <f aca="false">Orders!A1903</f>
        <v>ORD-01902</v>
      </c>
      <c r="B1903" s="46" t="str">
        <f aca="false">PROPER(TRIM(Orders!K1903))</f>
        <v>Pune</v>
      </c>
      <c r="C1903" s="46" t="str">
        <f aca="false">IFERROR(VLOOKUP(Orders!D1903,Products!$A$2:$F$61,3,FALSE()),"Not Found")</f>
        <v>Grocery</v>
      </c>
      <c r="D1903" s="46" t="str">
        <f aca="false">IFERROR(VLOOKUP(Orders!C1903,Customers!$A$2:$F$301,5,FALSE()),"Not Found")</f>
        <v>Retail</v>
      </c>
      <c r="E1903" s="46" t="n">
        <f aca="false">IFERROR(VLOOKUP(Orders!C1903,Customers!$A$2:$F$301,3,FALSE()),"Not Found")</f>
        <v>49</v>
      </c>
      <c r="F1903" s="46" t="str">
        <f aca="false">IFERROR(VLOOKUP(Orders!E1903,Sales_Reps!$A$2:$E$31,3,FALSE()),"Not Found")</f>
        <v>West</v>
      </c>
      <c r="G1903" s="46" t="n">
        <f aca="false">IFERROR(VLOOKUP(Orders!D1903,Products!$A$2:$F$61,4,FALSE()),"")</f>
        <v>2911</v>
      </c>
      <c r="H1903" s="47" t="n">
        <f aca="false">IF(G1903="","",(Orders!G1903-G1903)/Orders!G1903)</f>
        <v>0.283004926108374</v>
      </c>
      <c r="I1903" s="46"/>
      <c r="J1903" s="46"/>
      <c r="K1903" s="46"/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</row>
    <row r="1904" customFormat="false" ht="15" hidden="false" customHeight="false" outlineLevel="0" collapsed="false">
      <c r="A1904" s="46" t="str">
        <f aca="false">Orders!A1904</f>
        <v>ORD-01903</v>
      </c>
      <c r="B1904" s="46" t="str">
        <f aca="false">PROPER(TRIM(Orders!K1904))</f>
        <v>Chennai</v>
      </c>
      <c r="C1904" s="46" t="str">
        <f aca="false">IFERROR(VLOOKUP(Orders!D1904,Products!$A$2:$F$61,3,FALSE()),"Not Found")</f>
        <v>Electronics</v>
      </c>
      <c r="D1904" s="46" t="str">
        <f aca="false">IFERROR(VLOOKUP(Orders!C1904,Customers!$A$2:$F$301,5,FALSE()),"Not Found")</f>
        <v>Retail</v>
      </c>
      <c r="E1904" s="46" t="n">
        <f aca="false">IFERROR(VLOOKUP(Orders!C1904,Customers!$A$2:$F$301,3,FALSE()),"Not Found")</f>
        <v>28</v>
      </c>
      <c r="F1904" s="46" t="str">
        <f aca="false">IFERROR(VLOOKUP(Orders!E1904,Sales_Reps!$A$2:$E$31,3,FALSE()),"Not Found")</f>
        <v>North</v>
      </c>
      <c r="G1904" s="46" t="n">
        <f aca="false">IFERROR(VLOOKUP(Orders!D1904,Products!$A$2:$F$61,4,FALSE()),"")</f>
        <v>1149</v>
      </c>
      <c r="H1904" s="47" t="n">
        <f aca="false">IF(G1904="","",(Orders!G1904-G1904)/Orders!G1904)</f>
        <v>0.564772727272727</v>
      </c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</row>
    <row r="1905" customFormat="false" ht="15" hidden="false" customHeight="false" outlineLevel="0" collapsed="false">
      <c r="A1905" s="46" t="str">
        <f aca="false">Orders!A1905</f>
        <v>ORD-01904</v>
      </c>
      <c r="B1905" s="46" t="str">
        <f aca="false">PROPER(TRIM(Orders!K1905))</f>
        <v>Pune</v>
      </c>
      <c r="C1905" s="46" t="str">
        <f aca="false">IFERROR(VLOOKUP(Orders!D1905,Products!$A$2:$F$61,3,FALSE()),"Not Found")</f>
        <v>Home</v>
      </c>
      <c r="D1905" s="46" t="str">
        <f aca="false">IFERROR(VLOOKUP(Orders!C1905,Customers!$A$2:$F$301,5,FALSE()),"Not Found")</f>
        <v>Retail</v>
      </c>
      <c r="E1905" s="46" t="n">
        <f aca="false">IFERROR(VLOOKUP(Orders!C1905,Customers!$A$2:$F$301,3,FALSE()),"Not Found")</f>
        <v>36</v>
      </c>
      <c r="F1905" s="46" t="str">
        <f aca="false">IFERROR(VLOOKUP(Orders!E1905,Sales_Reps!$A$2:$E$31,3,FALSE()),"Not Found")</f>
        <v>North</v>
      </c>
      <c r="G1905" s="46" t="n">
        <f aca="false">IFERROR(VLOOKUP(Orders!D1905,Products!$A$2:$F$61,4,FALSE()),"")</f>
        <v>1850</v>
      </c>
      <c r="H1905" s="47" t="n">
        <f aca="false">IF(G1905="","",(Orders!G1905-G1905)/Orders!G1905)</f>
        <v>0.598698481561822</v>
      </c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</row>
    <row r="1906" customFormat="false" ht="15" hidden="false" customHeight="false" outlineLevel="0" collapsed="false">
      <c r="A1906" s="46" t="str">
        <f aca="false">Orders!A1906</f>
        <v>ORD-01905</v>
      </c>
      <c r="B1906" s="46" t="str">
        <f aca="false">PROPER(TRIM(Orders!K1906))</f>
        <v>Hyderabad</v>
      </c>
      <c r="C1906" s="46" t="str">
        <f aca="false">IFERROR(VLOOKUP(Orders!D1906,Products!$A$2:$F$61,3,FALSE()),"Not Found")</f>
        <v>Grocery</v>
      </c>
      <c r="D1906" s="46" t="str">
        <f aca="false">IFERROR(VLOOKUP(Orders!C1906,Customers!$A$2:$F$301,5,FALSE()),"Not Found")</f>
        <v>Corporate</v>
      </c>
      <c r="E1906" s="46" t="n">
        <f aca="false">IFERROR(VLOOKUP(Orders!C1906,Customers!$A$2:$F$301,3,FALSE()),"Not Found")</f>
        <v>29</v>
      </c>
      <c r="F1906" s="46" t="str">
        <f aca="false">IFERROR(VLOOKUP(Orders!E1906,Sales_Reps!$A$2:$E$31,3,FALSE()),"Not Found")</f>
        <v>West</v>
      </c>
      <c r="G1906" s="46" t="n">
        <f aca="false">IFERROR(VLOOKUP(Orders!D1906,Products!$A$2:$F$61,4,FALSE()),"")</f>
        <v>1010</v>
      </c>
      <c r="H1906" s="47" t="n">
        <f aca="false">IF(G1906="","",(Orders!G1906-G1906)/Orders!G1906)</f>
        <v>0.542986425339367</v>
      </c>
      <c r="I1906" s="46"/>
      <c r="J1906" s="46"/>
      <c r="K1906" s="46"/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46"/>
      <c r="AY1906" s="46"/>
      <c r="AZ1906" s="46"/>
    </row>
    <row r="1907" customFormat="false" ht="15" hidden="false" customHeight="false" outlineLevel="0" collapsed="false">
      <c r="A1907" s="46" t="str">
        <f aca="false">Orders!A1907</f>
        <v>ORD-01906</v>
      </c>
      <c r="B1907" s="46" t="str">
        <f aca="false">PROPER(TRIM(Orders!K1907))</f>
        <v>Delhi</v>
      </c>
      <c r="C1907" s="46" t="str">
        <f aca="false">IFERROR(VLOOKUP(Orders!D1907,Products!$A$2:$F$61,3,FALSE()),"Not Found")</f>
        <v>Grocery</v>
      </c>
      <c r="D1907" s="46" t="str">
        <f aca="false">IFERROR(VLOOKUP(Orders!C1907,Customers!$A$2:$F$301,5,FALSE()),"Not Found")</f>
        <v>SMB</v>
      </c>
      <c r="E1907" s="46" t="n">
        <f aca="false">IFERROR(VLOOKUP(Orders!C1907,Customers!$A$2:$F$301,3,FALSE()),"Not Found")</f>
        <v>29</v>
      </c>
      <c r="F1907" s="46" t="str">
        <f aca="false">IFERROR(VLOOKUP(Orders!E1907,Sales_Reps!$A$2:$E$31,3,FALSE()),"Not Found")</f>
        <v>South</v>
      </c>
      <c r="G1907" s="46" t="n">
        <f aca="false">IFERROR(VLOOKUP(Orders!D1907,Products!$A$2:$F$61,4,FALSE()),"")</f>
        <v>1010</v>
      </c>
      <c r="H1907" s="47" t="n">
        <f aca="false">IF(G1907="","",(Orders!G1907-G1907)/Orders!G1907)</f>
        <v>0.542986425339367</v>
      </c>
      <c r="I1907" s="46"/>
      <c r="J1907" s="46"/>
      <c r="K1907" s="46"/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  <c r="AA1907" s="46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46"/>
      <c r="AY1907" s="46"/>
      <c r="AZ1907" s="46"/>
    </row>
    <row r="1908" customFormat="false" ht="15" hidden="false" customHeight="false" outlineLevel="0" collapsed="false">
      <c r="A1908" s="46" t="str">
        <f aca="false">Orders!A1908</f>
        <v>ORD-01907</v>
      </c>
      <c r="B1908" s="46" t="str">
        <f aca="false">PROPER(TRIM(Orders!K1908))</f>
        <v>Pune</v>
      </c>
      <c r="C1908" s="46" t="str">
        <f aca="false">IFERROR(VLOOKUP(Orders!D1908,Products!$A$2:$F$61,3,FALSE()),"Not Found")</f>
        <v>Home</v>
      </c>
      <c r="D1908" s="46" t="str">
        <f aca="false">IFERROR(VLOOKUP(Orders!C1908,Customers!$A$2:$F$301,5,FALSE()),"Not Found")</f>
        <v>SMB</v>
      </c>
      <c r="E1908" s="46" t="n">
        <f aca="false">IFERROR(VLOOKUP(Orders!C1908,Customers!$A$2:$F$301,3,FALSE()),"Not Found")</f>
        <v>44</v>
      </c>
      <c r="F1908" s="46" t="str">
        <f aca="false">IFERROR(VLOOKUP(Orders!E1908,Sales_Reps!$A$2:$E$31,3,FALSE()),"Not Found")</f>
        <v>South</v>
      </c>
      <c r="G1908" s="46" t="n">
        <f aca="false">IFERROR(VLOOKUP(Orders!D1908,Products!$A$2:$F$61,4,FALSE()),"")</f>
        <v>464</v>
      </c>
      <c r="H1908" s="47" t="n">
        <f aca="false">IF(G1908="","",(Orders!G1908-G1908)/Orders!G1908)</f>
        <v>0.574311926605505</v>
      </c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46"/>
      <c r="AY1908" s="46"/>
      <c r="AZ1908" s="46"/>
    </row>
    <row r="1909" customFormat="false" ht="15" hidden="false" customHeight="false" outlineLevel="0" collapsed="false">
      <c r="A1909" s="46" t="str">
        <f aca="false">Orders!A1909</f>
        <v>ORD-01908</v>
      </c>
      <c r="B1909" s="46" t="str">
        <f aca="false">PROPER(TRIM(Orders!K1909))</f>
        <v>Delhi</v>
      </c>
      <c r="C1909" s="46" t="str">
        <f aca="false">IFERROR(VLOOKUP(Orders!D1909,Products!$A$2:$F$61,3,FALSE()),"Not Found")</f>
        <v>Home</v>
      </c>
      <c r="D1909" s="46" t="str">
        <f aca="false">IFERROR(VLOOKUP(Orders!C1909,Customers!$A$2:$F$301,5,FALSE()),"Not Found")</f>
        <v>Retail</v>
      </c>
      <c r="E1909" s="46" t="n">
        <f aca="false">IFERROR(VLOOKUP(Orders!C1909,Customers!$A$2:$F$301,3,FALSE()),"Not Found")</f>
        <v>44</v>
      </c>
      <c r="F1909" s="46" t="str">
        <f aca="false">IFERROR(VLOOKUP(Orders!E1909,Sales_Reps!$A$2:$E$31,3,FALSE()),"Not Found")</f>
        <v>North</v>
      </c>
      <c r="G1909" s="46" t="n">
        <f aca="false">IFERROR(VLOOKUP(Orders!D1909,Products!$A$2:$F$61,4,FALSE()),"")</f>
        <v>288</v>
      </c>
      <c r="H1909" s="47" t="n">
        <f aca="false">IF(G1909="","",(Orders!G1909-G1909)/Orders!G1909)</f>
        <v>0.221621621621622</v>
      </c>
      <c r="I1909" s="46"/>
      <c r="J1909" s="46"/>
      <c r="K1909" s="46"/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46"/>
      <c r="AY1909" s="46"/>
      <c r="AZ1909" s="46"/>
    </row>
    <row r="1910" customFormat="false" ht="15" hidden="false" customHeight="false" outlineLevel="0" collapsed="false">
      <c r="A1910" s="46" t="str">
        <f aca="false">Orders!A1910</f>
        <v>ORD-01909</v>
      </c>
      <c r="B1910" s="46" t="str">
        <f aca="false">PROPER(TRIM(Orders!K1910))</f>
        <v>Pune</v>
      </c>
      <c r="C1910" s="46" t="str">
        <f aca="false">IFERROR(VLOOKUP(Orders!D1910,Products!$A$2:$F$61,3,FALSE()),"Not Found")</f>
        <v>Electronics</v>
      </c>
      <c r="D1910" s="46" t="str">
        <f aca="false">IFERROR(VLOOKUP(Orders!C1910,Customers!$A$2:$F$301,5,FALSE()),"Not Found")</f>
        <v>Retail</v>
      </c>
      <c r="E1910" s="46" t="n">
        <f aca="false">IFERROR(VLOOKUP(Orders!C1910,Customers!$A$2:$F$301,3,FALSE()),"Not Found")</f>
        <v>57</v>
      </c>
      <c r="F1910" s="46" t="str">
        <f aca="false">IFERROR(VLOOKUP(Orders!E1910,Sales_Reps!$A$2:$E$31,3,FALSE()),"Not Found")</f>
        <v>West</v>
      </c>
      <c r="G1910" s="46" t="n">
        <f aca="false">IFERROR(VLOOKUP(Orders!D1910,Products!$A$2:$F$61,4,FALSE()),"")</f>
        <v>1665</v>
      </c>
      <c r="H1910" s="47" t="n">
        <f aca="false">IF(G1910="","",(Orders!G1910-G1910)/Orders!G1910)</f>
        <v>0.533613445378151</v>
      </c>
      <c r="I1910" s="46"/>
      <c r="J1910" s="46"/>
      <c r="K1910" s="46"/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46"/>
      <c r="AY1910" s="46"/>
      <c r="AZ1910" s="46"/>
    </row>
    <row r="1911" customFormat="false" ht="15" hidden="false" customHeight="false" outlineLevel="0" collapsed="false">
      <c r="A1911" s="46" t="str">
        <f aca="false">Orders!A1911</f>
        <v>ORD-01910</v>
      </c>
      <c r="B1911" s="46" t="str">
        <f aca="false">PROPER(TRIM(Orders!K1911))</f>
        <v>Mumbai</v>
      </c>
      <c r="C1911" s="46" t="str">
        <f aca="false">IFERROR(VLOOKUP(Orders!D1911,Products!$A$2:$F$61,3,FALSE()),"Not Found")</f>
        <v>Home</v>
      </c>
      <c r="D1911" s="46" t="str">
        <f aca="false">IFERROR(VLOOKUP(Orders!C1911,Customers!$A$2:$F$301,5,FALSE()),"Not Found")</f>
        <v>Retail</v>
      </c>
      <c r="E1911" s="46" t="n">
        <f aca="false">IFERROR(VLOOKUP(Orders!C1911,Customers!$A$2:$F$301,3,FALSE()),"Not Found")</f>
        <v>42</v>
      </c>
      <c r="F1911" s="46" t="str">
        <f aca="false">IFERROR(VLOOKUP(Orders!E1911,Sales_Reps!$A$2:$E$31,3,FALSE()),"Not Found")</f>
        <v>South</v>
      </c>
      <c r="G1911" s="46" t="n">
        <f aca="false">IFERROR(VLOOKUP(Orders!D1911,Products!$A$2:$F$61,4,FALSE()),"")</f>
        <v>1556</v>
      </c>
      <c r="H1911" s="47" t="n">
        <f aca="false">IF(G1911="","",(Orders!G1911-G1911)/Orders!G1911)</f>
        <v>0.521230769230769</v>
      </c>
      <c r="I1911" s="46"/>
      <c r="J1911" s="46"/>
      <c r="K1911" s="46"/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  <c r="AA1911" s="46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46"/>
      <c r="AY1911" s="46"/>
      <c r="AZ1911" s="46"/>
    </row>
    <row r="1912" customFormat="false" ht="15" hidden="false" customHeight="false" outlineLevel="0" collapsed="false">
      <c r="A1912" s="46" t="str">
        <f aca="false">Orders!A1912</f>
        <v>ORD-01911</v>
      </c>
      <c r="B1912" s="46" t="str">
        <f aca="false">PROPER(TRIM(Orders!K1912))</f>
        <v>Mumbai</v>
      </c>
      <c r="C1912" s="46" t="str">
        <f aca="false">IFERROR(VLOOKUP(Orders!D1912,Products!$A$2:$F$61,3,FALSE()),"Not Found")</f>
        <v>Home</v>
      </c>
      <c r="D1912" s="46" t="str">
        <f aca="false">IFERROR(VLOOKUP(Orders!C1912,Customers!$A$2:$F$301,5,FALSE()),"Not Found")</f>
        <v>Corporate</v>
      </c>
      <c r="E1912" s="46" t="n">
        <f aca="false">IFERROR(VLOOKUP(Orders!C1912,Customers!$A$2:$F$301,3,FALSE()),"Not Found")</f>
        <v>62</v>
      </c>
      <c r="F1912" s="46" t="str">
        <f aca="false">IFERROR(VLOOKUP(Orders!E1912,Sales_Reps!$A$2:$E$31,3,FALSE()),"Not Found")</f>
        <v>West</v>
      </c>
      <c r="G1912" s="46" t="n">
        <f aca="false">IFERROR(VLOOKUP(Orders!D1912,Products!$A$2:$F$61,4,FALSE()),"")</f>
        <v>1556</v>
      </c>
      <c r="H1912" s="47" t="n">
        <f aca="false">IF(G1912="","",(Orders!G1912-G1912)/Orders!G1912)</f>
        <v>0.521230769230769</v>
      </c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46"/>
      <c r="AZ1912" s="46"/>
    </row>
    <row r="1913" customFormat="false" ht="15" hidden="false" customHeight="false" outlineLevel="0" collapsed="false">
      <c r="A1913" s="46" t="str">
        <f aca="false">Orders!A1913</f>
        <v>ORD-01912</v>
      </c>
      <c r="B1913" s="46" t="str">
        <f aca="false">PROPER(TRIM(Orders!K1913))</f>
        <v>Mumbai</v>
      </c>
      <c r="C1913" s="46" t="str">
        <f aca="false">IFERROR(VLOOKUP(Orders!D1913,Products!$A$2:$F$61,3,FALSE()),"Not Found")</f>
        <v>Sports</v>
      </c>
      <c r="D1913" s="46" t="str">
        <f aca="false">IFERROR(VLOOKUP(Orders!C1913,Customers!$A$2:$F$301,5,FALSE()),"Not Found")</f>
        <v>Retail</v>
      </c>
      <c r="E1913" s="46" t="n">
        <f aca="false">IFERROR(VLOOKUP(Orders!C1913,Customers!$A$2:$F$301,3,FALSE()),"Not Found")</f>
        <v>49</v>
      </c>
      <c r="F1913" s="46" t="str">
        <f aca="false">IFERROR(VLOOKUP(Orders!E1913,Sales_Reps!$A$2:$E$31,3,FALSE()),"Not Found")</f>
        <v>West</v>
      </c>
      <c r="G1913" s="46" t="n">
        <f aca="false">IFERROR(VLOOKUP(Orders!D1913,Products!$A$2:$F$61,4,FALSE()),"")</f>
        <v>705</v>
      </c>
      <c r="H1913" s="47" t="n">
        <f aca="false">IF(G1913="","",(Orders!G1913-G1913)/Orders!G1913)</f>
        <v>0.265625</v>
      </c>
      <c r="I1913" s="46"/>
      <c r="J1913" s="46"/>
      <c r="K1913" s="46"/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46"/>
      <c r="AY1913" s="46"/>
      <c r="AZ1913" s="46"/>
    </row>
    <row r="1914" customFormat="false" ht="15" hidden="false" customHeight="false" outlineLevel="0" collapsed="false">
      <c r="A1914" s="46" t="str">
        <f aca="false">Orders!A1914</f>
        <v>ORD-01913</v>
      </c>
      <c r="B1914" s="46" t="str">
        <f aca="false">PROPER(TRIM(Orders!K1914))</f>
        <v>Delhi</v>
      </c>
      <c r="C1914" s="46" t="str">
        <f aca="false">IFERROR(VLOOKUP(Orders!D1914,Products!$A$2:$F$61,3,FALSE()),"Not Found")</f>
        <v>Beauty</v>
      </c>
      <c r="D1914" s="46" t="str">
        <f aca="false">IFERROR(VLOOKUP(Orders!C1914,Customers!$A$2:$F$301,5,FALSE()),"Not Found")</f>
        <v>SMB</v>
      </c>
      <c r="E1914" s="46" t="n">
        <f aca="false">IFERROR(VLOOKUP(Orders!C1914,Customers!$A$2:$F$301,3,FALSE()),"Not Found")</f>
        <v>38</v>
      </c>
      <c r="F1914" s="46" t="str">
        <f aca="false">IFERROR(VLOOKUP(Orders!E1914,Sales_Reps!$A$2:$E$31,3,FALSE()),"Not Found")</f>
        <v>South</v>
      </c>
      <c r="G1914" s="46" t="n">
        <f aca="false">IFERROR(VLOOKUP(Orders!D1914,Products!$A$2:$F$61,4,FALSE()),"")</f>
        <v>2617</v>
      </c>
      <c r="H1914" s="47" t="n">
        <f aca="false">IF(G1914="","",(Orders!G1914-G1914)/Orders!G1914)</f>
        <v>0.569572368421053</v>
      </c>
      <c r="I1914" s="46"/>
      <c r="J1914" s="46"/>
      <c r="K1914" s="46"/>
      <c r="L1914" s="46"/>
      <c r="M1914" s="46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46"/>
      <c r="AY1914" s="46"/>
      <c r="AZ1914" s="46"/>
    </row>
    <row r="1915" customFormat="false" ht="15" hidden="false" customHeight="false" outlineLevel="0" collapsed="false">
      <c r="A1915" s="46" t="str">
        <f aca="false">Orders!A1915</f>
        <v>ORD-01914</v>
      </c>
      <c r="B1915" s="46" t="str">
        <f aca="false">PROPER(TRIM(Orders!K1915))</f>
        <v>Mumbai</v>
      </c>
      <c r="C1915" s="46" t="str">
        <f aca="false">IFERROR(VLOOKUP(Orders!D1915,Products!$A$2:$F$61,3,FALSE()),"Not Found")</f>
        <v>Home</v>
      </c>
      <c r="D1915" s="46" t="str">
        <f aca="false">IFERROR(VLOOKUP(Orders!C1915,Customers!$A$2:$F$301,5,FALSE()),"Not Found")</f>
        <v>Retail</v>
      </c>
      <c r="E1915" s="46" t="n">
        <f aca="false">IFERROR(VLOOKUP(Orders!C1915,Customers!$A$2:$F$301,3,FALSE()),"Not Found")</f>
        <v>34</v>
      </c>
      <c r="F1915" s="46" t="str">
        <f aca="false">IFERROR(VLOOKUP(Orders!E1915,Sales_Reps!$A$2:$E$31,3,FALSE()),"Not Found")</f>
        <v>East</v>
      </c>
      <c r="G1915" s="46" t="n">
        <f aca="false">IFERROR(VLOOKUP(Orders!D1915,Products!$A$2:$F$61,4,FALSE()),"")</f>
        <v>1850</v>
      </c>
      <c r="H1915" s="47" t="n">
        <f aca="false">IF(G1915="","",(Orders!G1915-G1915)/Orders!G1915)</f>
        <v>0.598698481561822</v>
      </c>
      <c r="I1915" s="46"/>
      <c r="J1915" s="46"/>
      <c r="K1915" s="46"/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46"/>
      <c r="AY1915" s="46"/>
      <c r="AZ1915" s="46"/>
    </row>
    <row r="1916" customFormat="false" ht="15" hidden="false" customHeight="false" outlineLevel="0" collapsed="false">
      <c r="A1916" s="46" t="str">
        <f aca="false">Orders!A1916</f>
        <v>ORD-01915</v>
      </c>
      <c r="B1916" s="46" t="str">
        <f aca="false">PROPER(TRIM(Orders!K1916))</f>
        <v>Chennai</v>
      </c>
      <c r="C1916" s="46" t="str">
        <f aca="false">IFERROR(VLOOKUP(Orders!D1916,Products!$A$2:$F$61,3,FALSE()),"Not Found")</f>
        <v>Home</v>
      </c>
      <c r="D1916" s="46" t="str">
        <f aca="false">IFERROR(VLOOKUP(Orders!C1916,Customers!$A$2:$F$301,5,FALSE()),"Not Found")</f>
        <v>Corporate</v>
      </c>
      <c r="E1916" s="46" t="n">
        <f aca="false">IFERROR(VLOOKUP(Orders!C1916,Customers!$A$2:$F$301,3,FALSE()),"Not Found")</f>
        <v>34</v>
      </c>
      <c r="F1916" s="46" t="str">
        <f aca="false">IFERROR(VLOOKUP(Orders!E1916,Sales_Reps!$A$2:$E$31,3,FALSE()),"Not Found")</f>
        <v>East</v>
      </c>
      <c r="G1916" s="46" t="n">
        <f aca="false">IFERROR(VLOOKUP(Orders!D1916,Products!$A$2:$F$61,4,FALSE()),"")</f>
        <v>2459</v>
      </c>
      <c r="H1916" s="47" t="n">
        <f aca="false">IF(G1916="","",(Orders!G1916-G1916)/Orders!G1916)</f>
        <v>0.515944881889764</v>
      </c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46"/>
      <c r="AY1916" s="46"/>
      <c r="AZ1916" s="46"/>
    </row>
    <row r="1917" customFormat="false" ht="15" hidden="false" customHeight="false" outlineLevel="0" collapsed="false">
      <c r="A1917" s="46" t="str">
        <f aca="false">Orders!A1917</f>
        <v>ORD-01916</v>
      </c>
      <c r="B1917" s="46" t="str">
        <f aca="false">PROPER(TRIM(Orders!K1917))</f>
        <v>Mumbai</v>
      </c>
      <c r="C1917" s="46" t="str">
        <f aca="false">IFERROR(VLOOKUP(Orders!D1917,Products!$A$2:$F$61,3,FALSE()),"Not Found")</f>
        <v>Beauty</v>
      </c>
      <c r="D1917" s="46" t="str">
        <f aca="false">IFERROR(VLOOKUP(Orders!C1917,Customers!$A$2:$F$301,5,FALSE()),"Not Found")</f>
        <v>Retail</v>
      </c>
      <c r="E1917" s="46" t="n">
        <f aca="false">IFERROR(VLOOKUP(Orders!C1917,Customers!$A$2:$F$301,3,FALSE()),"Not Found")</f>
        <v>65</v>
      </c>
      <c r="F1917" s="46" t="str">
        <f aca="false">IFERROR(VLOOKUP(Orders!E1917,Sales_Reps!$A$2:$E$31,3,FALSE()),"Not Found")</f>
        <v>East</v>
      </c>
      <c r="G1917" s="46" t="n">
        <f aca="false">IFERROR(VLOOKUP(Orders!D1917,Products!$A$2:$F$61,4,FALSE()),"")</f>
        <v>1728</v>
      </c>
      <c r="H1917" s="47" t="n">
        <f aca="false">IF(G1917="","",(Orders!G1917-G1917)/Orders!G1917)</f>
        <v>0.484179104477612</v>
      </c>
      <c r="I1917" s="46"/>
      <c r="J1917" s="46"/>
      <c r="K1917" s="46"/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46"/>
      <c r="AY1917" s="46"/>
      <c r="AZ1917" s="46"/>
    </row>
    <row r="1918" customFormat="false" ht="15" hidden="false" customHeight="false" outlineLevel="0" collapsed="false">
      <c r="A1918" s="46" t="str">
        <f aca="false">Orders!A1918</f>
        <v>ORD-01917</v>
      </c>
      <c r="B1918" s="46" t="str">
        <f aca="false">PROPER(TRIM(Orders!K1918))</f>
        <v>Delhi</v>
      </c>
      <c r="C1918" s="46" t="str">
        <f aca="false">IFERROR(VLOOKUP(Orders!D1918,Products!$A$2:$F$61,3,FALSE()),"Not Found")</f>
        <v>Grocery</v>
      </c>
      <c r="D1918" s="46" t="str">
        <f aca="false">IFERROR(VLOOKUP(Orders!C1918,Customers!$A$2:$F$301,5,FALSE()),"Not Found")</f>
        <v>Retail</v>
      </c>
      <c r="E1918" s="46" t="n">
        <f aca="false">IFERROR(VLOOKUP(Orders!C1918,Customers!$A$2:$F$301,3,FALSE()),"Not Found")</f>
        <v>55</v>
      </c>
      <c r="F1918" s="46" t="str">
        <f aca="false">IFERROR(VLOOKUP(Orders!E1918,Sales_Reps!$A$2:$E$31,3,FALSE()),"Not Found")</f>
        <v>South</v>
      </c>
      <c r="G1918" s="46" t="n">
        <f aca="false">IFERROR(VLOOKUP(Orders!D1918,Products!$A$2:$F$61,4,FALSE()),"")</f>
        <v>2436</v>
      </c>
      <c r="H1918" s="47" t="n">
        <f aca="false">IF(G1918="","",(Orders!G1918-G1918)/Orders!G1918)</f>
        <v>0.355555555555556</v>
      </c>
      <c r="I1918" s="46"/>
      <c r="J1918" s="46"/>
      <c r="K1918" s="46"/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</row>
    <row r="1919" customFormat="false" ht="15" hidden="false" customHeight="false" outlineLevel="0" collapsed="false">
      <c r="A1919" s="46" t="str">
        <f aca="false">Orders!A1919</f>
        <v>ORD-01918</v>
      </c>
      <c r="B1919" s="46" t="str">
        <f aca="false">PROPER(TRIM(Orders!K1919))</f>
        <v>Chennai</v>
      </c>
      <c r="C1919" s="46" t="str">
        <f aca="false">IFERROR(VLOOKUP(Orders!D1919,Products!$A$2:$F$61,3,FALSE()),"Not Found")</f>
        <v>Beauty</v>
      </c>
      <c r="D1919" s="46" t="str">
        <f aca="false">IFERROR(VLOOKUP(Orders!C1919,Customers!$A$2:$F$301,5,FALSE()),"Not Found")</f>
        <v>Corporate</v>
      </c>
      <c r="E1919" s="46" t="n">
        <f aca="false">IFERROR(VLOOKUP(Orders!C1919,Customers!$A$2:$F$301,3,FALSE()),"Not Found")</f>
        <v>55</v>
      </c>
      <c r="F1919" s="46" t="str">
        <f aca="false">IFERROR(VLOOKUP(Orders!E1919,Sales_Reps!$A$2:$E$31,3,FALSE()),"Not Found")</f>
        <v>East</v>
      </c>
      <c r="G1919" s="46" t="n">
        <f aca="false">IFERROR(VLOOKUP(Orders!D1919,Products!$A$2:$F$61,4,FALSE()),"")</f>
        <v>2768</v>
      </c>
      <c r="H1919" s="47" t="n">
        <f aca="false">IF(G1919="","",(Orders!G1919-G1919)/Orders!G1919)</f>
        <v>0.432786885245902</v>
      </c>
      <c r="I1919" s="46"/>
      <c r="J1919" s="46"/>
      <c r="K1919" s="46"/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  <c r="AA1919" s="46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46"/>
      <c r="AY1919" s="46"/>
      <c r="AZ1919" s="46"/>
    </row>
    <row r="1920" customFormat="false" ht="15" hidden="false" customHeight="false" outlineLevel="0" collapsed="false">
      <c r="A1920" s="46" t="str">
        <f aca="false">Orders!A1920</f>
        <v>ORD-01919</v>
      </c>
      <c r="B1920" s="46" t="str">
        <f aca="false">PROPER(TRIM(Orders!K1920))</f>
        <v>Chennai</v>
      </c>
      <c r="C1920" s="46" t="str">
        <f aca="false">IFERROR(VLOOKUP(Orders!D1920,Products!$A$2:$F$61,3,FALSE()),"Not Found")</f>
        <v>Beauty</v>
      </c>
      <c r="D1920" s="46" t="str">
        <f aca="false">IFERROR(VLOOKUP(Orders!C1920,Customers!$A$2:$F$301,5,FALSE()),"Not Found")</f>
        <v>Corporate</v>
      </c>
      <c r="E1920" s="46" t="n">
        <f aca="false">IFERROR(VLOOKUP(Orders!C1920,Customers!$A$2:$F$301,3,FALSE()),"Not Found")</f>
        <v>41</v>
      </c>
      <c r="F1920" s="46" t="str">
        <f aca="false">IFERROR(VLOOKUP(Orders!E1920,Sales_Reps!$A$2:$E$31,3,FALSE()),"Not Found")</f>
        <v>West</v>
      </c>
      <c r="G1920" s="46" t="n">
        <f aca="false">IFERROR(VLOOKUP(Orders!D1920,Products!$A$2:$F$61,4,FALSE()),"")</f>
        <v>2237</v>
      </c>
      <c r="H1920" s="47" t="n">
        <f aca="false">IF(G1920="","",(Orders!G1920-G1920)/Orders!G1920)</f>
        <v>0.561372549019608</v>
      </c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46"/>
      <c r="AY1920" s="46"/>
      <c r="AZ1920" s="46"/>
    </row>
    <row r="1921" customFormat="false" ht="15" hidden="false" customHeight="false" outlineLevel="0" collapsed="false">
      <c r="A1921" s="46" t="str">
        <f aca="false">Orders!A1921</f>
        <v>ORD-01920</v>
      </c>
      <c r="B1921" s="46" t="str">
        <f aca="false">PROPER(TRIM(Orders!K1921))</f>
        <v>Bengaluru</v>
      </c>
      <c r="C1921" s="46" t="str">
        <f aca="false">IFERROR(VLOOKUP(Orders!D1921,Products!$A$2:$F$61,3,FALSE()),"Not Found")</f>
        <v>Electronics</v>
      </c>
      <c r="D1921" s="46" t="str">
        <f aca="false">IFERROR(VLOOKUP(Orders!C1921,Customers!$A$2:$F$301,5,FALSE()),"Not Found")</f>
        <v>Retail</v>
      </c>
      <c r="E1921" s="46" t="n">
        <f aca="false">IFERROR(VLOOKUP(Orders!C1921,Customers!$A$2:$F$301,3,FALSE()),"Not Found")</f>
        <v>27</v>
      </c>
      <c r="F1921" s="46" t="str">
        <f aca="false">IFERROR(VLOOKUP(Orders!E1921,Sales_Reps!$A$2:$E$31,3,FALSE()),"Not Found")</f>
        <v>East</v>
      </c>
      <c r="G1921" s="46" t="n">
        <f aca="false">IFERROR(VLOOKUP(Orders!D1921,Products!$A$2:$F$61,4,FALSE()),"")</f>
        <v>1259</v>
      </c>
      <c r="H1921" s="47" t="n">
        <f aca="false">IF(G1921="","",(Orders!G1921-G1921)/Orders!G1921)</f>
        <v>0.526691729323308</v>
      </c>
      <c r="I1921" s="46"/>
      <c r="J1921" s="46"/>
      <c r="K1921" s="46"/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46"/>
      <c r="AY1921" s="46"/>
      <c r="AZ1921" s="46"/>
    </row>
    <row r="1922" customFormat="false" ht="15" hidden="false" customHeight="false" outlineLevel="0" collapsed="false">
      <c r="A1922" s="46" t="str">
        <f aca="false">Orders!A1922</f>
        <v>ORD-01921</v>
      </c>
      <c r="B1922" s="46" t="str">
        <f aca="false">PROPER(TRIM(Orders!K1922))</f>
        <v>Delhi</v>
      </c>
      <c r="C1922" s="46" t="str">
        <f aca="false">IFERROR(VLOOKUP(Orders!D1922,Products!$A$2:$F$61,3,FALSE()),"Not Found")</f>
        <v>Grocery</v>
      </c>
      <c r="D1922" s="46" t="str">
        <f aca="false">IFERROR(VLOOKUP(Orders!C1922,Customers!$A$2:$F$301,5,FALSE()),"Not Found")</f>
        <v>SMB</v>
      </c>
      <c r="E1922" s="46" t="n">
        <f aca="false">IFERROR(VLOOKUP(Orders!C1922,Customers!$A$2:$F$301,3,FALSE()),"Not Found")</f>
        <v>28</v>
      </c>
      <c r="F1922" s="46" t="str">
        <f aca="false">IFERROR(VLOOKUP(Orders!E1922,Sales_Reps!$A$2:$E$31,3,FALSE()),"Not Found")</f>
        <v>East</v>
      </c>
      <c r="G1922" s="46" t="n">
        <f aca="false">IFERROR(VLOOKUP(Orders!D1922,Products!$A$2:$F$61,4,FALSE()),"")</f>
        <v>1182</v>
      </c>
      <c r="H1922" s="47" t="n">
        <f aca="false">IF(G1922="","",(Orders!G1922-G1922)/Orders!G1922)</f>
        <v>0.503361344537815</v>
      </c>
      <c r="I1922" s="46"/>
      <c r="J1922" s="46"/>
      <c r="K1922" s="46"/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46"/>
      <c r="AY1922" s="46"/>
      <c r="AZ1922" s="46"/>
    </row>
    <row r="1923" customFormat="false" ht="15" hidden="false" customHeight="false" outlineLevel="0" collapsed="false">
      <c r="A1923" s="46" t="str">
        <f aca="false">Orders!A1923</f>
        <v>ORD-01922</v>
      </c>
      <c r="B1923" s="46" t="str">
        <f aca="false">PROPER(TRIM(Orders!K1923))</f>
        <v>Pune</v>
      </c>
      <c r="C1923" s="46" t="str">
        <f aca="false">IFERROR(VLOOKUP(Orders!D1923,Products!$A$2:$F$61,3,FALSE()),"Not Found")</f>
        <v>Beauty</v>
      </c>
      <c r="D1923" s="46" t="str">
        <f aca="false">IFERROR(VLOOKUP(Orders!C1923,Customers!$A$2:$F$301,5,FALSE()),"Not Found")</f>
        <v>Retail</v>
      </c>
      <c r="E1923" s="46" t="n">
        <f aca="false">IFERROR(VLOOKUP(Orders!C1923,Customers!$A$2:$F$301,3,FALSE()),"Not Found")</f>
        <v>36</v>
      </c>
      <c r="F1923" s="46" t="str">
        <f aca="false">IFERROR(VLOOKUP(Orders!E1923,Sales_Reps!$A$2:$E$31,3,FALSE()),"Not Found")</f>
        <v>North</v>
      </c>
      <c r="G1923" s="46" t="n">
        <f aca="false">IFERROR(VLOOKUP(Orders!D1923,Products!$A$2:$F$61,4,FALSE()),"")</f>
        <v>2768</v>
      </c>
      <c r="H1923" s="47" t="n">
        <f aca="false">IF(G1923="","",(Orders!G1923-G1923)/Orders!G1923)</f>
        <v>0.432786885245902</v>
      </c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/>
      <c r="AD1923" s="46"/>
      <c r="AE1923" s="46"/>
      <c r="AF1923" s="46"/>
      <c r="AG1923" s="46"/>
      <c r="AH1923" s="46"/>
      <c r="AI1923" s="46"/>
      <c r="AJ1923" s="46"/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46"/>
      <c r="AY1923" s="46"/>
      <c r="AZ1923" s="46"/>
    </row>
    <row r="1924" customFormat="false" ht="15" hidden="false" customHeight="false" outlineLevel="0" collapsed="false">
      <c r="A1924" s="46" t="str">
        <f aca="false">Orders!A1924</f>
        <v>ORD-01923</v>
      </c>
      <c r="B1924" s="46" t="str">
        <f aca="false">PROPER(TRIM(Orders!K1924))</f>
        <v>Hyderabad</v>
      </c>
      <c r="C1924" s="46" t="str">
        <f aca="false">IFERROR(VLOOKUP(Orders!D1924,Products!$A$2:$F$61,3,FALSE()),"Not Found")</f>
        <v>Home</v>
      </c>
      <c r="D1924" s="46" t="str">
        <f aca="false">IFERROR(VLOOKUP(Orders!C1924,Customers!$A$2:$F$301,5,FALSE()),"Not Found")</f>
        <v>SMB</v>
      </c>
      <c r="E1924" s="46" t="n">
        <f aca="false">IFERROR(VLOOKUP(Orders!C1924,Customers!$A$2:$F$301,3,FALSE()),"Not Found")</f>
        <v>25</v>
      </c>
      <c r="F1924" s="46" t="str">
        <f aca="false">IFERROR(VLOOKUP(Orders!E1924,Sales_Reps!$A$2:$E$31,3,FALSE()),"Not Found")</f>
        <v>South</v>
      </c>
      <c r="G1924" s="46" t="n">
        <f aca="false">IFERROR(VLOOKUP(Orders!D1924,Products!$A$2:$F$61,4,FALSE()),"")</f>
        <v>2135</v>
      </c>
      <c r="H1924" s="47" t="n">
        <f aca="false">IF(G1924="","",(Orders!G1924-G1924)/Orders!G1924)</f>
        <v>0.427613941018767</v>
      </c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46"/>
      <c r="AY1924" s="46"/>
      <c r="AZ1924" s="46"/>
    </row>
    <row r="1925" customFormat="false" ht="15" hidden="false" customHeight="false" outlineLevel="0" collapsed="false">
      <c r="A1925" s="46" t="str">
        <f aca="false">Orders!A1925</f>
        <v>ORD-01924</v>
      </c>
      <c r="B1925" s="46" t="str">
        <f aca="false">PROPER(TRIM(Orders!K1925))</f>
        <v>Bengaluru</v>
      </c>
      <c r="C1925" s="46" t="str">
        <f aca="false">IFERROR(VLOOKUP(Orders!D1925,Products!$A$2:$F$61,3,FALSE()),"Not Found")</f>
        <v>Sports</v>
      </c>
      <c r="D1925" s="46" t="str">
        <f aca="false">IFERROR(VLOOKUP(Orders!C1925,Customers!$A$2:$F$301,5,FALSE()),"Not Found")</f>
        <v>Retail</v>
      </c>
      <c r="E1925" s="46" t="n">
        <f aca="false">IFERROR(VLOOKUP(Orders!C1925,Customers!$A$2:$F$301,3,FALSE()),"Not Found")</f>
        <v>27</v>
      </c>
      <c r="F1925" s="46" t="str">
        <f aca="false">IFERROR(VLOOKUP(Orders!E1925,Sales_Reps!$A$2:$E$31,3,FALSE()),"Not Found")</f>
        <v>North</v>
      </c>
      <c r="G1925" s="46" t="n">
        <f aca="false">IFERROR(VLOOKUP(Orders!D1925,Products!$A$2:$F$61,4,FALSE()),"")</f>
        <v>1860</v>
      </c>
      <c r="H1925" s="47" t="n">
        <f aca="false">IF(G1925="","",(Orders!G1925-G1925)/Orders!G1925)</f>
        <v>0.507936507936508</v>
      </c>
      <c r="I1925" s="46"/>
      <c r="J1925" s="46"/>
      <c r="K1925" s="46"/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46"/>
      <c r="AE1925" s="46"/>
      <c r="AF1925" s="46"/>
      <c r="AG1925" s="46"/>
      <c r="AH1925" s="46"/>
      <c r="AI1925" s="46"/>
      <c r="AJ1925" s="46"/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46"/>
      <c r="AY1925" s="46"/>
      <c r="AZ1925" s="46"/>
    </row>
    <row r="1926" customFormat="false" ht="15" hidden="false" customHeight="false" outlineLevel="0" collapsed="false">
      <c r="A1926" s="46" t="str">
        <f aca="false">Orders!A1926</f>
        <v>ORD-01925</v>
      </c>
      <c r="B1926" s="46" t="str">
        <f aca="false">PROPER(TRIM(Orders!K1926))</f>
        <v>Chennai</v>
      </c>
      <c r="C1926" s="46" t="str">
        <f aca="false">IFERROR(VLOOKUP(Orders!D1926,Products!$A$2:$F$61,3,FALSE()),"Not Found")</f>
        <v>Apparel</v>
      </c>
      <c r="D1926" s="46" t="str">
        <f aca="false">IFERROR(VLOOKUP(Orders!C1926,Customers!$A$2:$F$301,5,FALSE()),"Not Found")</f>
        <v>SMB</v>
      </c>
      <c r="E1926" s="46" t="n">
        <f aca="false">IFERROR(VLOOKUP(Orders!C1926,Customers!$A$2:$F$301,3,FALSE()),"Not Found")</f>
        <v>51</v>
      </c>
      <c r="F1926" s="46" t="str">
        <f aca="false">IFERROR(VLOOKUP(Orders!E1926,Sales_Reps!$A$2:$E$31,3,FALSE()),"Not Found")</f>
        <v>East</v>
      </c>
      <c r="G1926" s="46" t="n">
        <f aca="false">IFERROR(VLOOKUP(Orders!D1926,Products!$A$2:$F$61,4,FALSE()),"")</f>
        <v>2509</v>
      </c>
      <c r="H1926" s="47" t="n">
        <f aca="false">IF(G1926="","",(Orders!G1926-G1926)/Orders!G1926)</f>
        <v>0.306906077348066</v>
      </c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46"/>
      <c r="AY1926" s="46"/>
      <c r="AZ1926" s="46"/>
    </row>
    <row r="1927" customFormat="false" ht="15" hidden="false" customHeight="false" outlineLevel="0" collapsed="false">
      <c r="A1927" s="46" t="str">
        <f aca="false">Orders!A1927</f>
        <v>ORD-01926</v>
      </c>
      <c r="B1927" s="46" t="str">
        <f aca="false">PROPER(TRIM(Orders!K1927))</f>
        <v>Mumbai</v>
      </c>
      <c r="C1927" s="46" t="str">
        <f aca="false">IFERROR(VLOOKUP(Orders!D1927,Products!$A$2:$F$61,3,FALSE()),"Not Found")</f>
        <v>Home</v>
      </c>
      <c r="D1927" s="46" t="str">
        <f aca="false">IFERROR(VLOOKUP(Orders!C1927,Customers!$A$2:$F$301,5,FALSE()),"Not Found")</f>
        <v>Retail</v>
      </c>
      <c r="E1927" s="46" t="n">
        <f aca="false">IFERROR(VLOOKUP(Orders!C1927,Customers!$A$2:$F$301,3,FALSE()),"Not Found")</f>
        <v>33</v>
      </c>
      <c r="F1927" s="46" t="str">
        <f aca="false">IFERROR(VLOOKUP(Orders!E1927,Sales_Reps!$A$2:$E$31,3,FALSE()),"Not Found")</f>
        <v>East</v>
      </c>
      <c r="G1927" s="46" t="n">
        <f aca="false">IFERROR(VLOOKUP(Orders!D1927,Products!$A$2:$F$61,4,FALSE()),"")</f>
        <v>2459</v>
      </c>
      <c r="H1927" s="47" t="n">
        <f aca="false">IF(G1927="","",(Orders!G1927-G1927)/Orders!G1927)</f>
        <v>0.515944881889764</v>
      </c>
      <c r="I1927" s="46"/>
      <c r="J1927" s="46"/>
      <c r="K1927" s="46"/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46"/>
      <c r="AE1927" s="46"/>
      <c r="AF1927" s="46"/>
      <c r="AG1927" s="46"/>
      <c r="AH1927" s="46"/>
      <c r="AI1927" s="46"/>
      <c r="AJ1927" s="46"/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46"/>
      <c r="AY1927" s="46"/>
      <c r="AZ1927" s="46"/>
    </row>
    <row r="1928" customFormat="false" ht="15" hidden="false" customHeight="false" outlineLevel="0" collapsed="false">
      <c r="A1928" s="46" t="str">
        <f aca="false">Orders!A1928</f>
        <v>ORD-01927</v>
      </c>
      <c r="B1928" s="46" t="str">
        <f aca="false">PROPER(TRIM(Orders!K1928))</f>
        <v>Bengaluru</v>
      </c>
      <c r="C1928" s="46" t="str">
        <f aca="false">IFERROR(VLOOKUP(Orders!D1928,Products!$A$2:$F$61,3,FALSE()),"Not Found")</f>
        <v>Apparel</v>
      </c>
      <c r="D1928" s="46" t="str">
        <f aca="false">IFERROR(VLOOKUP(Orders!C1928,Customers!$A$2:$F$301,5,FALSE()),"Not Found")</f>
        <v>SMB</v>
      </c>
      <c r="E1928" s="46" t="n">
        <f aca="false">IFERROR(VLOOKUP(Orders!C1928,Customers!$A$2:$F$301,3,FALSE()),"Not Found")</f>
        <v>28</v>
      </c>
      <c r="F1928" s="46" t="str">
        <f aca="false">IFERROR(VLOOKUP(Orders!E1928,Sales_Reps!$A$2:$E$31,3,FALSE()),"Not Found")</f>
        <v>West</v>
      </c>
      <c r="G1928" s="46" t="n">
        <f aca="false">IFERROR(VLOOKUP(Orders!D1928,Products!$A$2:$F$61,4,FALSE()),"")</f>
        <v>2629</v>
      </c>
      <c r="H1928" s="47" t="n">
        <f aca="false">IF(G1928="","",(Orders!G1928-G1928)/Orders!G1928)</f>
        <v>0.261516853932584</v>
      </c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46"/>
      <c r="AY1928" s="46"/>
      <c r="AZ1928" s="46"/>
    </row>
    <row r="1929" customFormat="false" ht="15" hidden="false" customHeight="false" outlineLevel="0" collapsed="false">
      <c r="A1929" s="46" t="str">
        <f aca="false">Orders!A1929</f>
        <v>ORD-01928</v>
      </c>
      <c r="B1929" s="46" t="str">
        <f aca="false">PROPER(TRIM(Orders!K1929))</f>
        <v>Mumbai</v>
      </c>
      <c r="C1929" s="46" t="str">
        <f aca="false">IFERROR(VLOOKUP(Orders!D1929,Products!$A$2:$F$61,3,FALSE()),"Not Found")</f>
        <v>Grocery</v>
      </c>
      <c r="D1929" s="46" t="str">
        <f aca="false">IFERROR(VLOOKUP(Orders!C1929,Customers!$A$2:$F$301,5,FALSE()),"Not Found")</f>
        <v>Retail</v>
      </c>
      <c r="E1929" s="46" t="n">
        <f aca="false">IFERROR(VLOOKUP(Orders!C1929,Customers!$A$2:$F$301,3,FALSE()),"Not Found")</f>
        <v>37</v>
      </c>
      <c r="F1929" s="46" t="str">
        <f aca="false">IFERROR(VLOOKUP(Orders!E1929,Sales_Reps!$A$2:$E$31,3,FALSE()),"Not Found")</f>
        <v>North</v>
      </c>
      <c r="G1929" s="46" t="n">
        <f aca="false">IFERROR(VLOOKUP(Orders!D1929,Products!$A$2:$F$61,4,FALSE()),"")</f>
        <v>434</v>
      </c>
      <c r="H1929" s="47" t="n">
        <f aca="false">IF(G1929="","",(Orders!G1929-G1929)/Orders!G1929)</f>
        <v>0.552577319587629</v>
      </c>
      <c r="I1929" s="46"/>
      <c r="J1929" s="46"/>
      <c r="K1929" s="46"/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46"/>
      <c r="AY1929" s="46"/>
      <c r="AZ1929" s="46"/>
    </row>
    <row r="1930" customFormat="false" ht="15" hidden="false" customHeight="false" outlineLevel="0" collapsed="false">
      <c r="A1930" s="46" t="str">
        <f aca="false">Orders!A1930</f>
        <v>ORD-01929</v>
      </c>
      <c r="B1930" s="46" t="str">
        <f aca="false">PROPER(TRIM(Orders!K1930))</f>
        <v>Mumbai</v>
      </c>
      <c r="C1930" s="46" t="str">
        <f aca="false">IFERROR(VLOOKUP(Orders!D1930,Products!$A$2:$F$61,3,FALSE()),"Not Found")</f>
        <v>Beauty</v>
      </c>
      <c r="D1930" s="46" t="str">
        <f aca="false">IFERROR(VLOOKUP(Orders!C1930,Customers!$A$2:$F$301,5,FALSE()),"Not Found")</f>
        <v>Retail</v>
      </c>
      <c r="E1930" s="46" t="n">
        <f aca="false">IFERROR(VLOOKUP(Orders!C1930,Customers!$A$2:$F$301,3,FALSE()),"Not Found")</f>
        <v>49</v>
      </c>
      <c r="F1930" s="46" t="str">
        <f aca="false">IFERROR(VLOOKUP(Orders!E1930,Sales_Reps!$A$2:$E$31,3,FALSE()),"Not Found")</f>
        <v>South</v>
      </c>
      <c r="G1930" s="46" t="n">
        <f aca="false">IFERROR(VLOOKUP(Orders!D1930,Products!$A$2:$F$61,4,FALSE()),"")</f>
        <v>1728</v>
      </c>
      <c r="H1930" s="47" t="n">
        <f aca="false">IF(G1930="","",(Orders!G1930-G1930)/Orders!G1930)</f>
        <v>0.484179104477612</v>
      </c>
      <c r="I1930" s="46"/>
      <c r="J1930" s="46"/>
      <c r="K1930" s="46"/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46"/>
      <c r="AY1930" s="46"/>
      <c r="AZ1930" s="46"/>
    </row>
    <row r="1931" customFormat="false" ht="15" hidden="false" customHeight="false" outlineLevel="0" collapsed="false">
      <c r="A1931" s="46" t="str">
        <f aca="false">Orders!A1931</f>
        <v>ORD-01930</v>
      </c>
      <c r="B1931" s="46" t="str">
        <f aca="false">PROPER(TRIM(Orders!K1931))</f>
        <v>Mumbai</v>
      </c>
      <c r="C1931" s="46" t="str">
        <f aca="false">IFERROR(VLOOKUP(Orders!D1931,Products!$A$2:$F$61,3,FALSE()),"Not Found")</f>
        <v>Home</v>
      </c>
      <c r="D1931" s="46" t="str">
        <f aca="false">IFERROR(VLOOKUP(Orders!C1931,Customers!$A$2:$F$301,5,FALSE()),"Not Found")</f>
        <v>Not Found</v>
      </c>
      <c r="E1931" s="46" t="str">
        <f aca="false">IFERROR(VLOOKUP(Orders!C1931,Customers!$A$2:$F$301,3,FALSE()),"Not Found")</f>
        <v>Not Found</v>
      </c>
      <c r="F1931" s="46" t="str">
        <f aca="false">IFERROR(VLOOKUP(Orders!E1931,Sales_Reps!$A$2:$E$31,3,FALSE()),"Not Found")</f>
        <v>South</v>
      </c>
      <c r="G1931" s="46" t="n">
        <f aca="false">IFERROR(VLOOKUP(Orders!D1931,Products!$A$2:$F$61,4,FALSE()),"")</f>
        <v>288</v>
      </c>
      <c r="H1931" s="47" t="n">
        <f aca="false">IF(G1931="","",(Orders!G1931-G1931)/Orders!G1931)</f>
        <v>0.221621621621622</v>
      </c>
      <c r="I1931" s="46"/>
      <c r="J1931" s="46"/>
      <c r="K1931" s="46"/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46"/>
      <c r="AY1931" s="46"/>
      <c r="AZ1931" s="46"/>
    </row>
    <row r="1932" customFormat="false" ht="15" hidden="false" customHeight="false" outlineLevel="0" collapsed="false">
      <c r="A1932" s="46" t="str">
        <f aca="false">Orders!A1932</f>
        <v>ORD-01931</v>
      </c>
      <c r="B1932" s="46" t="str">
        <f aca="false">PROPER(TRIM(Orders!K1932))</f>
        <v>Delhi</v>
      </c>
      <c r="C1932" s="46" t="str">
        <f aca="false">IFERROR(VLOOKUP(Orders!D1932,Products!$A$2:$F$61,3,FALSE()),"Not Found")</f>
        <v>Grocery</v>
      </c>
      <c r="D1932" s="46" t="str">
        <f aca="false">IFERROR(VLOOKUP(Orders!C1932,Customers!$A$2:$F$301,5,FALSE()),"Not Found")</f>
        <v>Corporate</v>
      </c>
      <c r="E1932" s="46" t="n">
        <f aca="false">IFERROR(VLOOKUP(Orders!C1932,Customers!$A$2:$F$301,3,FALSE()),"Not Found")</f>
        <v>55</v>
      </c>
      <c r="F1932" s="46" t="str">
        <f aca="false">IFERROR(VLOOKUP(Orders!E1932,Sales_Reps!$A$2:$E$31,3,FALSE()),"Not Found")</f>
        <v>South</v>
      </c>
      <c r="G1932" s="46" t="n">
        <f aca="false">IFERROR(VLOOKUP(Orders!D1932,Products!$A$2:$F$61,4,FALSE()),"")</f>
        <v>1203</v>
      </c>
      <c r="H1932" s="47" t="n">
        <f aca="false">IF(G1932="","",(Orders!G1932-G1932)/Orders!G1932)</f>
        <v>0.470044052863436</v>
      </c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46"/>
      <c r="AY1932" s="46"/>
      <c r="AZ1932" s="46"/>
    </row>
    <row r="1933" customFormat="false" ht="15" hidden="false" customHeight="false" outlineLevel="0" collapsed="false">
      <c r="A1933" s="46" t="str">
        <f aca="false">Orders!A1933</f>
        <v>ORD-01932</v>
      </c>
      <c r="B1933" s="46" t="str">
        <f aca="false">PROPER(TRIM(Orders!K1933))</f>
        <v>Bengaluru</v>
      </c>
      <c r="C1933" s="46" t="str">
        <f aca="false">IFERROR(VLOOKUP(Orders!D1933,Products!$A$2:$F$61,3,FALSE()),"Not Found")</f>
        <v>Sports</v>
      </c>
      <c r="D1933" s="46" t="str">
        <f aca="false">IFERROR(VLOOKUP(Orders!C1933,Customers!$A$2:$F$301,5,FALSE()),"Not Found")</f>
        <v>Corporate</v>
      </c>
      <c r="E1933" s="46" t="n">
        <f aca="false">IFERROR(VLOOKUP(Orders!C1933,Customers!$A$2:$F$301,3,FALSE()),"Not Found")</f>
        <v>41</v>
      </c>
      <c r="F1933" s="46" t="str">
        <f aca="false">IFERROR(VLOOKUP(Orders!E1933,Sales_Reps!$A$2:$E$31,3,FALSE()),"Not Found")</f>
        <v>East</v>
      </c>
      <c r="G1933" s="46" t="n">
        <f aca="false">IFERROR(VLOOKUP(Orders!D1933,Products!$A$2:$F$61,4,FALSE()),"")</f>
        <v>2467</v>
      </c>
      <c r="H1933" s="47" t="n">
        <f aca="false">IF(G1933="","",(Orders!G1933-G1933)/Orders!G1933)</f>
        <v>0.284927536231884</v>
      </c>
      <c r="I1933" s="46"/>
      <c r="J1933" s="46"/>
      <c r="K1933" s="46"/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46"/>
      <c r="AY1933" s="46"/>
      <c r="AZ1933" s="46"/>
    </row>
    <row r="1934" customFormat="false" ht="15" hidden="false" customHeight="false" outlineLevel="0" collapsed="false">
      <c r="A1934" s="46" t="str">
        <f aca="false">Orders!A1934</f>
        <v>ORD-01933</v>
      </c>
      <c r="B1934" s="46" t="str">
        <f aca="false">PROPER(TRIM(Orders!K1934))</f>
        <v>Hyderabad</v>
      </c>
      <c r="C1934" s="46" t="str">
        <f aca="false">IFERROR(VLOOKUP(Orders!D1934,Products!$A$2:$F$61,3,FALSE()),"Not Found")</f>
        <v>Sports</v>
      </c>
      <c r="D1934" s="46" t="str">
        <f aca="false">IFERROR(VLOOKUP(Orders!C1934,Customers!$A$2:$F$301,5,FALSE()),"Not Found")</f>
        <v>Retail</v>
      </c>
      <c r="E1934" s="46" t="n">
        <f aca="false">IFERROR(VLOOKUP(Orders!C1934,Customers!$A$2:$F$301,3,FALSE()),"Not Found")</f>
        <v>29</v>
      </c>
      <c r="F1934" s="46" t="str">
        <f aca="false">IFERROR(VLOOKUP(Orders!E1934,Sales_Reps!$A$2:$E$31,3,FALSE()),"Not Found")</f>
        <v>North</v>
      </c>
      <c r="G1934" s="46" t="n">
        <f aca="false">IFERROR(VLOOKUP(Orders!D1934,Products!$A$2:$F$61,4,FALSE()),"")</f>
        <v>516</v>
      </c>
      <c r="H1934" s="47" t="n">
        <f aca="false">IF(G1934="","",(Orders!G1934-G1934)/Orders!G1934)</f>
        <v>0.489108910891089</v>
      </c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46"/>
      <c r="AY1934" s="46"/>
      <c r="AZ1934" s="46"/>
    </row>
    <row r="1935" customFormat="false" ht="15" hidden="false" customHeight="false" outlineLevel="0" collapsed="false">
      <c r="A1935" s="46" t="str">
        <f aca="false">Orders!A1935</f>
        <v>ORD-01934</v>
      </c>
      <c r="B1935" s="46" t="str">
        <f aca="false">PROPER(TRIM(Orders!K1935))</f>
        <v>Mumbai</v>
      </c>
      <c r="C1935" s="46" t="str">
        <f aca="false">IFERROR(VLOOKUP(Orders!D1935,Products!$A$2:$F$61,3,FALSE()),"Not Found")</f>
        <v>Home</v>
      </c>
      <c r="D1935" s="46" t="str">
        <f aca="false">IFERROR(VLOOKUP(Orders!C1935,Customers!$A$2:$F$301,5,FALSE()),"Not Found")</f>
        <v>Retail</v>
      </c>
      <c r="E1935" s="46" t="n">
        <f aca="false">IFERROR(VLOOKUP(Orders!C1935,Customers!$A$2:$F$301,3,FALSE()),"Not Found")</f>
        <v>33</v>
      </c>
      <c r="F1935" s="46" t="str">
        <f aca="false">IFERROR(VLOOKUP(Orders!E1935,Sales_Reps!$A$2:$E$31,3,FALSE()),"Not Found")</f>
        <v>North</v>
      </c>
      <c r="G1935" s="46" t="n">
        <f aca="false">IFERROR(VLOOKUP(Orders!D1935,Products!$A$2:$F$61,4,FALSE()),"")</f>
        <v>1850</v>
      </c>
      <c r="H1935" s="47" t="n">
        <f aca="false">IF(G1935="","",(Orders!G1935-G1935)/Orders!G1935)</f>
        <v>0.598698481561822</v>
      </c>
      <c r="I1935" s="46"/>
      <c r="J1935" s="46"/>
      <c r="K1935" s="46"/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  <c r="Y1935" s="46"/>
      <c r="Z1935" s="46"/>
      <c r="AA1935" s="46"/>
      <c r="AB1935" s="46"/>
      <c r="AC1935" s="46"/>
      <c r="AD1935" s="46"/>
      <c r="AE1935" s="46"/>
      <c r="AF1935" s="46"/>
      <c r="AG1935" s="46"/>
      <c r="AH1935" s="46"/>
      <c r="AI1935" s="46"/>
      <c r="AJ1935" s="46"/>
      <c r="AK1935" s="46"/>
      <c r="AL1935" s="46"/>
      <c r="AM1935" s="46"/>
      <c r="AN1935" s="46"/>
      <c r="AO1935" s="46"/>
      <c r="AP1935" s="46"/>
      <c r="AQ1935" s="46"/>
      <c r="AR1935" s="46"/>
      <c r="AS1935" s="46"/>
      <c r="AT1935" s="46"/>
      <c r="AU1935" s="46"/>
      <c r="AV1935" s="46"/>
      <c r="AW1935" s="46"/>
      <c r="AX1935" s="46"/>
      <c r="AY1935" s="46"/>
      <c r="AZ1935" s="46"/>
    </row>
    <row r="1936" customFormat="false" ht="15" hidden="false" customHeight="false" outlineLevel="0" collapsed="false">
      <c r="A1936" s="46" t="str">
        <f aca="false">Orders!A1936</f>
        <v>ORD-01935</v>
      </c>
      <c r="B1936" s="46" t="str">
        <f aca="false">PROPER(TRIM(Orders!K1936))</f>
        <v>Delhi</v>
      </c>
      <c r="C1936" s="46" t="str">
        <f aca="false">IFERROR(VLOOKUP(Orders!D1936,Products!$A$2:$F$61,3,FALSE()),"Not Found")</f>
        <v>Home</v>
      </c>
      <c r="D1936" s="46" t="str">
        <f aca="false">IFERROR(VLOOKUP(Orders!C1936,Customers!$A$2:$F$301,5,FALSE()),"Not Found")</f>
        <v>Retail</v>
      </c>
      <c r="E1936" s="46" t="n">
        <f aca="false">IFERROR(VLOOKUP(Orders!C1936,Customers!$A$2:$F$301,3,FALSE()),"Not Found")</f>
        <v>59</v>
      </c>
      <c r="F1936" s="46" t="str">
        <f aca="false">IFERROR(VLOOKUP(Orders!E1936,Sales_Reps!$A$2:$E$31,3,FALSE()),"Not Found")</f>
        <v>North</v>
      </c>
      <c r="G1936" s="46" t="n">
        <f aca="false">IFERROR(VLOOKUP(Orders!D1936,Products!$A$2:$F$61,4,FALSE()),"")</f>
        <v>288</v>
      </c>
      <c r="H1936" s="47" t="n">
        <f aca="false">IF(G1936="","",(Orders!G1936-G1936)/Orders!G1936)</f>
        <v>0.221621621621622</v>
      </c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  <c r="Y1936" s="46"/>
      <c r="Z1936" s="46"/>
      <c r="AA1936" s="46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6"/>
      <c r="AU1936" s="46"/>
      <c r="AV1936" s="46"/>
      <c r="AW1936" s="46"/>
      <c r="AX1936" s="46"/>
      <c r="AY1936" s="46"/>
      <c r="AZ1936" s="46"/>
    </row>
    <row r="1937" customFormat="false" ht="15" hidden="false" customHeight="false" outlineLevel="0" collapsed="false">
      <c r="A1937" s="46" t="str">
        <f aca="false">Orders!A1937</f>
        <v>ORD-01936</v>
      </c>
      <c r="B1937" s="46" t="str">
        <f aca="false">PROPER(TRIM(Orders!K1937))</f>
        <v>Chennai</v>
      </c>
      <c r="C1937" s="46" t="str">
        <f aca="false">IFERROR(VLOOKUP(Orders!D1937,Products!$A$2:$F$61,3,FALSE()),"Not Found")</f>
        <v>Grocery</v>
      </c>
      <c r="D1937" s="46" t="str">
        <f aca="false">IFERROR(VLOOKUP(Orders!C1937,Customers!$A$2:$F$301,5,FALSE()),"Not Found")</f>
        <v>Corporate</v>
      </c>
      <c r="E1937" s="46" t="n">
        <f aca="false">IFERROR(VLOOKUP(Orders!C1937,Customers!$A$2:$F$301,3,FALSE()),"Not Found")</f>
        <v>24</v>
      </c>
      <c r="F1937" s="46" t="str">
        <f aca="false">IFERROR(VLOOKUP(Orders!E1937,Sales_Reps!$A$2:$E$31,3,FALSE()),"Not Found")</f>
        <v>West</v>
      </c>
      <c r="G1937" s="46" t="n">
        <f aca="false">IFERROR(VLOOKUP(Orders!D1937,Products!$A$2:$F$61,4,FALSE()),"")</f>
        <v>1182</v>
      </c>
      <c r="H1937" s="47" t="n">
        <f aca="false">IF(G1937="","",(Orders!G1937-G1937)/Orders!G1937)</f>
        <v>0.503361344537815</v>
      </c>
      <c r="I1937" s="46"/>
      <c r="J1937" s="46"/>
      <c r="K1937" s="46"/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  <c r="Y1937" s="46"/>
      <c r="Z1937" s="46"/>
      <c r="AA1937" s="46"/>
      <c r="AB1937" s="46"/>
      <c r="AC1937" s="46"/>
      <c r="AD1937" s="46"/>
      <c r="AE1937" s="46"/>
      <c r="AF1937" s="46"/>
      <c r="AG1937" s="46"/>
      <c r="AH1937" s="46"/>
      <c r="AI1937" s="46"/>
      <c r="AJ1937" s="46"/>
      <c r="AK1937" s="46"/>
      <c r="AL1937" s="46"/>
      <c r="AM1937" s="46"/>
      <c r="AN1937" s="46"/>
      <c r="AO1937" s="46"/>
      <c r="AP1937" s="46"/>
      <c r="AQ1937" s="46"/>
      <c r="AR1937" s="46"/>
      <c r="AS1937" s="46"/>
      <c r="AT1937" s="46"/>
      <c r="AU1937" s="46"/>
      <c r="AV1937" s="46"/>
      <c r="AW1937" s="46"/>
      <c r="AX1937" s="46"/>
      <c r="AY1937" s="46"/>
      <c r="AZ1937" s="46"/>
    </row>
    <row r="1938" customFormat="false" ht="15" hidden="false" customHeight="false" outlineLevel="0" collapsed="false">
      <c r="A1938" s="46" t="str">
        <f aca="false">Orders!A1938</f>
        <v>ORD-01937</v>
      </c>
      <c r="B1938" s="46" t="str">
        <f aca="false">PROPER(TRIM(Orders!K1938))</f>
        <v>Hyderabad</v>
      </c>
      <c r="C1938" s="46" t="str">
        <f aca="false">IFERROR(VLOOKUP(Orders!D1938,Products!$A$2:$F$61,3,FALSE()),"Not Found")</f>
        <v>Beauty</v>
      </c>
      <c r="D1938" s="46" t="str">
        <f aca="false">IFERROR(VLOOKUP(Orders!C1938,Customers!$A$2:$F$301,5,FALSE()),"Not Found")</f>
        <v>SMB</v>
      </c>
      <c r="E1938" s="46" t="n">
        <f aca="false">IFERROR(VLOOKUP(Orders!C1938,Customers!$A$2:$F$301,3,FALSE()),"Not Found")</f>
        <v>40</v>
      </c>
      <c r="F1938" s="46" t="str">
        <f aca="false">IFERROR(VLOOKUP(Orders!E1938,Sales_Reps!$A$2:$E$31,3,FALSE()),"Not Found")</f>
        <v>East</v>
      </c>
      <c r="G1938" s="46" t="n">
        <f aca="false">IFERROR(VLOOKUP(Orders!D1938,Products!$A$2:$F$61,4,FALSE()),"")</f>
        <v>675</v>
      </c>
      <c r="H1938" s="47" t="n">
        <f aca="false">IF(G1938="","",(Orders!G1938-G1938)/Orders!G1938)</f>
        <v>0.296875</v>
      </c>
      <c r="I1938" s="46"/>
      <c r="J1938" s="46"/>
      <c r="K1938" s="46"/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  <c r="Y1938" s="46"/>
      <c r="Z1938" s="46"/>
      <c r="AA1938" s="46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6"/>
      <c r="AU1938" s="46"/>
      <c r="AV1938" s="46"/>
      <c r="AW1938" s="46"/>
      <c r="AX1938" s="46"/>
      <c r="AY1938" s="46"/>
      <c r="AZ1938" s="46"/>
    </row>
    <row r="1939" customFormat="false" ht="15" hidden="false" customHeight="false" outlineLevel="0" collapsed="false">
      <c r="A1939" s="46" t="str">
        <f aca="false">Orders!A1939</f>
        <v>ORD-01938</v>
      </c>
      <c r="B1939" s="46" t="str">
        <f aca="false">PROPER(TRIM(Orders!K1939))</f>
        <v>Pune</v>
      </c>
      <c r="C1939" s="46" t="str">
        <f aca="false">IFERROR(VLOOKUP(Orders!D1939,Products!$A$2:$F$61,3,FALSE()),"Not Found")</f>
        <v>Sports</v>
      </c>
      <c r="D1939" s="46" t="str">
        <f aca="false">IFERROR(VLOOKUP(Orders!C1939,Customers!$A$2:$F$301,5,FALSE()),"Not Found")</f>
        <v>Retail</v>
      </c>
      <c r="E1939" s="46" t="n">
        <f aca="false">IFERROR(VLOOKUP(Orders!C1939,Customers!$A$2:$F$301,3,FALSE()),"Not Found")</f>
        <v>48</v>
      </c>
      <c r="F1939" s="46" t="str">
        <f aca="false">IFERROR(VLOOKUP(Orders!E1939,Sales_Reps!$A$2:$E$31,3,FALSE()),"Not Found")</f>
        <v>North</v>
      </c>
      <c r="G1939" s="46" t="n">
        <f aca="false">IFERROR(VLOOKUP(Orders!D1939,Products!$A$2:$F$61,4,FALSE()),"")</f>
        <v>705</v>
      </c>
      <c r="H1939" s="47" t="n">
        <f aca="false">IF(G1939="","",(Orders!G1939-G1939)/Orders!G1939)</f>
        <v>0.265625</v>
      </c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  <c r="AA1939" s="46"/>
      <c r="AB1939" s="46"/>
      <c r="AC1939" s="46"/>
      <c r="AD1939" s="46"/>
      <c r="AE1939" s="46"/>
      <c r="AF1939" s="46"/>
      <c r="AG1939" s="46"/>
      <c r="AH1939" s="46"/>
      <c r="AI1939" s="46"/>
      <c r="AJ1939" s="46"/>
      <c r="AK1939" s="46"/>
      <c r="AL1939" s="46"/>
      <c r="AM1939" s="46"/>
      <c r="AN1939" s="46"/>
      <c r="AO1939" s="46"/>
      <c r="AP1939" s="46"/>
      <c r="AQ1939" s="46"/>
      <c r="AR1939" s="46"/>
      <c r="AS1939" s="46"/>
      <c r="AT1939" s="46"/>
      <c r="AU1939" s="46"/>
      <c r="AV1939" s="46"/>
      <c r="AW1939" s="46"/>
      <c r="AX1939" s="46"/>
      <c r="AY1939" s="46"/>
      <c r="AZ1939" s="46"/>
    </row>
    <row r="1940" customFormat="false" ht="15" hidden="false" customHeight="false" outlineLevel="0" collapsed="false">
      <c r="A1940" s="46" t="str">
        <f aca="false">Orders!A1940</f>
        <v>ORD-01939</v>
      </c>
      <c r="B1940" s="46" t="str">
        <f aca="false">PROPER(TRIM(Orders!K1940))</f>
        <v>Mumbai</v>
      </c>
      <c r="C1940" s="46" t="str">
        <f aca="false">IFERROR(VLOOKUP(Orders!D1940,Products!$A$2:$F$61,3,FALSE()),"Not Found")</f>
        <v>Apparel</v>
      </c>
      <c r="D1940" s="46" t="str">
        <f aca="false">IFERROR(VLOOKUP(Orders!C1940,Customers!$A$2:$F$301,5,FALSE()),"Not Found")</f>
        <v>Retail</v>
      </c>
      <c r="E1940" s="46" t="n">
        <f aca="false">IFERROR(VLOOKUP(Orders!C1940,Customers!$A$2:$F$301,3,FALSE()),"Not Found")</f>
        <v>65</v>
      </c>
      <c r="F1940" s="46" t="str">
        <f aca="false">IFERROR(VLOOKUP(Orders!E1940,Sales_Reps!$A$2:$E$31,3,FALSE()),"Not Found")</f>
        <v>West</v>
      </c>
      <c r="G1940" s="46" t="n">
        <f aca="false">IFERROR(VLOOKUP(Orders!D1940,Products!$A$2:$F$61,4,FALSE()),"")</f>
        <v>396</v>
      </c>
      <c r="H1940" s="47" t="n">
        <f aca="false">IF(G1940="","",(Orders!G1940-G1940)/Orders!G1940)</f>
        <v>0.361290322580645</v>
      </c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6"/>
      <c r="AU1940" s="46"/>
      <c r="AV1940" s="46"/>
      <c r="AW1940" s="46"/>
      <c r="AX1940" s="46"/>
      <c r="AY1940" s="46"/>
      <c r="AZ1940" s="46"/>
    </row>
    <row r="1941" customFormat="false" ht="15" hidden="false" customHeight="false" outlineLevel="0" collapsed="false">
      <c r="A1941" s="46" t="str">
        <f aca="false">Orders!A1941</f>
        <v>ORD-01940</v>
      </c>
      <c r="B1941" s="46" t="str">
        <f aca="false">PROPER(TRIM(Orders!K1941))</f>
        <v>Pune</v>
      </c>
      <c r="C1941" s="46" t="str">
        <f aca="false">IFERROR(VLOOKUP(Orders!D1941,Products!$A$2:$F$61,3,FALSE()),"Not Found")</f>
        <v>Sports</v>
      </c>
      <c r="D1941" s="46" t="str">
        <f aca="false">IFERROR(VLOOKUP(Orders!C1941,Customers!$A$2:$F$301,5,FALSE()),"Not Found")</f>
        <v>Retail</v>
      </c>
      <c r="E1941" s="46" t="n">
        <f aca="false">IFERROR(VLOOKUP(Orders!C1941,Customers!$A$2:$F$301,3,FALSE()),"Not Found")</f>
        <v>54</v>
      </c>
      <c r="F1941" s="46" t="str">
        <f aca="false">IFERROR(VLOOKUP(Orders!E1941,Sales_Reps!$A$2:$E$31,3,FALSE()),"Not Found")</f>
        <v>East</v>
      </c>
      <c r="G1941" s="46" t="n">
        <f aca="false">IFERROR(VLOOKUP(Orders!D1941,Products!$A$2:$F$61,4,FALSE()),"")</f>
        <v>705</v>
      </c>
      <c r="H1941" s="47" t="n">
        <f aca="false">IF(G1941="","",(Orders!G1941-G1941)/Orders!G1941)</f>
        <v>0.265625</v>
      </c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  <c r="AB1941" s="46"/>
      <c r="AC1941" s="46"/>
      <c r="AD1941" s="46"/>
      <c r="AE1941" s="46"/>
      <c r="AF1941" s="46"/>
      <c r="AG1941" s="46"/>
      <c r="AH1941" s="46"/>
      <c r="AI1941" s="46"/>
      <c r="AJ1941" s="46"/>
      <c r="AK1941" s="46"/>
      <c r="AL1941" s="46"/>
      <c r="AM1941" s="46"/>
      <c r="AN1941" s="46"/>
      <c r="AO1941" s="46"/>
      <c r="AP1941" s="46"/>
      <c r="AQ1941" s="46"/>
      <c r="AR1941" s="46"/>
      <c r="AS1941" s="46"/>
      <c r="AT1941" s="46"/>
      <c r="AU1941" s="46"/>
      <c r="AV1941" s="46"/>
      <c r="AW1941" s="46"/>
      <c r="AX1941" s="46"/>
      <c r="AY1941" s="46"/>
      <c r="AZ1941" s="46"/>
    </row>
    <row r="1942" customFormat="false" ht="15" hidden="false" customHeight="false" outlineLevel="0" collapsed="false">
      <c r="A1942" s="46" t="str">
        <f aca="false">Orders!A1942</f>
        <v>ORD-01941</v>
      </c>
      <c r="B1942" s="46" t="str">
        <f aca="false">PROPER(TRIM(Orders!K1942))</f>
        <v>Pune</v>
      </c>
      <c r="C1942" s="46" t="str">
        <f aca="false">IFERROR(VLOOKUP(Orders!D1942,Products!$A$2:$F$61,3,FALSE()),"Not Found")</f>
        <v>Beauty</v>
      </c>
      <c r="D1942" s="46" t="str">
        <f aca="false">IFERROR(VLOOKUP(Orders!C1942,Customers!$A$2:$F$301,5,FALSE()),"Not Found")</f>
        <v>Retail</v>
      </c>
      <c r="E1942" s="46" t="n">
        <f aca="false">IFERROR(VLOOKUP(Orders!C1942,Customers!$A$2:$F$301,3,FALSE()),"Not Found")</f>
        <v>57</v>
      </c>
      <c r="F1942" s="46" t="str">
        <f aca="false">IFERROR(VLOOKUP(Orders!E1942,Sales_Reps!$A$2:$E$31,3,FALSE()),"Not Found")</f>
        <v>West</v>
      </c>
      <c r="G1942" s="46" t="n">
        <f aca="false">IFERROR(VLOOKUP(Orders!D1942,Products!$A$2:$F$61,4,FALSE()),"")</f>
        <v>2420</v>
      </c>
      <c r="H1942" s="47" t="n">
        <f aca="false">IF(G1942="","",(Orders!G1942-G1942)/Orders!G1942)</f>
        <v>0.298550724637681</v>
      </c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</row>
    <row r="1943" customFormat="false" ht="15" hidden="false" customHeight="false" outlineLevel="0" collapsed="false">
      <c r="A1943" s="46" t="str">
        <f aca="false">Orders!A1943</f>
        <v>ORD-01942</v>
      </c>
      <c r="B1943" s="46" t="str">
        <f aca="false">PROPER(TRIM(Orders!K1943))</f>
        <v>Hyderabad</v>
      </c>
      <c r="C1943" s="46" t="str">
        <f aca="false">IFERROR(VLOOKUP(Orders!D1943,Products!$A$2:$F$61,3,FALSE()),"Not Found")</f>
        <v>Apparel</v>
      </c>
      <c r="D1943" s="46" t="str">
        <f aca="false">IFERROR(VLOOKUP(Orders!C1943,Customers!$A$2:$F$301,5,FALSE()),"Not Found")</f>
        <v>SMB</v>
      </c>
      <c r="E1943" s="46" t="n">
        <f aca="false">IFERROR(VLOOKUP(Orders!C1943,Customers!$A$2:$F$301,3,FALSE()),"Not Found")</f>
        <v>43</v>
      </c>
      <c r="F1943" s="46" t="str">
        <f aca="false">IFERROR(VLOOKUP(Orders!E1943,Sales_Reps!$A$2:$E$31,3,FALSE()),"Not Found")</f>
        <v>East</v>
      </c>
      <c r="G1943" s="46" t="n">
        <f aca="false">IFERROR(VLOOKUP(Orders!D1943,Products!$A$2:$F$61,4,FALSE()),"")</f>
        <v>1962</v>
      </c>
      <c r="H1943" s="47" t="n">
        <f aca="false">IF(G1943="","",(Orders!G1943-G1943)/Orders!G1943)</f>
        <v>0.278676470588235</v>
      </c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  <c r="AA1943" s="46"/>
      <c r="AB1943" s="46"/>
      <c r="AC1943" s="46"/>
      <c r="AD1943" s="46"/>
      <c r="AE1943" s="46"/>
      <c r="AF1943" s="46"/>
      <c r="AG1943" s="46"/>
      <c r="AH1943" s="46"/>
      <c r="AI1943" s="46"/>
      <c r="AJ1943" s="46"/>
      <c r="AK1943" s="46"/>
      <c r="AL1943" s="46"/>
      <c r="AM1943" s="46"/>
      <c r="AN1943" s="46"/>
      <c r="AO1943" s="46"/>
      <c r="AP1943" s="46"/>
      <c r="AQ1943" s="46"/>
      <c r="AR1943" s="46"/>
      <c r="AS1943" s="46"/>
      <c r="AT1943" s="46"/>
      <c r="AU1943" s="46"/>
      <c r="AV1943" s="46"/>
      <c r="AW1943" s="46"/>
      <c r="AX1943" s="46"/>
      <c r="AY1943" s="46"/>
      <c r="AZ1943" s="46"/>
    </row>
    <row r="1944" customFormat="false" ht="15" hidden="false" customHeight="false" outlineLevel="0" collapsed="false">
      <c r="A1944" s="46" t="str">
        <f aca="false">Orders!A1944</f>
        <v>ORD-01943</v>
      </c>
      <c r="B1944" s="46" t="str">
        <f aca="false">PROPER(TRIM(Orders!K1944))</f>
        <v>Mumbai</v>
      </c>
      <c r="C1944" s="46" t="str">
        <f aca="false">IFERROR(VLOOKUP(Orders!D1944,Products!$A$2:$F$61,3,FALSE()),"Not Found")</f>
        <v>Beauty</v>
      </c>
      <c r="D1944" s="46" t="str">
        <f aca="false">IFERROR(VLOOKUP(Orders!C1944,Customers!$A$2:$F$301,5,FALSE()),"Not Found")</f>
        <v>SMB</v>
      </c>
      <c r="E1944" s="46" t="n">
        <f aca="false">IFERROR(VLOOKUP(Orders!C1944,Customers!$A$2:$F$301,3,FALSE()),"Not Found")</f>
        <v>65</v>
      </c>
      <c r="F1944" s="46" t="str">
        <f aca="false">IFERROR(VLOOKUP(Orders!E1944,Sales_Reps!$A$2:$E$31,3,FALSE()),"Not Found")</f>
        <v>East</v>
      </c>
      <c r="G1944" s="46" t="n">
        <f aca="false">IFERROR(VLOOKUP(Orders!D1944,Products!$A$2:$F$61,4,FALSE()),"")</f>
        <v>2420</v>
      </c>
      <c r="H1944" s="47" t="n">
        <f aca="false">IF(G1944="","",(Orders!G1944-G1944)/Orders!G1944)</f>
        <v>0.298550724637681</v>
      </c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46"/>
      <c r="AY1944" s="46"/>
      <c r="AZ1944" s="46"/>
    </row>
    <row r="1945" customFormat="false" ht="15" hidden="false" customHeight="false" outlineLevel="0" collapsed="false">
      <c r="A1945" s="46" t="str">
        <f aca="false">Orders!A1945</f>
        <v>ORD-01944</v>
      </c>
      <c r="B1945" s="46" t="str">
        <f aca="false">PROPER(TRIM(Orders!K1945))</f>
        <v>Mumbai</v>
      </c>
      <c r="C1945" s="46" t="str">
        <f aca="false">IFERROR(VLOOKUP(Orders!D1945,Products!$A$2:$F$61,3,FALSE()),"Not Found")</f>
        <v>Beauty</v>
      </c>
      <c r="D1945" s="46" t="str">
        <f aca="false">IFERROR(VLOOKUP(Orders!C1945,Customers!$A$2:$F$301,5,FALSE()),"Not Found")</f>
        <v>Retail</v>
      </c>
      <c r="E1945" s="46" t="n">
        <f aca="false">IFERROR(VLOOKUP(Orders!C1945,Customers!$A$2:$F$301,3,FALSE()),"Not Found")</f>
        <v>65</v>
      </c>
      <c r="F1945" s="46" t="str">
        <f aca="false">IFERROR(VLOOKUP(Orders!E1945,Sales_Reps!$A$2:$E$31,3,FALSE()),"Not Found")</f>
        <v>West</v>
      </c>
      <c r="G1945" s="46" t="n">
        <f aca="false">IFERROR(VLOOKUP(Orders!D1945,Products!$A$2:$F$61,4,FALSE()),"")</f>
        <v>1222</v>
      </c>
      <c r="H1945" s="47" t="n">
        <f aca="false">IF(G1945="","",(Orders!G1945-G1945)/Orders!G1945)</f>
        <v>0.259393939393939</v>
      </c>
      <c r="I1945" s="46"/>
      <c r="J1945" s="46"/>
      <c r="K1945" s="46"/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  <c r="Y1945" s="46"/>
      <c r="Z1945" s="46"/>
      <c r="AA1945" s="46"/>
      <c r="AB1945" s="46"/>
      <c r="AC1945" s="46"/>
      <c r="AD1945" s="46"/>
      <c r="AE1945" s="46"/>
      <c r="AF1945" s="46"/>
      <c r="AG1945" s="46"/>
      <c r="AH1945" s="46"/>
      <c r="AI1945" s="46"/>
      <c r="AJ1945" s="46"/>
      <c r="AK1945" s="46"/>
      <c r="AL1945" s="46"/>
      <c r="AM1945" s="46"/>
      <c r="AN1945" s="46"/>
      <c r="AO1945" s="46"/>
      <c r="AP1945" s="46"/>
      <c r="AQ1945" s="46"/>
      <c r="AR1945" s="46"/>
      <c r="AS1945" s="46"/>
      <c r="AT1945" s="46"/>
      <c r="AU1945" s="46"/>
      <c r="AV1945" s="46"/>
      <c r="AW1945" s="46"/>
      <c r="AX1945" s="46"/>
      <c r="AY1945" s="46"/>
      <c r="AZ1945" s="46"/>
    </row>
    <row r="1946" customFormat="false" ht="15" hidden="false" customHeight="false" outlineLevel="0" collapsed="false">
      <c r="A1946" s="46" t="str">
        <f aca="false">Orders!A1946</f>
        <v>ORD-01945</v>
      </c>
      <c r="B1946" s="46" t="str">
        <f aca="false">PROPER(TRIM(Orders!K1946))</f>
        <v>Delhi</v>
      </c>
      <c r="C1946" s="46" t="str">
        <f aca="false">IFERROR(VLOOKUP(Orders!D1946,Products!$A$2:$F$61,3,FALSE()),"Not Found")</f>
        <v>Apparel</v>
      </c>
      <c r="D1946" s="46" t="str">
        <f aca="false">IFERROR(VLOOKUP(Orders!C1946,Customers!$A$2:$F$301,5,FALSE()),"Not Found")</f>
        <v>SMB</v>
      </c>
      <c r="E1946" s="46" t="n">
        <f aca="false">IFERROR(VLOOKUP(Orders!C1946,Customers!$A$2:$F$301,3,FALSE()),"Not Found")</f>
        <v>29</v>
      </c>
      <c r="F1946" s="46" t="str">
        <f aca="false">IFERROR(VLOOKUP(Orders!E1946,Sales_Reps!$A$2:$E$31,3,FALSE()),"Not Found")</f>
        <v>South</v>
      </c>
      <c r="G1946" s="46" t="n">
        <f aca="false">IFERROR(VLOOKUP(Orders!D1946,Products!$A$2:$F$61,4,FALSE()),"")</f>
        <v>2509</v>
      </c>
      <c r="H1946" s="47" t="n">
        <f aca="false">IF(G1946="","",(Orders!G1946-G1946)/Orders!G1946)</f>
        <v>0.306906077348066</v>
      </c>
      <c r="I1946" s="46"/>
      <c r="J1946" s="46"/>
      <c r="K1946" s="46"/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6"/>
      <c r="AB1946" s="46"/>
      <c r="AC1946" s="46"/>
      <c r="AD1946" s="46"/>
      <c r="AE1946" s="46"/>
      <c r="AF1946" s="46"/>
      <c r="AG1946" s="46"/>
      <c r="AH1946" s="46"/>
      <c r="AI1946" s="46"/>
      <c r="AJ1946" s="46"/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6"/>
      <c r="AU1946" s="46"/>
      <c r="AV1946" s="46"/>
      <c r="AW1946" s="46"/>
      <c r="AX1946" s="46"/>
      <c r="AY1946" s="46"/>
      <c r="AZ1946" s="46"/>
    </row>
    <row r="1947" customFormat="false" ht="15" hidden="false" customHeight="false" outlineLevel="0" collapsed="false">
      <c r="A1947" s="46" t="str">
        <f aca="false">Orders!A1947</f>
        <v>ORD-01946</v>
      </c>
      <c r="B1947" s="46" t="str">
        <f aca="false">PROPER(TRIM(Orders!K1947))</f>
        <v>Delhi</v>
      </c>
      <c r="C1947" s="46" t="str">
        <f aca="false">IFERROR(VLOOKUP(Orders!D1947,Products!$A$2:$F$61,3,FALSE()),"Not Found")</f>
        <v>Electronics</v>
      </c>
      <c r="D1947" s="46" t="str">
        <f aca="false">IFERROR(VLOOKUP(Orders!C1947,Customers!$A$2:$F$301,5,FALSE()),"Not Found")</f>
        <v>Retail</v>
      </c>
      <c r="E1947" s="46" t="n">
        <f aca="false">IFERROR(VLOOKUP(Orders!C1947,Customers!$A$2:$F$301,3,FALSE()),"Not Found")</f>
        <v>52</v>
      </c>
      <c r="F1947" s="46" t="str">
        <f aca="false">IFERROR(VLOOKUP(Orders!E1947,Sales_Reps!$A$2:$E$31,3,FALSE()),"Not Found")</f>
        <v>South</v>
      </c>
      <c r="G1947" s="46" t="n">
        <f aca="false">IFERROR(VLOOKUP(Orders!D1947,Products!$A$2:$F$61,4,FALSE()),"")</f>
        <v>128</v>
      </c>
      <c r="H1947" s="47" t="n">
        <f aca="false">IF(G1947="","",(Orders!G1947-G1947)/Orders!G1947)</f>
        <v>0.573333333333333</v>
      </c>
      <c r="I1947" s="46"/>
      <c r="J1947" s="46"/>
      <c r="K1947" s="46"/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  <c r="Y1947" s="46"/>
      <c r="Z1947" s="46"/>
      <c r="AA1947" s="46"/>
      <c r="AB1947" s="46"/>
      <c r="AC1947" s="46"/>
      <c r="AD1947" s="46"/>
      <c r="AE1947" s="46"/>
      <c r="AF1947" s="46"/>
      <c r="AG1947" s="46"/>
      <c r="AH1947" s="46"/>
      <c r="AI1947" s="46"/>
      <c r="AJ1947" s="46"/>
      <c r="AK1947" s="46"/>
      <c r="AL1947" s="46"/>
      <c r="AM1947" s="46"/>
      <c r="AN1947" s="46"/>
      <c r="AO1947" s="46"/>
      <c r="AP1947" s="46"/>
      <c r="AQ1947" s="46"/>
      <c r="AR1947" s="46"/>
      <c r="AS1947" s="46"/>
      <c r="AT1947" s="46"/>
      <c r="AU1947" s="46"/>
      <c r="AV1947" s="46"/>
      <c r="AW1947" s="46"/>
      <c r="AX1947" s="46"/>
      <c r="AY1947" s="46"/>
      <c r="AZ1947" s="46"/>
    </row>
    <row r="1948" customFormat="false" ht="15" hidden="false" customHeight="false" outlineLevel="0" collapsed="false">
      <c r="A1948" s="46" t="str">
        <f aca="false">Orders!A1948</f>
        <v>ORD-01947</v>
      </c>
      <c r="B1948" s="46" t="str">
        <f aca="false">PROPER(TRIM(Orders!K1948))</f>
        <v>Chennai</v>
      </c>
      <c r="C1948" s="46" t="str">
        <f aca="false">IFERROR(VLOOKUP(Orders!D1948,Products!$A$2:$F$61,3,FALSE()),"Not Found")</f>
        <v>Beauty</v>
      </c>
      <c r="D1948" s="46" t="str">
        <f aca="false">IFERROR(VLOOKUP(Orders!C1948,Customers!$A$2:$F$301,5,FALSE()),"Not Found")</f>
        <v>SMB</v>
      </c>
      <c r="E1948" s="46" t="n">
        <f aca="false">IFERROR(VLOOKUP(Orders!C1948,Customers!$A$2:$F$301,3,FALSE()),"Not Found")</f>
        <v>55</v>
      </c>
      <c r="F1948" s="46" t="str">
        <f aca="false">IFERROR(VLOOKUP(Orders!E1948,Sales_Reps!$A$2:$E$31,3,FALSE()),"Not Found")</f>
        <v>North</v>
      </c>
      <c r="G1948" s="46" t="n">
        <f aca="false">IFERROR(VLOOKUP(Orders!D1948,Products!$A$2:$F$61,4,FALSE()),"")</f>
        <v>647</v>
      </c>
      <c r="H1948" s="47" t="n">
        <f aca="false">IF(G1948="","",(Orders!G1948-G1948)/Orders!G1948)</f>
        <v>0.57987012987013</v>
      </c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6"/>
      <c r="AB1948" s="46"/>
      <c r="AC1948" s="46"/>
      <c r="AD1948" s="46"/>
      <c r="AE1948" s="46"/>
      <c r="AF1948" s="46"/>
      <c r="AG1948" s="46"/>
      <c r="AH1948" s="46"/>
      <c r="AI1948" s="46"/>
      <c r="AJ1948" s="46"/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6"/>
      <c r="AU1948" s="46"/>
      <c r="AV1948" s="46"/>
      <c r="AW1948" s="46"/>
      <c r="AX1948" s="46"/>
      <c r="AY1948" s="46"/>
      <c r="AZ1948" s="46"/>
    </row>
    <row r="1949" customFormat="false" ht="15" hidden="false" customHeight="false" outlineLevel="0" collapsed="false">
      <c r="A1949" s="46" t="str">
        <f aca="false">Orders!A1949</f>
        <v>ORD-01948</v>
      </c>
      <c r="B1949" s="46" t="str">
        <f aca="false">PROPER(TRIM(Orders!K1949))</f>
        <v>Bengaluru</v>
      </c>
      <c r="C1949" s="46" t="str">
        <f aca="false">IFERROR(VLOOKUP(Orders!D1949,Products!$A$2:$F$61,3,FALSE()),"Not Found")</f>
        <v>Grocery</v>
      </c>
      <c r="D1949" s="46" t="str">
        <f aca="false">IFERROR(VLOOKUP(Orders!C1949,Customers!$A$2:$F$301,5,FALSE()),"Not Found")</f>
        <v>Retail</v>
      </c>
      <c r="E1949" s="46" t="n">
        <f aca="false">IFERROR(VLOOKUP(Orders!C1949,Customers!$A$2:$F$301,3,FALSE()),"Not Found")</f>
        <v>27</v>
      </c>
      <c r="F1949" s="46" t="str">
        <f aca="false">IFERROR(VLOOKUP(Orders!E1949,Sales_Reps!$A$2:$E$31,3,FALSE()),"Not Found")</f>
        <v>East</v>
      </c>
      <c r="G1949" s="46" t="n">
        <f aca="false">IFERROR(VLOOKUP(Orders!D1949,Products!$A$2:$F$61,4,FALSE()),"")</f>
        <v>1203</v>
      </c>
      <c r="H1949" s="47" t="n">
        <f aca="false">IF(G1949="","",(Orders!G1949-G1949)/Orders!G1949)</f>
        <v>0.470044052863436</v>
      </c>
      <c r="I1949" s="46"/>
      <c r="J1949" s="46"/>
      <c r="K1949" s="46"/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6"/>
      <c r="AB1949" s="46"/>
      <c r="AC1949" s="46"/>
      <c r="AD1949" s="46"/>
      <c r="AE1949" s="46"/>
      <c r="AF1949" s="46"/>
      <c r="AG1949" s="46"/>
      <c r="AH1949" s="46"/>
      <c r="AI1949" s="46"/>
      <c r="AJ1949" s="46"/>
      <c r="AK1949" s="46"/>
      <c r="AL1949" s="46"/>
      <c r="AM1949" s="46"/>
      <c r="AN1949" s="46"/>
      <c r="AO1949" s="46"/>
      <c r="AP1949" s="46"/>
      <c r="AQ1949" s="46"/>
      <c r="AR1949" s="46"/>
      <c r="AS1949" s="46"/>
      <c r="AT1949" s="46"/>
      <c r="AU1949" s="46"/>
      <c r="AV1949" s="46"/>
      <c r="AW1949" s="46"/>
      <c r="AX1949" s="46"/>
      <c r="AY1949" s="46"/>
      <c r="AZ1949" s="46"/>
    </row>
    <row r="1950" customFormat="false" ht="15" hidden="false" customHeight="false" outlineLevel="0" collapsed="false">
      <c r="A1950" s="46" t="str">
        <f aca="false">Orders!A1950</f>
        <v>ORD-01949</v>
      </c>
      <c r="B1950" s="46" t="str">
        <f aca="false">PROPER(TRIM(Orders!K1950))</f>
        <v>Pune</v>
      </c>
      <c r="C1950" s="46" t="str">
        <f aca="false">IFERROR(VLOOKUP(Orders!D1950,Products!$A$2:$F$61,3,FALSE()),"Not Found")</f>
        <v>Electronics</v>
      </c>
      <c r="D1950" s="46" t="str">
        <f aca="false">IFERROR(VLOOKUP(Orders!C1950,Customers!$A$2:$F$301,5,FALSE()),"Not Found")</f>
        <v>SMB</v>
      </c>
      <c r="E1950" s="46" t="n">
        <f aca="false">IFERROR(VLOOKUP(Orders!C1950,Customers!$A$2:$F$301,3,FALSE()),"Not Found")</f>
        <v>59</v>
      </c>
      <c r="F1950" s="46" t="str">
        <f aca="false">IFERROR(VLOOKUP(Orders!E1950,Sales_Reps!$A$2:$E$31,3,FALSE()),"Not Found")</f>
        <v>North</v>
      </c>
      <c r="G1950" s="46" t="n">
        <f aca="false">IFERROR(VLOOKUP(Orders!D1950,Products!$A$2:$F$61,4,FALSE()),"")</f>
        <v>1149</v>
      </c>
      <c r="H1950" s="47" t="n">
        <f aca="false">IF(G1950="","",(Orders!G1950-G1950)/Orders!G1950)</f>
        <v>0.564772727272727</v>
      </c>
      <c r="I1950" s="46"/>
      <c r="J1950" s="46"/>
      <c r="K1950" s="46"/>
      <c r="L1950" s="46"/>
      <c r="M1950" s="46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  <c r="X1950" s="46"/>
      <c r="Y1950" s="46"/>
      <c r="Z1950" s="46"/>
      <c r="AA1950" s="46"/>
      <c r="AB1950" s="46"/>
      <c r="AC1950" s="46"/>
      <c r="AD1950" s="46"/>
      <c r="AE1950" s="46"/>
      <c r="AF1950" s="46"/>
      <c r="AG1950" s="46"/>
      <c r="AH1950" s="46"/>
      <c r="AI1950" s="46"/>
      <c r="AJ1950" s="46"/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6"/>
      <c r="AU1950" s="46"/>
      <c r="AV1950" s="46"/>
      <c r="AW1950" s="46"/>
      <c r="AX1950" s="46"/>
      <c r="AY1950" s="46"/>
      <c r="AZ1950" s="46"/>
    </row>
    <row r="1951" customFormat="false" ht="15" hidden="false" customHeight="false" outlineLevel="0" collapsed="false">
      <c r="A1951" s="46" t="str">
        <f aca="false">Orders!A1951</f>
        <v>ORD-01950</v>
      </c>
      <c r="B1951" s="46" t="str">
        <f aca="false">PROPER(TRIM(Orders!K1951))</f>
        <v>Pune</v>
      </c>
      <c r="C1951" s="46" t="str">
        <f aca="false">IFERROR(VLOOKUP(Orders!D1951,Products!$A$2:$F$61,3,FALSE()),"Not Found")</f>
        <v>Electronics</v>
      </c>
      <c r="D1951" s="46" t="str">
        <f aca="false">IFERROR(VLOOKUP(Orders!C1951,Customers!$A$2:$F$301,5,FALSE()),"Not Found")</f>
        <v>Retail</v>
      </c>
      <c r="E1951" s="46" t="n">
        <f aca="false">IFERROR(VLOOKUP(Orders!C1951,Customers!$A$2:$F$301,3,FALSE()),"Not Found")</f>
        <v>44</v>
      </c>
      <c r="F1951" s="46" t="str">
        <f aca="false">IFERROR(VLOOKUP(Orders!E1951,Sales_Reps!$A$2:$E$31,3,FALSE()),"Not Found")</f>
        <v>South</v>
      </c>
      <c r="G1951" s="46" t="n">
        <f aca="false">IFERROR(VLOOKUP(Orders!D1951,Products!$A$2:$F$61,4,FALSE()),"")</f>
        <v>1149</v>
      </c>
      <c r="H1951" s="47" t="n">
        <f aca="false">IF(G1951="","",(Orders!G1951-G1951)/Orders!G1951)</f>
        <v>0.564772727272727</v>
      </c>
      <c r="I1951" s="46"/>
      <c r="J1951" s="46"/>
      <c r="K1951" s="46"/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  <c r="Y1951" s="46"/>
      <c r="Z1951" s="46"/>
      <c r="AA1951" s="46"/>
      <c r="AB1951" s="46"/>
      <c r="AC1951" s="46"/>
      <c r="AD1951" s="46"/>
      <c r="AE1951" s="46"/>
      <c r="AF1951" s="46"/>
      <c r="AG1951" s="46"/>
      <c r="AH1951" s="46"/>
      <c r="AI1951" s="46"/>
      <c r="AJ1951" s="46"/>
      <c r="AK1951" s="46"/>
      <c r="AL1951" s="46"/>
      <c r="AM1951" s="46"/>
      <c r="AN1951" s="46"/>
      <c r="AO1951" s="46"/>
      <c r="AP1951" s="46"/>
      <c r="AQ1951" s="46"/>
      <c r="AR1951" s="46"/>
      <c r="AS1951" s="46"/>
      <c r="AT1951" s="46"/>
      <c r="AU1951" s="46"/>
      <c r="AV1951" s="46"/>
      <c r="AW1951" s="46"/>
      <c r="AX1951" s="46"/>
      <c r="AY1951" s="46"/>
      <c r="AZ1951" s="46"/>
    </row>
    <row r="1952" customFormat="false" ht="15" hidden="false" customHeight="false" outlineLevel="0" collapsed="false">
      <c r="A1952" s="46" t="str">
        <f aca="false">Orders!A1952</f>
        <v>ORD-01951</v>
      </c>
      <c r="B1952" s="46" t="str">
        <f aca="false">PROPER(TRIM(Orders!K1952))</f>
        <v>Delhi</v>
      </c>
      <c r="C1952" s="46" t="str">
        <f aca="false">IFERROR(VLOOKUP(Orders!D1952,Products!$A$2:$F$61,3,FALSE()),"Not Found")</f>
        <v>Electronics</v>
      </c>
      <c r="D1952" s="46" t="str">
        <f aca="false">IFERROR(VLOOKUP(Orders!C1952,Customers!$A$2:$F$301,5,FALSE()),"Not Found")</f>
        <v>Retail</v>
      </c>
      <c r="E1952" s="46" t="n">
        <f aca="false">IFERROR(VLOOKUP(Orders!C1952,Customers!$A$2:$F$301,3,FALSE()),"Not Found")</f>
        <v>53</v>
      </c>
      <c r="F1952" s="46" t="str">
        <f aca="false">IFERROR(VLOOKUP(Orders!E1952,Sales_Reps!$A$2:$E$31,3,FALSE()),"Not Found")</f>
        <v>West</v>
      </c>
      <c r="G1952" s="46" t="n">
        <f aca="false">IFERROR(VLOOKUP(Orders!D1952,Products!$A$2:$F$61,4,FALSE()),"")</f>
        <v>861</v>
      </c>
      <c r="H1952" s="47" t="n">
        <f aca="false">IF(G1952="","",(Orders!G1952-G1952)/Orders!G1952)</f>
        <v>0.397902097902098</v>
      </c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46"/>
      <c r="AY1952" s="46"/>
      <c r="AZ1952" s="46"/>
    </row>
    <row r="1953" customFormat="false" ht="15" hidden="false" customHeight="false" outlineLevel="0" collapsed="false">
      <c r="A1953" s="46" t="str">
        <f aca="false">Orders!A1953</f>
        <v>ORD-01952</v>
      </c>
      <c r="B1953" s="46" t="str">
        <f aca="false">PROPER(TRIM(Orders!K1953))</f>
        <v>Pune</v>
      </c>
      <c r="C1953" s="46" t="str">
        <f aca="false">IFERROR(VLOOKUP(Orders!D1953,Products!$A$2:$F$61,3,FALSE()),"Not Found")</f>
        <v>Electronics</v>
      </c>
      <c r="D1953" s="46" t="str">
        <f aca="false">IFERROR(VLOOKUP(Orders!C1953,Customers!$A$2:$F$301,5,FALSE()),"Not Found")</f>
        <v>SMB</v>
      </c>
      <c r="E1953" s="46" t="n">
        <f aca="false">IFERROR(VLOOKUP(Orders!C1953,Customers!$A$2:$F$301,3,FALSE()),"Not Found")</f>
        <v>30</v>
      </c>
      <c r="F1953" s="46" t="str">
        <f aca="false">IFERROR(VLOOKUP(Orders!E1953,Sales_Reps!$A$2:$E$31,3,FALSE()),"Not Found")</f>
        <v>East</v>
      </c>
      <c r="G1953" s="46" t="n">
        <f aca="false">IFERROR(VLOOKUP(Orders!D1953,Products!$A$2:$F$61,4,FALSE()),"")</f>
        <v>1665</v>
      </c>
      <c r="H1953" s="47" t="n">
        <f aca="false">IF(G1953="","",(Orders!G1953-G1953)/Orders!G1953)</f>
        <v>0.533613445378151</v>
      </c>
      <c r="I1953" s="46"/>
      <c r="J1953" s="46"/>
      <c r="K1953" s="46"/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  <c r="Y1953" s="46"/>
      <c r="Z1953" s="46"/>
      <c r="AA1953" s="46"/>
      <c r="AB1953" s="46"/>
      <c r="AC1953" s="46"/>
      <c r="AD1953" s="46"/>
      <c r="AE1953" s="46"/>
      <c r="AF1953" s="46"/>
      <c r="AG1953" s="46"/>
      <c r="AH1953" s="46"/>
      <c r="AI1953" s="46"/>
      <c r="AJ1953" s="46"/>
      <c r="AK1953" s="46"/>
      <c r="AL1953" s="46"/>
      <c r="AM1953" s="46"/>
      <c r="AN1953" s="46"/>
      <c r="AO1953" s="46"/>
      <c r="AP1953" s="46"/>
      <c r="AQ1953" s="46"/>
      <c r="AR1953" s="46"/>
      <c r="AS1953" s="46"/>
      <c r="AT1953" s="46"/>
      <c r="AU1953" s="46"/>
      <c r="AV1953" s="46"/>
      <c r="AW1953" s="46"/>
      <c r="AX1953" s="46"/>
      <c r="AY1953" s="46"/>
      <c r="AZ1953" s="46"/>
    </row>
    <row r="1954" customFormat="false" ht="15" hidden="false" customHeight="false" outlineLevel="0" collapsed="false">
      <c r="A1954" s="46" t="str">
        <f aca="false">Orders!A1954</f>
        <v>ORD-01953</v>
      </c>
      <c r="B1954" s="46" t="str">
        <f aca="false">PROPER(TRIM(Orders!K1954))</f>
        <v>Delhi</v>
      </c>
      <c r="C1954" s="46" t="str">
        <f aca="false">IFERROR(VLOOKUP(Orders!D1954,Products!$A$2:$F$61,3,FALSE()),"Not Found")</f>
        <v>Electronics</v>
      </c>
      <c r="D1954" s="46" t="str">
        <f aca="false">IFERROR(VLOOKUP(Orders!C1954,Customers!$A$2:$F$301,5,FALSE()),"Not Found")</f>
        <v>Retail</v>
      </c>
      <c r="E1954" s="46" t="n">
        <f aca="false">IFERROR(VLOOKUP(Orders!C1954,Customers!$A$2:$F$301,3,FALSE()),"Not Found")</f>
        <v>30</v>
      </c>
      <c r="F1954" s="46" t="str">
        <f aca="false">IFERROR(VLOOKUP(Orders!E1954,Sales_Reps!$A$2:$E$31,3,FALSE()),"Not Found")</f>
        <v>West</v>
      </c>
      <c r="G1954" s="46" t="n">
        <f aca="false">IFERROR(VLOOKUP(Orders!D1954,Products!$A$2:$F$61,4,FALSE()),"")</f>
        <v>1665</v>
      </c>
      <c r="H1954" s="47" t="n">
        <f aca="false">IF(G1954="","",(Orders!G1954-G1954)/Orders!G1954)</f>
        <v>0.533613445378151</v>
      </c>
      <c r="I1954" s="46"/>
      <c r="J1954" s="46"/>
      <c r="K1954" s="46"/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  <c r="AE1954" s="46"/>
      <c r="AF1954" s="46"/>
      <c r="AG1954" s="46"/>
      <c r="AH1954" s="46"/>
      <c r="AI1954" s="46"/>
      <c r="AJ1954" s="46"/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6"/>
      <c r="AU1954" s="46"/>
      <c r="AV1954" s="46"/>
      <c r="AW1954" s="46"/>
      <c r="AX1954" s="46"/>
      <c r="AY1954" s="46"/>
      <c r="AZ1954" s="46"/>
    </row>
    <row r="1955" customFormat="false" ht="15" hidden="false" customHeight="false" outlineLevel="0" collapsed="false">
      <c r="A1955" s="46" t="str">
        <f aca="false">Orders!A1955</f>
        <v>ORD-01954</v>
      </c>
      <c r="B1955" s="46" t="str">
        <f aca="false">PROPER(TRIM(Orders!K1955))</f>
        <v>Chennai</v>
      </c>
      <c r="C1955" s="46" t="str">
        <f aca="false">IFERROR(VLOOKUP(Orders!D1955,Products!$A$2:$F$61,3,FALSE()),"Not Found")</f>
        <v>Electronics</v>
      </c>
      <c r="D1955" s="46" t="str">
        <f aca="false">IFERROR(VLOOKUP(Orders!C1955,Customers!$A$2:$F$301,5,FALSE()),"Not Found")</f>
        <v>SMB</v>
      </c>
      <c r="E1955" s="46" t="n">
        <f aca="false">IFERROR(VLOOKUP(Orders!C1955,Customers!$A$2:$F$301,3,FALSE()),"Not Found")</f>
        <v>43</v>
      </c>
      <c r="F1955" s="46" t="str">
        <f aca="false">IFERROR(VLOOKUP(Orders!E1955,Sales_Reps!$A$2:$E$31,3,FALSE()),"Not Found")</f>
        <v>West</v>
      </c>
      <c r="G1955" s="46" t="n">
        <f aca="false">IFERROR(VLOOKUP(Orders!D1955,Products!$A$2:$F$61,4,FALSE()),"")</f>
        <v>1559</v>
      </c>
      <c r="H1955" s="47" t="n">
        <f aca="false">IF(G1955="","",(Orders!G1955-G1955)/Orders!G1955)</f>
        <v>0.597157622739018</v>
      </c>
      <c r="I1955" s="46"/>
      <c r="J1955" s="46"/>
      <c r="K1955" s="46"/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  <c r="Y1955" s="46"/>
      <c r="Z1955" s="46"/>
      <c r="AA1955" s="46"/>
      <c r="AB1955" s="46"/>
      <c r="AC1955" s="46"/>
      <c r="AD1955" s="46"/>
      <c r="AE1955" s="46"/>
      <c r="AF1955" s="46"/>
      <c r="AG1955" s="46"/>
      <c r="AH1955" s="46"/>
      <c r="AI1955" s="46"/>
      <c r="AJ1955" s="46"/>
      <c r="AK1955" s="46"/>
      <c r="AL1955" s="46"/>
      <c r="AM1955" s="46"/>
      <c r="AN1955" s="46"/>
      <c r="AO1955" s="46"/>
      <c r="AP1955" s="46"/>
      <c r="AQ1955" s="46"/>
      <c r="AR1955" s="46"/>
      <c r="AS1955" s="46"/>
      <c r="AT1955" s="46"/>
      <c r="AU1955" s="46"/>
      <c r="AV1955" s="46"/>
      <c r="AW1955" s="46"/>
      <c r="AX1955" s="46"/>
      <c r="AY1955" s="46"/>
      <c r="AZ1955" s="46"/>
    </row>
    <row r="1956" customFormat="false" ht="15" hidden="false" customHeight="false" outlineLevel="0" collapsed="false">
      <c r="A1956" s="46" t="str">
        <f aca="false">Orders!A1956</f>
        <v>ORD-01955</v>
      </c>
      <c r="B1956" s="46" t="str">
        <f aca="false">PROPER(TRIM(Orders!K1956))</f>
        <v>Chennai</v>
      </c>
      <c r="C1956" s="46" t="str">
        <f aca="false">IFERROR(VLOOKUP(Orders!D1956,Products!$A$2:$F$61,3,FALSE()),"Not Found")</f>
        <v>Sports</v>
      </c>
      <c r="D1956" s="46" t="str">
        <f aca="false">IFERROR(VLOOKUP(Orders!C1956,Customers!$A$2:$F$301,5,FALSE()),"Not Found")</f>
        <v>SMB</v>
      </c>
      <c r="E1956" s="46" t="n">
        <f aca="false">IFERROR(VLOOKUP(Orders!C1956,Customers!$A$2:$F$301,3,FALSE()),"Not Found")</f>
        <v>26</v>
      </c>
      <c r="F1956" s="46" t="str">
        <f aca="false">IFERROR(VLOOKUP(Orders!E1956,Sales_Reps!$A$2:$E$31,3,FALSE()),"Not Found")</f>
        <v>South</v>
      </c>
      <c r="G1956" s="46" t="n">
        <f aca="false">IFERROR(VLOOKUP(Orders!D1956,Products!$A$2:$F$61,4,FALSE()),"")</f>
        <v>2827</v>
      </c>
      <c r="H1956" s="47" t="n">
        <f aca="false">IF(G1956="","",(Orders!G1956-G1956)/Orders!G1956)</f>
        <v>0.592651296829971</v>
      </c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  <c r="AE1956" s="46"/>
      <c r="AF1956" s="46"/>
      <c r="AG1956" s="46"/>
      <c r="AH1956" s="46"/>
      <c r="AI1956" s="46"/>
      <c r="AJ1956" s="46"/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6"/>
      <c r="AU1956" s="46"/>
      <c r="AV1956" s="46"/>
      <c r="AW1956" s="46"/>
      <c r="AX1956" s="46"/>
      <c r="AY1956" s="46"/>
      <c r="AZ1956" s="46"/>
    </row>
    <row r="1957" customFormat="false" ht="15" hidden="false" customHeight="false" outlineLevel="0" collapsed="false">
      <c r="A1957" s="46" t="str">
        <f aca="false">Orders!A1957</f>
        <v>ORD-01956</v>
      </c>
      <c r="B1957" s="46" t="str">
        <f aca="false">PROPER(TRIM(Orders!K1957))</f>
        <v>Hyderabad</v>
      </c>
      <c r="C1957" s="46" t="str">
        <f aca="false">IFERROR(VLOOKUP(Orders!D1957,Products!$A$2:$F$61,3,FALSE()),"Not Found")</f>
        <v>Home</v>
      </c>
      <c r="D1957" s="46" t="str">
        <f aca="false">IFERROR(VLOOKUP(Orders!C1957,Customers!$A$2:$F$301,5,FALSE()),"Not Found")</f>
        <v>Retail</v>
      </c>
      <c r="E1957" s="46" t="n">
        <f aca="false">IFERROR(VLOOKUP(Orders!C1957,Customers!$A$2:$F$301,3,FALSE()),"Not Found")</f>
        <v>53</v>
      </c>
      <c r="F1957" s="46" t="str">
        <f aca="false">IFERROR(VLOOKUP(Orders!E1957,Sales_Reps!$A$2:$E$31,3,FALSE()),"Not Found")</f>
        <v>West</v>
      </c>
      <c r="G1957" s="46" t="n">
        <f aca="false">IFERROR(VLOOKUP(Orders!D1957,Products!$A$2:$F$61,4,FALSE()),"")</f>
        <v>288</v>
      </c>
      <c r="H1957" s="47" t="n">
        <f aca="false">IF(G1957="","",(Orders!G1957-G1957)/Orders!G1957)</f>
        <v>0.221621621621622</v>
      </c>
      <c r="I1957" s="46"/>
      <c r="J1957" s="46"/>
      <c r="K1957" s="46"/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  <c r="Y1957" s="46"/>
      <c r="Z1957" s="46"/>
      <c r="AA1957" s="46"/>
      <c r="AB1957" s="46"/>
      <c r="AC1957" s="46"/>
      <c r="AD1957" s="46"/>
      <c r="AE1957" s="46"/>
      <c r="AF1957" s="46"/>
      <c r="AG1957" s="46"/>
      <c r="AH1957" s="46"/>
      <c r="AI1957" s="46"/>
      <c r="AJ1957" s="46"/>
      <c r="AK1957" s="46"/>
      <c r="AL1957" s="46"/>
      <c r="AM1957" s="46"/>
      <c r="AN1957" s="46"/>
      <c r="AO1957" s="46"/>
      <c r="AP1957" s="46"/>
      <c r="AQ1957" s="46"/>
      <c r="AR1957" s="46"/>
      <c r="AS1957" s="46"/>
      <c r="AT1957" s="46"/>
      <c r="AU1957" s="46"/>
      <c r="AV1957" s="46"/>
      <c r="AW1957" s="46"/>
      <c r="AX1957" s="46"/>
      <c r="AY1957" s="46"/>
      <c r="AZ1957" s="46"/>
    </row>
    <row r="1958" customFormat="false" ht="15" hidden="false" customHeight="false" outlineLevel="0" collapsed="false">
      <c r="A1958" s="46" t="str">
        <f aca="false">Orders!A1958</f>
        <v>ORD-01957</v>
      </c>
      <c r="B1958" s="46" t="str">
        <f aca="false">PROPER(TRIM(Orders!K1958))</f>
        <v>Delhi</v>
      </c>
      <c r="C1958" s="46" t="str">
        <f aca="false">IFERROR(VLOOKUP(Orders!D1958,Products!$A$2:$F$61,3,FALSE()),"Not Found")</f>
        <v>Apparel</v>
      </c>
      <c r="D1958" s="46" t="str">
        <f aca="false">IFERROR(VLOOKUP(Orders!C1958,Customers!$A$2:$F$301,5,FALSE()),"Not Found")</f>
        <v>Corporate</v>
      </c>
      <c r="E1958" s="46" t="n">
        <f aca="false">IFERROR(VLOOKUP(Orders!C1958,Customers!$A$2:$F$301,3,FALSE()),"Not Found")</f>
        <v>55</v>
      </c>
      <c r="F1958" s="46" t="str">
        <f aca="false">IFERROR(VLOOKUP(Orders!E1958,Sales_Reps!$A$2:$E$31,3,FALSE()),"Not Found")</f>
        <v>West</v>
      </c>
      <c r="G1958" s="46" t="n">
        <f aca="false">IFERROR(VLOOKUP(Orders!D1958,Products!$A$2:$F$61,4,FALSE()),"")</f>
        <v>2629</v>
      </c>
      <c r="H1958" s="47" t="n">
        <f aca="false">IF(G1958="","",(Orders!G1958-G1958)/Orders!G1958)</f>
        <v>0.261516853932584</v>
      </c>
      <c r="I1958" s="46"/>
      <c r="J1958" s="46"/>
      <c r="K1958" s="46"/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  <c r="AE1958" s="46"/>
      <c r="AF1958" s="46"/>
      <c r="AG1958" s="46"/>
      <c r="AH1958" s="46"/>
      <c r="AI1958" s="46"/>
      <c r="AJ1958" s="46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46"/>
      <c r="AV1958" s="46"/>
      <c r="AW1958" s="46"/>
      <c r="AX1958" s="46"/>
      <c r="AY1958" s="46"/>
      <c r="AZ1958" s="46"/>
    </row>
    <row r="1959" customFormat="false" ht="15" hidden="false" customHeight="false" outlineLevel="0" collapsed="false">
      <c r="A1959" s="46" t="str">
        <f aca="false">Orders!A1959</f>
        <v>ORD-01958</v>
      </c>
      <c r="B1959" s="46" t="str">
        <f aca="false">PROPER(TRIM(Orders!K1959))</f>
        <v>Mumbai</v>
      </c>
      <c r="C1959" s="46" t="str">
        <f aca="false">IFERROR(VLOOKUP(Orders!D1959,Products!$A$2:$F$61,3,FALSE()),"Not Found")</f>
        <v>Electronics</v>
      </c>
      <c r="D1959" s="46" t="str">
        <f aca="false">IFERROR(VLOOKUP(Orders!C1959,Customers!$A$2:$F$301,5,FALSE()),"Not Found")</f>
        <v>Retail</v>
      </c>
      <c r="E1959" s="46" t="n">
        <f aca="false">IFERROR(VLOOKUP(Orders!C1959,Customers!$A$2:$F$301,3,FALSE()),"Not Found")</f>
        <v>44</v>
      </c>
      <c r="F1959" s="46" t="str">
        <f aca="false">IFERROR(VLOOKUP(Orders!E1959,Sales_Reps!$A$2:$E$31,3,FALSE()),"Not Found")</f>
        <v>West</v>
      </c>
      <c r="G1959" s="46" t="n">
        <f aca="false">IFERROR(VLOOKUP(Orders!D1959,Products!$A$2:$F$61,4,FALSE()),"")</f>
        <v>517</v>
      </c>
      <c r="H1959" s="47" t="n">
        <f aca="false">IF(G1959="","",(Orders!G1959-G1959)/Orders!G1959)</f>
        <v>0.576229508196721</v>
      </c>
      <c r="I1959" s="46"/>
      <c r="J1959" s="46"/>
      <c r="K1959" s="46"/>
      <c r="L1959" s="46"/>
      <c r="M1959" s="46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  <c r="X1959" s="46"/>
      <c r="Y1959" s="46"/>
      <c r="Z1959" s="46"/>
      <c r="AA1959" s="46"/>
      <c r="AB1959" s="46"/>
      <c r="AC1959" s="46"/>
      <c r="AD1959" s="46"/>
      <c r="AE1959" s="46"/>
      <c r="AF1959" s="46"/>
      <c r="AG1959" s="46"/>
      <c r="AH1959" s="46"/>
      <c r="AI1959" s="46"/>
      <c r="AJ1959" s="46"/>
      <c r="AK1959" s="46"/>
      <c r="AL1959" s="46"/>
      <c r="AM1959" s="46"/>
      <c r="AN1959" s="46"/>
      <c r="AO1959" s="46"/>
      <c r="AP1959" s="46"/>
      <c r="AQ1959" s="46"/>
      <c r="AR1959" s="46"/>
      <c r="AS1959" s="46"/>
      <c r="AT1959" s="46"/>
      <c r="AU1959" s="46"/>
      <c r="AV1959" s="46"/>
      <c r="AW1959" s="46"/>
      <c r="AX1959" s="46"/>
      <c r="AY1959" s="46"/>
      <c r="AZ1959" s="46"/>
    </row>
    <row r="1960" customFormat="false" ht="15" hidden="false" customHeight="false" outlineLevel="0" collapsed="false">
      <c r="A1960" s="46" t="str">
        <f aca="false">Orders!A1960</f>
        <v>ORD-01959</v>
      </c>
      <c r="B1960" s="46" t="str">
        <f aca="false">PROPER(TRIM(Orders!K1960))</f>
        <v>Chennai</v>
      </c>
      <c r="C1960" s="46" t="str">
        <f aca="false">IFERROR(VLOOKUP(Orders!D1960,Products!$A$2:$F$61,3,FALSE()),"Not Found")</f>
        <v>Grocery</v>
      </c>
      <c r="D1960" s="46" t="str">
        <f aca="false">IFERROR(VLOOKUP(Orders!C1960,Customers!$A$2:$F$301,5,FALSE()),"Not Found")</f>
        <v>Retail</v>
      </c>
      <c r="E1960" s="46" t="n">
        <f aca="false">IFERROR(VLOOKUP(Orders!C1960,Customers!$A$2:$F$301,3,FALSE()),"Not Found")</f>
        <v>24</v>
      </c>
      <c r="F1960" s="46" t="str">
        <f aca="false">IFERROR(VLOOKUP(Orders!E1960,Sales_Reps!$A$2:$E$31,3,FALSE()),"Not Found")</f>
        <v>East</v>
      </c>
      <c r="G1960" s="46" t="n">
        <f aca="false">IFERROR(VLOOKUP(Orders!D1960,Products!$A$2:$F$61,4,FALSE()),"")</f>
        <v>2027</v>
      </c>
      <c r="H1960" s="47" t="n">
        <f aca="false">IF(G1960="","",(Orders!G1960-G1960)/Orders!G1960)</f>
        <v>0.501965601965602</v>
      </c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  <c r="AE1960" s="46"/>
      <c r="AF1960" s="46"/>
      <c r="AG1960" s="46"/>
      <c r="AH1960" s="46"/>
      <c r="AI1960" s="46"/>
      <c r="AJ1960" s="46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46"/>
      <c r="AY1960" s="46"/>
      <c r="AZ1960" s="46"/>
    </row>
    <row r="1961" customFormat="false" ht="15" hidden="false" customHeight="false" outlineLevel="0" collapsed="false">
      <c r="A1961" s="46" t="str">
        <f aca="false">Orders!A1961</f>
        <v>ORD-01960</v>
      </c>
      <c r="B1961" s="46" t="str">
        <f aca="false">PROPER(TRIM(Orders!K1961))</f>
        <v>Delhi</v>
      </c>
      <c r="C1961" s="46" t="str">
        <f aca="false">IFERROR(VLOOKUP(Orders!D1961,Products!$A$2:$F$61,3,FALSE()),"Not Found")</f>
        <v>Grocery</v>
      </c>
      <c r="D1961" s="46" t="str">
        <f aca="false">IFERROR(VLOOKUP(Orders!C1961,Customers!$A$2:$F$301,5,FALSE()),"Not Found")</f>
        <v>Retail</v>
      </c>
      <c r="E1961" s="46" t="n">
        <f aca="false">IFERROR(VLOOKUP(Orders!C1961,Customers!$A$2:$F$301,3,FALSE()),"Not Found")</f>
        <v>63</v>
      </c>
      <c r="F1961" s="46" t="str">
        <f aca="false">IFERROR(VLOOKUP(Orders!E1961,Sales_Reps!$A$2:$E$31,3,FALSE()),"Not Found")</f>
        <v>East</v>
      </c>
      <c r="G1961" s="46" t="n">
        <f aca="false">IFERROR(VLOOKUP(Orders!D1961,Products!$A$2:$F$61,4,FALSE()),"")</f>
        <v>2214</v>
      </c>
      <c r="H1961" s="47" t="n">
        <f aca="false">IF(G1961="","",(Orders!G1961-G1961)/Orders!G1961)</f>
        <v>0.395081967213115</v>
      </c>
      <c r="I1961" s="46"/>
      <c r="J1961" s="46"/>
      <c r="K1961" s="46"/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  <c r="Y1961" s="46"/>
      <c r="Z1961" s="46"/>
      <c r="AA1961" s="46"/>
      <c r="AB1961" s="46"/>
      <c r="AC1961" s="46"/>
      <c r="AD1961" s="46"/>
      <c r="AE1961" s="46"/>
      <c r="AF1961" s="46"/>
      <c r="AG1961" s="46"/>
      <c r="AH1961" s="46"/>
      <c r="AI1961" s="46"/>
      <c r="AJ1961" s="46"/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46"/>
      <c r="AY1961" s="46"/>
      <c r="AZ1961" s="46"/>
    </row>
    <row r="1962" customFormat="false" ht="15" hidden="false" customHeight="false" outlineLevel="0" collapsed="false">
      <c r="A1962" s="46" t="str">
        <f aca="false">Orders!A1962</f>
        <v>ORD-01961</v>
      </c>
      <c r="B1962" s="46" t="str">
        <f aca="false">PROPER(TRIM(Orders!K1962))</f>
        <v>Mumbai</v>
      </c>
      <c r="C1962" s="46" t="str">
        <f aca="false">IFERROR(VLOOKUP(Orders!D1962,Products!$A$2:$F$61,3,FALSE()),"Not Found")</f>
        <v>Home</v>
      </c>
      <c r="D1962" s="46" t="str">
        <f aca="false">IFERROR(VLOOKUP(Orders!C1962,Customers!$A$2:$F$301,5,FALSE()),"Not Found")</f>
        <v>Retail</v>
      </c>
      <c r="E1962" s="46" t="n">
        <f aca="false">IFERROR(VLOOKUP(Orders!C1962,Customers!$A$2:$F$301,3,FALSE()),"Not Found")</f>
        <v>53</v>
      </c>
      <c r="F1962" s="46" t="str">
        <f aca="false">IFERROR(VLOOKUP(Orders!E1962,Sales_Reps!$A$2:$E$31,3,FALSE()),"Not Found")</f>
        <v>East</v>
      </c>
      <c r="G1962" s="46" t="n">
        <f aca="false">IFERROR(VLOOKUP(Orders!D1962,Products!$A$2:$F$61,4,FALSE()),"")</f>
        <v>2459</v>
      </c>
      <c r="H1962" s="47" t="n">
        <f aca="false">IF(G1962="","",(Orders!G1962-G1962)/Orders!G1962)</f>
        <v>0.515944881889764</v>
      </c>
      <c r="I1962" s="46"/>
      <c r="J1962" s="46"/>
      <c r="K1962" s="46"/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  <c r="Y1962" s="46"/>
      <c r="Z1962" s="46"/>
      <c r="AA1962" s="46"/>
      <c r="AB1962" s="46"/>
      <c r="AC1962" s="46"/>
      <c r="AD1962" s="46"/>
      <c r="AE1962" s="46"/>
      <c r="AF1962" s="46"/>
      <c r="AG1962" s="46"/>
      <c r="AH1962" s="46"/>
      <c r="AI1962" s="46"/>
      <c r="AJ1962" s="46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46"/>
      <c r="AY1962" s="46"/>
      <c r="AZ1962" s="46"/>
    </row>
    <row r="1963" customFormat="false" ht="15" hidden="false" customHeight="false" outlineLevel="0" collapsed="false">
      <c r="A1963" s="46" t="str">
        <f aca="false">Orders!A1963</f>
        <v>ORD-01962</v>
      </c>
      <c r="B1963" s="46" t="str">
        <f aca="false">PROPER(TRIM(Orders!K1963))</f>
        <v>Delhi</v>
      </c>
      <c r="C1963" s="46" t="str">
        <f aca="false">IFERROR(VLOOKUP(Orders!D1963,Products!$A$2:$F$61,3,FALSE()),"Not Found")</f>
        <v>Home</v>
      </c>
      <c r="D1963" s="46" t="str">
        <f aca="false">IFERROR(VLOOKUP(Orders!C1963,Customers!$A$2:$F$301,5,FALSE()),"Not Found")</f>
        <v>Retail</v>
      </c>
      <c r="E1963" s="46" t="n">
        <f aca="false">IFERROR(VLOOKUP(Orders!C1963,Customers!$A$2:$F$301,3,FALSE()),"Not Found")</f>
        <v>63</v>
      </c>
      <c r="F1963" s="46" t="str">
        <f aca="false">IFERROR(VLOOKUP(Orders!E1963,Sales_Reps!$A$2:$E$31,3,FALSE()),"Not Found")</f>
        <v>South</v>
      </c>
      <c r="G1963" s="46" t="n">
        <f aca="false">IFERROR(VLOOKUP(Orders!D1963,Products!$A$2:$F$61,4,FALSE()),"")</f>
        <v>1850</v>
      </c>
      <c r="H1963" s="47" t="n">
        <f aca="false">IF(G1963="","",(Orders!G1963-G1963)/Orders!G1963)</f>
        <v>0.598698481561822</v>
      </c>
      <c r="I1963" s="46"/>
      <c r="J1963" s="46"/>
      <c r="K1963" s="46"/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  <c r="Y1963" s="46"/>
      <c r="Z1963" s="46"/>
      <c r="AA1963" s="46"/>
      <c r="AB1963" s="46"/>
      <c r="AC1963" s="46"/>
      <c r="AD1963" s="46"/>
      <c r="AE1963" s="46"/>
      <c r="AF1963" s="46"/>
      <c r="AG1963" s="46"/>
      <c r="AH1963" s="46"/>
      <c r="AI1963" s="46"/>
      <c r="AJ1963" s="46"/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46"/>
      <c r="AX1963" s="46"/>
      <c r="AY1963" s="46"/>
      <c r="AZ1963" s="46"/>
    </row>
    <row r="1964" customFormat="false" ht="15" hidden="false" customHeight="false" outlineLevel="0" collapsed="false">
      <c r="A1964" s="46" t="str">
        <f aca="false">Orders!A1964</f>
        <v>ORD-01963</v>
      </c>
      <c r="B1964" s="46" t="str">
        <f aca="false">PROPER(TRIM(Orders!K1964))</f>
        <v>Bengaluru</v>
      </c>
      <c r="C1964" s="46" t="str">
        <f aca="false">IFERROR(VLOOKUP(Orders!D1964,Products!$A$2:$F$61,3,FALSE()),"Not Found")</f>
        <v>Electronics</v>
      </c>
      <c r="D1964" s="46" t="str">
        <f aca="false">IFERROR(VLOOKUP(Orders!C1964,Customers!$A$2:$F$301,5,FALSE()),"Not Found")</f>
        <v>Retail</v>
      </c>
      <c r="E1964" s="46" t="n">
        <f aca="false">IFERROR(VLOOKUP(Orders!C1964,Customers!$A$2:$F$301,3,FALSE()),"Not Found")</f>
        <v>27</v>
      </c>
      <c r="F1964" s="46" t="str">
        <f aca="false">IFERROR(VLOOKUP(Orders!E1964,Sales_Reps!$A$2:$E$31,3,FALSE()),"Not Found")</f>
        <v>North</v>
      </c>
      <c r="G1964" s="46" t="n">
        <f aca="false">IFERROR(VLOOKUP(Orders!D1964,Products!$A$2:$F$61,4,FALSE()),"")</f>
        <v>1259</v>
      </c>
      <c r="H1964" s="47" t="n">
        <f aca="false">IF(G1964="","",(Orders!G1964-G1964)/Orders!G1964)</f>
        <v>0.526691729323308</v>
      </c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46"/>
      <c r="AY1964" s="46"/>
      <c r="AZ1964" s="46"/>
    </row>
    <row r="1965" customFormat="false" ht="15" hidden="false" customHeight="false" outlineLevel="0" collapsed="false">
      <c r="A1965" s="46" t="str">
        <f aca="false">Orders!A1965</f>
        <v>ORD-01964</v>
      </c>
      <c r="B1965" s="46" t="str">
        <f aca="false">PROPER(TRIM(Orders!K1965))</f>
        <v>Delhi</v>
      </c>
      <c r="C1965" s="46" t="str">
        <f aca="false">IFERROR(VLOOKUP(Orders!D1965,Products!$A$2:$F$61,3,FALSE()),"Not Found")</f>
        <v>Apparel</v>
      </c>
      <c r="D1965" s="46" t="str">
        <f aca="false">IFERROR(VLOOKUP(Orders!C1965,Customers!$A$2:$F$301,5,FALSE()),"Not Found")</f>
        <v>SMB</v>
      </c>
      <c r="E1965" s="46" t="n">
        <f aca="false">IFERROR(VLOOKUP(Orders!C1965,Customers!$A$2:$F$301,3,FALSE()),"Not Found")</f>
        <v>48</v>
      </c>
      <c r="F1965" s="46" t="str">
        <f aca="false">IFERROR(VLOOKUP(Orders!E1965,Sales_Reps!$A$2:$E$31,3,FALSE()),"Not Found")</f>
        <v>North</v>
      </c>
      <c r="G1965" s="46" t="n">
        <f aca="false">IFERROR(VLOOKUP(Orders!D1965,Products!$A$2:$F$61,4,FALSE()),"")</f>
        <v>1886</v>
      </c>
      <c r="H1965" s="47" t="n">
        <f aca="false">IF(G1965="","",(Orders!G1965-G1965)/Orders!G1965)</f>
        <v>0.403164556962025</v>
      </c>
      <c r="I1965" s="46"/>
      <c r="J1965" s="46"/>
      <c r="K1965" s="46"/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6"/>
      <c r="AB1965" s="46"/>
      <c r="AC1965" s="46"/>
      <c r="AD1965" s="46"/>
      <c r="AE1965" s="46"/>
      <c r="AF1965" s="46"/>
      <c r="AG1965" s="46"/>
      <c r="AH1965" s="46"/>
      <c r="AI1965" s="46"/>
      <c r="AJ1965" s="46"/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46"/>
      <c r="AY1965" s="46"/>
      <c r="AZ1965" s="46"/>
    </row>
    <row r="1966" customFormat="false" ht="15" hidden="false" customHeight="false" outlineLevel="0" collapsed="false">
      <c r="A1966" s="46" t="str">
        <f aca="false">Orders!A1966</f>
        <v>ORD-01965</v>
      </c>
      <c r="B1966" s="46" t="str">
        <f aca="false">PROPER(TRIM(Orders!K1966))</f>
        <v>Delhi</v>
      </c>
      <c r="C1966" s="46" t="str">
        <f aca="false">IFERROR(VLOOKUP(Orders!D1966,Products!$A$2:$F$61,3,FALSE()),"Not Found")</f>
        <v>Home</v>
      </c>
      <c r="D1966" s="46" t="str">
        <f aca="false">IFERROR(VLOOKUP(Orders!C1966,Customers!$A$2:$F$301,5,FALSE()),"Not Found")</f>
        <v>Retail</v>
      </c>
      <c r="E1966" s="46" t="n">
        <f aca="false">IFERROR(VLOOKUP(Orders!C1966,Customers!$A$2:$F$301,3,FALSE()),"Not Found")</f>
        <v>41</v>
      </c>
      <c r="F1966" s="46" t="str">
        <f aca="false">IFERROR(VLOOKUP(Orders!E1966,Sales_Reps!$A$2:$E$31,3,FALSE()),"Not Found")</f>
        <v>North</v>
      </c>
      <c r="G1966" s="46" t="n">
        <f aca="false">IFERROR(VLOOKUP(Orders!D1966,Products!$A$2:$F$61,4,FALSE()),"")</f>
        <v>288</v>
      </c>
      <c r="H1966" s="47" t="n">
        <f aca="false">IF(G1966="","",(Orders!G1966-G1966)/Orders!G1966)</f>
        <v>0.221621621621622</v>
      </c>
      <c r="I1966" s="46"/>
      <c r="J1966" s="46"/>
      <c r="K1966" s="46"/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46"/>
      <c r="AE1966" s="46"/>
      <c r="AF1966" s="46"/>
      <c r="AG1966" s="46"/>
      <c r="AH1966" s="46"/>
      <c r="AI1966" s="46"/>
      <c r="AJ1966" s="46"/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46"/>
      <c r="AX1966" s="46"/>
      <c r="AY1966" s="46"/>
      <c r="AZ1966" s="46"/>
    </row>
    <row r="1967" customFormat="false" ht="15" hidden="false" customHeight="false" outlineLevel="0" collapsed="false">
      <c r="A1967" s="46" t="str">
        <f aca="false">Orders!A1967</f>
        <v>ORD-01966</v>
      </c>
      <c r="B1967" s="46" t="str">
        <f aca="false">PROPER(TRIM(Orders!K1967))</f>
        <v>Mumbai</v>
      </c>
      <c r="C1967" s="46" t="str">
        <f aca="false">IFERROR(VLOOKUP(Orders!D1967,Products!$A$2:$F$61,3,FALSE()),"Not Found")</f>
        <v>Sports</v>
      </c>
      <c r="D1967" s="46" t="str">
        <f aca="false">IFERROR(VLOOKUP(Orders!C1967,Customers!$A$2:$F$301,5,FALSE()),"Not Found")</f>
        <v>Retail</v>
      </c>
      <c r="E1967" s="46" t="n">
        <f aca="false">IFERROR(VLOOKUP(Orders!C1967,Customers!$A$2:$F$301,3,FALSE()),"Not Found")</f>
        <v>54</v>
      </c>
      <c r="F1967" s="46" t="str">
        <f aca="false">IFERROR(VLOOKUP(Orders!E1967,Sales_Reps!$A$2:$E$31,3,FALSE()),"Not Found")</f>
        <v>North</v>
      </c>
      <c r="G1967" s="46" t="n">
        <f aca="false">IFERROR(VLOOKUP(Orders!D1967,Products!$A$2:$F$61,4,FALSE()),"")</f>
        <v>516</v>
      </c>
      <c r="H1967" s="47" t="n">
        <f aca="false">IF(G1967="","",(Orders!G1967-G1967)/Orders!G1967)</f>
        <v>0.489108910891089</v>
      </c>
      <c r="I1967" s="46"/>
      <c r="J1967" s="46"/>
      <c r="K1967" s="46"/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6"/>
      <c r="AB1967" s="46"/>
      <c r="AC1967" s="46"/>
      <c r="AD1967" s="46"/>
      <c r="AE1967" s="46"/>
      <c r="AF1967" s="46"/>
      <c r="AG1967" s="46"/>
      <c r="AH1967" s="46"/>
      <c r="AI1967" s="46"/>
      <c r="AJ1967" s="46"/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46"/>
      <c r="AX1967" s="46"/>
      <c r="AY1967" s="46"/>
      <c r="AZ1967" s="46"/>
    </row>
    <row r="1968" customFormat="false" ht="15" hidden="false" customHeight="false" outlineLevel="0" collapsed="false">
      <c r="A1968" s="46" t="str">
        <f aca="false">Orders!A1968</f>
        <v>ORD-01967</v>
      </c>
      <c r="B1968" s="46" t="str">
        <f aca="false">PROPER(TRIM(Orders!K1968))</f>
        <v>Hyderabad</v>
      </c>
      <c r="C1968" s="46" t="str">
        <f aca="false">IFERROR(VLOOKUP(Orders!D1968,Products!$A$2:$F$61,3,FALSE()),"Not Found")</f>
        <v>Apparel</v>
      </c>
      <c r="D1968" s="46" t="str">
        <f aca="false">IFERROR(VLOOKUP(Orders!C1968,Customers!$A$2:$F$301,5,FALSE()),"Not Found")</f>
        <v>SMB</v>
      </c>
      <c r="E1968" s="46" t="n">
        <f aca="false">IFERROR(VLOOKUP(Orders!C1968,Customers!$A$2:$F$301,3,FALSE()),"Not Found")</f>
        <v>65</v>
      </c>
      <c r="F1968" s="46" t="str">
        <f aca="false">IFERROR(VLOOKUP(Orders!E1968,Sales_Reps!$A$2:$E$31,3,FALSE()),"Not Found")</f>
        <v>West</v>
      </c>
      <c r="G1968" s="46" t="n">
        <f aca="false">IFERROR(VLOOKUP(Orders!D1968,Products!$A$2:$F$61,4,FALSE()),"")</f>
        <v>2629</v>
      </c>
      <c r="H1968" s="47" t="n">
        <f aca="false">IF(G1968="","",(Orders!G1968-G1968)/Orders!G1968)</f>
        <v>0.261516853932584</v>
      </c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  <c r="X1968" s="46"/>
      <c r="Y1968" s="46"/>
      <c r="Z1968" s="46"/>
      <c r="AA1968" s="46"/>
      <c r="AB1968" s="46"/>
      <c r="AC1968" s="46"/>
      <c r="AD1968" s="46"/>
      <c r="AE1968" s="46"/>
      <c r="AF1968" s="46"/>
      <c r="AG1968" s="46"/>
      <c r="AH1968" s="46"/>
      <c r="AI1968" s="46"/>
      <c r="AJ1968" s="46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46"/>
      <c r="AY1968" s="46"/>
      <c r="AZ1968" s="46"/>
    </row>
    <row r="1969" customFormat="false" ht="15" hidden="false" customHeight="false" outlineLevel="0" collapsed="false">
      <c r="A1969" s="46" t="str">
        <f aca="false">Orders!A1969</f>
        <v>ORD-01968</v>
      </c>
      <c r="B1969" s="46" t="str">
        <f aca="false">PROPER(TRIM(Orders!K1969))</f>
        <v>Hyderabad</v>
      </c>
      <c r="C1969" s="46" t="str">
        <f aca="false">IFERROR(VLOOKUP(Orders!D1969,Products!$A$2:$F$61,3,FALSE()),"Not Found")</f>
        <v>Electronics</v>
      </c>
      <c r="D1969" s="46" t="str">
        <f aca="false">IFERROR(VLOOKUP(Orders!C1969,Customers!$A$2:$F$301,5,FALSE()),"Not Found")</f>
        <v>Retail</v>
      </c>
      <c r="E1969" s="46" t="n">
        <f aca="false">IFERROR(VLOOKUP(Orders!C1969,Customers!$A$2:$F$301,3,FALSE()),"Not Found")</f>
        <v>28</v>
      </c>
      <c r="F1969" s="46" t="str">
        <f aca="false">IFERROR(VLOOKUP(Orders!E1969,Sales_Reps!$A$2:$E$31,3,FALSE()),"Not Found")</f>
        <v>West</v>
      </c>
      <c r="G1969" s="46" t="n">
        <f aca="false">IFERROR(VLOOKUP(Orders!D1969,Products!$A$2:$F$61,4,FALSE()),"")</f>
        <v>517</v>
      </c>
      <c r="H1969" s="47" t="n">
        <f aca="false">IF(G1969="","",(Orders!G1969-G1969)/Orders!G1969)</f>
        <v>0.576229508196721</v>
      </c>
      <c r="I1969" s="46"/>
      <c r="J1969" s="46"/>
      <c r="K1969" s="46"/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6"/>
      <c r="AB1969" s="46"/>
      <c r="AC1969" s="46"/>
      <c r="AD1969" s="46"/>
      <c r="AE1969" s="46"/>
      <c r="AF1969" s="46"/>
      <c r="AG1969" s="46"/>
      <c r="AH1969" s="46"/>
      <c r="AI1969" s="46"/>
      <c r="AJ1969" s="46"/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46"/>
      <c r="AY1969" s="46"/>
      <c r="AZ1969" s="46"/>
    </row>
    <row r="1970" customFormat="false" ht="15" hidden="false" customHeight="false" outlineLevel="0" collapsed="false">
      <c r="A1970" s="46" t="str">
        <f aca="false">Orders!A1970</f>
        <v>ORD-01969</v>
      </c>
      <c r="B1970" s="46" t="str">
        <f aca="false">PROPER(TRIM(Orders!K1970))</f>
        <v>Pune</v>
      </c>
      <c r="C1970" s="46" t="str">
        <f aca="false">IFERROR(VLOOKUP(Orders!D1970,Products!$A$2:$F$61,3,FALSE()),"Not Found")</f>
        <v>Sports</v>
      </c>
      <c r="D1970" s="46" t="str">
        <f aca="false">IFERROR(VLOOKUP(Orders!C1970,Customers!$A$2:$F$301,5,FALSE()),"Not Found")</f>
        <v>Retail</v>
      </c>
      <c r="E1970" s="46" t="n">
        <f aca="false">IFERROR(VLOOKUP(Orders!C1970,Customers!$A$2:$F$301,3,FALSE()),"Not Found")</f>
        <v>42</v>
      </c>
      <c r="F1970" s="46" t="str">
        <f aca="false">IFERROR(VLOOKUP(Orders!E1970,Sales_Reps!$A$2:$E$31,3,FALSE()),"Not Found")</f>
        <v>North</v>
      </c>
      <c r="G1970" s="46" t="n">
        <f aca="false">IFERROR(VLOOKUP(Orders!D1970,Products!$A$2:$F$61,4,FALSE()),"")</f>
        <v>147</v>
      </c>
      <c r="H1970" s="47" t="n">
        <f aca="false">IF(G1970="","",(Orders!G1970-G1970)/Orders!G1970)</f>
        <v>0.226315789473684</v>
      </c>
      <c r="I1970" s="46"/>
      <c r="J1970" s="46"/>
      <c r="K1970" s="46"/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46"/>
    </row>
    <row r="1971" customFormat="false" ht="15" hidden="false" customHeight="false" outlineLevel="0" collapsed="false">
      <c r="A1971" s="46" t="str">
        <f aca="false">Orders!A1971</f>
        <v>ORD-01970</v>
      </c>
      <c r="B1971" s="46" t="str">
        <f aca="false">PROPER(TRIM(Orders!K1971))</f>
        <v>Chennai</v>
      </c>
      <c r="C1971" s="46" t="str">
        <f aca="false">IFERROR(VLOOKUP(Orders!D1971,Products!$A$2:$F$61,3,FALSE()),"Not Found")</f>
        <v>Sports</v>
      </c>
      <c r="D1971" s="46" t="str">
        <f aca="false">IFERROR(VLOOKUP(Orders!C1971,Customers!$A$2:$F$301,5,FALSE()),"Not Found")</f>
        <v>Corporate</v>
      </c>
      <c r="E1971" s="46" t="n">
        <f aca="false">IFERROR(VLOOKUP(Orders!C1971,Customers!$A$2:$F$301,3,FALSE()),"Not Found")</f>
        <v>24</v>
      </c>
      <c r="F1971" s="46" t="str">
        <f aca="false">IFERROR(VLOOKUP(Orders!E1971,Sales_Reps!$A$2:$E$31,3,FALSE()),"Not Found")</f>
        <v>North</v>
      </c>
      <c r="G1971" s="46" t="n">
        <f aca="false">IFERROR(VLOOKUP(Orders!D1971,Products!$A$2:$F$61,4,FALSE()),"")</f>
        <v>516</v>
      </c>
      <c r="H1971" s="47" t="n">
        <f aca="false">IF(G1971="","",(Orders!G1971-G1971)/Orders!G1971)</f>
        <v>0.489108910891089</v>
      </c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  <c r="AA1971" s="46"/>
      <c r="AB1971" s="46"/>
      <c r="AC1971" s="46"/>
      <c r="AD1971" s="46"/>
      <c r="AE1971" s="46"/>
      <c r="AF1971" s="46"/>
      <c r="AG1971" s="46"/>
      <c r="AH1971" s="46"/>
      <c r="AI1971" s="46"/>
      <c r="AJ1971" s="46"/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46"/>
      <c r="AY1971" s="46"/>
      <c r="AZ1971" s="46"/>
    </row>
    <row r="1972" customFormat="false" ht="15" hidden="false" customHeight="false" outlineLevel="0" collapsed="false">
      <c r="A1972" s="46" t="str">
        <f aca="false">Orders!A1972</f>
        <v>ORD-01971</v>
      </c>
      <c r="B1972" s="46" t="str">
        <f aca="false">PROPER(TRIM(Orders!K1972))</f>
        <v>Mumbai</v>
      </c>
      <c r="C1972" s="46" t="str">
        <f aca="false">IFERROR(VLOOKUP(Orders!D1972,Products!$A$2:$F$61,3,FALSE()),"Not Found")</f>
        <v>Electronics</v>
      </c>
      <c r="D1972" s="46" t="str">
        <f aca="false">IFERROR(VLOOKUP(Orders!C1972,Customers!$A$2:$F$301,5,FALSE()),"Not Found")</f>
        <v>Retail</v>
      </c>
      <c r="E1972" s="46" t="n">
        <f aca="false">IFERROR(VLOOKUP(Orders!C1972,Customers!$A$2:$F$301,3,FALSE()),"Not Found")</f>
        <v>57</v>
      </c>
      <c r="F1972" s="46" t="str">
        <f aca="false">IFERROR(VLOOKUP(Orders!E1972,Sales_Reps!$A$2:$E$31,3,FALSE()),"Not Found")</f>
        <v>South</v>
      </c>
      <c r="G1972" s="46" t="n">
        <f aca="false">IFERROR(VLOOKUP(Orders!D1972,Products!$A$2:$F$61,4,FALSE()),"")</f>
        <v>1052</v>
      </c>
      <c r="H1972" s="47" t="n">
        <f aca="false">IF(G1972="","",(Orders!G1972-G1972)/Orders!G1972)</f>
        <v>0.595384615384615</v>
      </c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  <c r="Y1972" s="46"/>
      <c r="Z1972" s="46"/>
      <c r="AA1972" s="46"/>
      <c r="AB1972" s="46"/>
      <c r="AC1972" s="46"/>
      <c r="AD1972" s="46"/>
      <c r="AE1972" s="46"/>
      <c r="AF1972" s="46"/>
      <c r="AG1972" s="46"/>
      <c r="AH1972" s="46"/>
      <c r="AI1972" s="46"/>
      <c r="AJ1972" s="46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46"/>
      <c r="AY1972" s="46"/>
      <c r="AZ1972" s="46"/>
    </row>
    <row r="1973" customFormat="false" ht="15" hidden="false" customHeight="false" outlineLevel="0" collapsed="false">
      <c r="A1973" s="46" t="str">
        <f aca="false">Orders!A1973</f>
        <v>ORD-01972</v>
      </c>
      <c r="B1973" s="46" t="str">
        <f aca="false">PROPER(TRIM(Orders!K1973))</f>
        <v>Delhi</v>
      </c>
      <c r="C1973" s="46" t="str">
        <f aca="false">IFERROR(VLOOKUP(Orders!D1973,Products!$A$2:$F$61,3,FALSE()),"Not Found")</f>
        <v>Apparel</v>
      </c>
      <c r="D1973" s="46" t="str">
        <f aca="false">IFERROR(VLOOKUP(Orders!C1973,Customers!$A$2:$F$301,5,FALSE()),"Not Found")</f>
        <v>Retail</v>
      </c>
      <c r="E1973" s="46" t="n">
        <f aca="false">IFERROR(VLOOKUP(Orders!C1973,Customers!$A$2:$F$301,3,FALSE()),"Not Found")</f>
        <v>41</v>
      </c>
      <c r="F1973" s="46" t="str">
        <f aca="false">IFERROR(VLOOKUP(Orders!E1973,Sales_Reps!$A$2:$E$31,3,FALSE()),"Not Found")</f>
        <v>West</v>
      </c>
      <c r="G1973" s="46" t="n">
        <f aca="false">IFERROR(VLOOKUP(Orders!D1973,Products!$A$2:$F$61,4,FALSE()),"")</f>
        <v>1748</v>
      </c>
      <c r="H1973" s="47" t="n">
        <f aca="false">IF(G1973="","",(Orders!G1973-G1973)/Orders!G1973)</f>
        <v>0.493333333333333</v>
      </c>
      <c r="I1973" s="46"/>
      <c r="J1973" s="46"/>
      <c r="K1973" s="46"/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  <c r="Y1973" s="46"/>
      <c r="Z1973" s="46"/>
      <c r="AA1973" s="46"/>
      <c r="AB1973" s="46"/>
      <c r="AC1973" s="46"/>
      <c r="AD1973" s="46"/>
      <c r="AE1973" s="46"/>
      <c r="AF1973" s="46"/>
      <c r="AG1973" s="46"/>
      <c r="AH1973" s="46"/>
      <c r="AI1973" s="46"/>
      <c r="AJ1973" s="46"/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46"/>
      <c r="AY1973" s="46"/>
      <c r="AZ1973" s="46"/>
    </row>
    <row r="1974" customFormat="false" ht="15" hidden="false" customHeight="false" outlineLevel="0" collapsed="false">
      <c r="A1974" s="46" t="str">
        <f aca="false">Orders!A1974</f>
        <v>ORD-01973</v>
      </c>
      <c r="B1974" s="46" t="str">
        <f aca="false">PROPER(TRIM(Orders!K1974))</f>
        <v>Chennai</v>
      </c>
      <c r="C1974" s="46" t="str">
        <f aca="false">IFERROR(VLOOKUP(Orders!D1974,Products!$A$2:$F$61,3,FALSE()),"Not Found")</f>
        <v>Apparel</v>
      </c>
      <c r="D1974" s="46" t="str">
        <f aca="false">IFERROR(VLOOKUP(Orders!C1974,Customers!$A$2:$F$301,5,FALSE()),"Not Found")</f>
        <v>Corporate</v>
      </c>
      <c r="E1974" s="46" t="n">
        <f aca="false">IFERROR(VLOOKUP(Orders!C1974,Customers!$A$2:$F$301,3,FALSE()),"Not Found")</f>
        <v>52</v>
      </c>
      <c r="F1974" s="46" t="str">
        <f aca="false">IFERROR(VLOOKUP(Orders!E1974,Sales_Reps!$A$2:$E$31,3,FALSE()),"Not Found")</f>
        <v>East</v>
      </c>
      <c r="G1974" s="46" t="n">
        <f aca="false">IFERROR(VLOOKUP(Orders!D1974,Products!$A$2:$F$61,4,FALSE()),"")</f>
        <v>1075</v>
      </c>
      <c r="H1974" s="47" t="n">
        <f aca="false">IF(G1974="","",(Orders!G1974-G1974)/Orders!G1974)</f>
        <v>0.571713147410359</v>
      </c>
      <c r="I1974" s="46"/>
      <c r="J1974" s="46"/>
      <c r="K1974" s="46"/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  <c r="Y1974" s="46"/>
      <c r="Z1974" s="46"/>
      <c r="AA1974" s="46"/>
      <c r="AB1974" s="46"/>
      <c r="AC1974" s="46"/>
      <c r="AD1974" s="46"/>
      <c r="AE1974" s="46"/>
      <c r="AF1974" s="46"/>
      <c r="AG1974" s="46"/>
      <c r="AH1974" s="46"/>
      <c r="AI1974" s="46"/>
      <c r="AJ1974" s="46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46"/>
      <c r="AY1974" s="46"/>
      <c r="AZ1974" s="46"/>
    </row>
    <row r="1975" customFormat="false" ht="15" hidden="false" customHeight="false" outlineLevel="0" collapsed="false">
      <c r="A1975" s="46" t="str">
        <f aca="false">Orders!A1975</f>
        <v>ORD-01974</v>
      </c>
      <c r="B1975" s="46" t="str">
        <f aca="false">PROPER(TRIM(Orders!K1975))</f>
        <v>Mumbai</v>
      </c>
      <c r="C1975" s="46" t="str">
        <f aca="false">IFERROR(VLOOKUP(Orders!D1975,Products!$A$2:$F$61,3,FALSE()),"Not Found")</f>
        <v>Sports</v>
      </c>
      <c r="D1975" s="46" t="str">
        <f aca="false">IFERROR(VLOOKUP(Orders!C1975,Customers!$A$2:$F$301,5,FALSE()),"Not Found")</f>
        <v>Retail</v>
      </c>
      <c r="E1975" s="46" t="n">
        <f aca="false">IFERROR(VLOOKUP(Orders!C1975,Customers!$A$2:$F$301,3,FALSE()),"Not Found")</f>
        <v>36</v>
      </c>
      <c r="F1975" s="46" t="str">
        <f aca="false">IFERROR(VLOOKUP(Orders!E1975,Sales_Reps!$A$2:$E$31,3,FALSE()),"Not Found")</f>
        <v>West</v>
      </c>
      <c r="G1975" s="46" t="n">
        <f aca="false">IFERROR(VLOOKUP(Orders!D1975,Products!$A$2:$F$61,4,FALSE()),"")</f>
        <v>147</v>
      </c>
      <c r="H1975" s="47" t="n">
        <f aca="false">IF(G1975="","",(Orders!G1975-G1975)/Orders!G1975)</f>
        <v>0.226315789473684</v>
      </c>
      <c r="I1975" s="46"/>
      <c r="J1975" s="46"/>
      <c r="K1975" s="46"/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  <c r="AA1975" s="46"/>
      <c r="AB1975" s="46"/>
      <c r="AC1975" s="46"/>
      <c r="AD1975" s="46"/>
      <c r="AE1975" s="46"/>
      <c r="AF1975" s="46"/>
      <c r="AG1975" s="46"/>
      <c r="AH1975" s="46"/>
      <c r="AI1975" s="46"/>
      <c r="AJ1975" s="46"/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46"/>
      <c r="AY1975" s="46"/>
      <c r="AZ1975" s="46"/>
    </row>
    <row r="1976" customFormat="false" ht="15" hidden="false" customHeight="false" outlineLevel="0" collapsed="false">
      <c r="A1976" s="46" t="str">
        <f aca="false">Orders!A1976</f>
        <v>ORD-01975</v>
      </c>
      <c r="B1976" s="46" t="str">
        <f aca="false">PROPER(TRIM(Orders!K1976))</f>
        <v>Pune</v>
      </c>
      <c r="C1976" s="46" t="str">
        <f aca="false">IFERROR(VLOOKUP(Orders!D1976,Products!$A$2:$F$61,3,FALSE()),"Not Found")</f>
        <v>Beauty</v>
      </c>
      <c r="D1976" s="46" t="str">
        <f aca="false">IFERROR(VLOOKUP(Orders!C1976,Customers!$A$2:$F$301,5,FALSE()),"Not Found")</f>
        <v>Retail</v>
      </c>
      <c r="E1976" s="46" t="n">
        <f aca="false">IFERROR(VLOOKUP(Orders!C1976,Customers!$A$2:$F$301,3,FALSE()),"Not Found")</f>
        <v>42</v>
      </c>
      <c r="F1976" s="46" t="str">
        <f aca="false">IFERROR(VLOOKUP(Orders!E1976,Sales_Reps!$A$2:$E$31,3,FALSE()),"Not Found")</f>
        <v>West</v>
      </c>
      <c r="G1976" s="46" t="n">
        <f aca="false">IFERROR(VLOOKUP(Orders!D1976,Products!$A$2:$F$61,4,FALSE()),"")</f>
        <v>1222</v>
      </c>
      <c r="H1976" s="47" t="n">
        <f aca="false">IF(G1976="","",(Orders!G1976-G1976)/Orders!G1976)</f>
        <v>0.259393939393939</v>
      </c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  <c r="AA1976" s="46"/>
      <c r="AB1976" s="46"/>
      <c r="AC1976" s="46"/>
      <c r="AD1976" s="46"/>
      <c r="AE1976" s="46"/>
      <c r="AF1976" s="46"/>
      <c r="AG1976" s="46"/>
      <c r="AH1976" s="46"/>
      <c r="AI1976" s="46"/>
      <c r="AJ1976" s="46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46"/>
      <c r="AY1976" s="46"/>
      <c r="AZ1976" s="46"/>
    </row>
    <row r="1977" customFormat="false" ht="15" hidden="false" customHeight="false" outlineLevel="0" collapsed="false">
      <c r="A1977" s="46" t="str">
        <f aca="false">Orders!A1977</f>
        <v>ORD-01976</v>
      </c>
      <c r="B1977" s="46" t="str">
        <f aca="false">PROPER(TRIM(Orders!K1977))</f>
        <v>Bengaluru</v>
      </c>
      <c r="C1977" s="46" t="str">
        <f aca="false">IFERROR(VLOOKUP(Orders!D1977,Products!$A$2:$F$61,3,FALSE()),"Not Found")</f>
        <v>Sports</v>
      </c>
      <c r="D1977" s="46" t="str">
        <f aca="false">IFERROR(VLOOKUP(Orders!C1977,Customers!$A$2:$F$301,5,FALSE()),"Not Found")</f>
        <v>Corporate</v>
      </c>
      <c r="E1977" s="46" t="n">
        <f aca="false">IFERROR(VLOOKUP(Orders!C1977,Customers!$A$2:$F$301,3,FALSE()),"Not Found")</f>
        <v>57</v>
      </c>
      <c r="F1977" s="46" t="str">
        <f aca="false">IFERROR(VLOOKUP(Orders!E1977,Sales_Reps!$A$2:$E$31,3,FALSE()),"Not Found")</f>
        <v>South</v>
      </c>
      <c r="G1977" s="46" t="n">
        <f aca="false">IFERROR(VLOOKUP(Orders!D1977,Products!$A$2:$F$61,4,FALSE()),"")</f>
        <v>2028</v>
      </c>
      <c r="H1977" s="47" t="n">
        <f aca="false">IF(G1977="","",(Orders!G1977-G1977)/Orders!G1977)</f>
        <v>0.290909090909091</v>
      </c>
      <c r="I1977" s="46"/>
      <c r="J1977" s="46"/>
      <c r="K1977" s="46"/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46"/>
      <c r="Y1977" s="46"/>
      <c r="Z1977" s="46"/>
      <c r="AA1977" s="46"/>
      <c r="AB1977" s="46"/>
      <c r="AC1977" s="46"/>
      <c r="AD1977" s="46"/>
      <c r="AE1977" s="46"/>
      <c r="AF1977" s="46"/>
      <c r="AG1977" s="46"/>
      <c r="AH1977" s="46"/>
      <c r="AI1977" s="46"/>
      <c r="AJ1977" s="46"/>
      <c r="AK1977" s="46"/>
      <c r="AL1977" s="46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46"/>
      <c r="AY1977" s="46"/>
      <c r="AZ1977" s="46"/>
    </row>
    <row r="1978" customFormat="false" ht="15" hidden="false" customHeight="false" outlineLevel="0" collapsed="false">
      <c r="A1978" s="46" t="str">
        <f aca="false">Orders!A1978</f>
        <v>ORD-01977</v>
      </c>
      <c r="B1978" s="46" t="str">
        <f aca="false">PROPER(TRIM(Orders!K1978))</f>
        <v>Pune</v>
      </c>
      <c r="C1978" s="46" t="str">
        <f aca="false">IFERROR(VLOOKUP(Orders!D1978,Products!$A$2:$F$61,3,FALSE()),"Not Found")</f>
        <v>Sports</v>
      </c>
      <c r="D1978" s="46" t="str">
        <f aca="false">IFERROR(VLOOKUP(Orders!C1978,Customers!$A$2:$F$301,5,FALSE()),"Not Found")</f>
        <v>Retail</v>
      </c>
      <c r="E1978" s="46" t="n">
        <f aca="false">IFERROR(VLOOKUP(Orders!C1978,Customers!$A$2:$F$301,3,FALSE()),"Not Found")</f>
        <v>54</v>
      </c>
      <c r="F1978" s="46" t="str">
        <f aca="false">IFERROR(VLOOKUP(Orders!E1978,Sales_Reps!$A$2:$E$31,3,FALSE()),"Not Found")</f>
        <v>West</v>
      </c>
      <c r="G1978" s="46" t="n">
        <f aca="false">IFERROR(VLOOKUP(Orders!D1978,Products!$A$2:$F$61,4,FALSE()),"")</f>
        <v>302</v>
      </c>
      <c r="H1978" s="47" t="n">
        <f aca="false">IF(G1978="","",(Orders!G1978-G1978)/Orders!G1978)</f>
        <v>0.357446808510638</v>
      </c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</row>
    <row r="1979" customFormat="false" ht="15" hidden="false" customHeight="false" outlineLevel="0" collapsed="false">
      <c r="A1979" s="46" t="str">
        <f aca="false">Orders!A1979</f>
        <v>ORD-01978</v>
      </c>
      <c r="B1979" s="46" t="str">
        <f aca="false">PROPER(TRIM(Orders!K1979))</f>
        <v>Hyderabad</v>
      </c>
      <c r="C1979" s="46" t="str">
        <f aca="false">IFERROR(VLOOKUP(Orders!D1979,Products!$A$2:$F$61,3,FALSE()),"Not Found")</f>
        <v>Sports</v>
      </c>
      <c r="D1979" s="46" t="str">
        <f aca="false">IFERROR(VLOOKUP(Orders!C1979,Customers!$A$2:$F$301,5,FALSE()),"Not Found")</f>
        <v>Corporate</v>
      </c>
      <c r="E1979" s="46" t="n">
        <f aca="false">IFERROR(VLOOKUP(Orders!C1979,Customers!$A$2:$F$301,3,FALSE()),"Not Found")</f>
        <v>54</v>
      </c>
      <c r="F1979" s="46" t="str">
        <f aca="false">IFERROR(VLOOKUP(Orders!E1979,Sales_Reps!$A$2:$E$31,3,FALSE()),"Not Found")</f>
        <v>West</v>
      </c>
      <c r="G1979" s="46" t="n">
        <f aca="false">IFERROR(VLOOKUP(Orders!D1979,Products!$A$2:$F$61,4,FALSE()),"")</f>
        <v>2028</v>
      </c>
      <c r="H1979" s="47" t="n">
        <f aca="false">IF(G1979="","",(Orders!G1979-G1979)/Orders!G1979)</f>
        <v>0.290909090909091</v>
      </c>
      <c r="I1979" s="46"/>
      <c r="J1979" s="46"/>
      <c r="K1979" s="46"/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  <c r="Y1979" s="46"/>
      <c r="Z1979" s="46"/>
      <c r="AA1979" s="46"/>
      <c r="AB1979" s="46"/>
      <c r="AC1979" s="46"/>
      <c r="AD1979" s="46"/>
      <c r="AE1979" s="46"/>
      <c r="AF1979" s="46"/>
      <c r="AG1979" s="46"/>
      <c r="AH1979" s="46"/>
      <c r="AI1979" s="46"/>
      <c r="AJ1979" s="46"/>
      <c r="AK1979" s="46"/>
      <c r="AL1979" s="46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46"/>
      <c r="AY1979" s="46"/>
      <c r="AZ1979" s="46"/>
    </row>
    <row r="1980" customFormat="false" ht="15" hidden="false" customHeight="false" outlineLevel="0" collapsed="false">
      <c r="A1980" s="46" t="str">
        <f aca="false">Orders!A1980</f>
        <v>ORD-01979</v>
      </c>
      <c r="B1980" s="46" t="str">
        <f aca="false">PROPER(TRIM(Orders!K1980))</f>
        <v>Mumbai</v>
      </c>
      <c r="C1980" s="46" t="str">
        <f aca="false">IFERROR(VLOOKUP(Orders!D1980,Products!$A$2:$F$61,3,FALSE()),"Not Found")</f>
        <v>Apparel</v>
      </c>
      <c r="D1980" s="46" t="str">
        <f aca="false">IFERROR(VLOOKUP(Orders!C1980,Customers!$A$2:$F$301,5,FALSE()),"Not Found")</f>
        <v>Retail</v>
      </c>
      <c r="E1980" s="46" t="n">
        <f aca="false">IFERROR(VLOOKUP(Orders!C1980,Customers!$A$2:$F$301,3,FALSE()),"Not Found")</f>
        <v>38</v>
      </c>
      <c r="F1980" s="46" t="str">
        <f aca="false">IFERROR(VLOOKUP(Orders!E1980,Sales_Reps!$A$2:$E$31,3,FALSE()),"Not Found")</f>
        <v>East</v>
      </c>
      <c r="G1980" s="46" t="n">
        <f aca="false">IFERROR(VLOOKUP(Orders!D1980,Products!$A$2:$F$61,4,FALSE()),"")</f>
        <v>1173</v>
      </c>
      <c r="H1980" s="47" t="n">
        <f aca="false">IF(G1980="","",(Orders!G1980-G1980)/Orders!G1980)</f>
        <v>0.527016129032258</v>
      </c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  <c r="AE1980" s="46"/>
      <c r="AF1980" s="46"/>
      <c r="AG1980" s="46"/>
      <c r="AH1980" s="46"/>
      <c r="AI1980" s="46"/>
      <c r="AJ1980" s="46"/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46"/>
      <c r="AY1980" s="46"/>
      <c r="AZ1980" s="46"/>
    </row>
    <row r="1981" customFormat="false" ht="15" hidden="false" customHeight="false" outlineLevel="0" collapsed="false">
      <c r="A1981" s="46" t="str">
        <f aca="false">Orders!A1981</f>
        <v>ORD-01980</v>
      </c>
      <c r="B1981" s="46" t="str">
        <f aca="false">PROPER(TRIM(Orders!K1981))</f>
        <v>Bengaluru</v>
      </c>
      <c r="C1981" s="46" t="str">
        <f aca="false">IFERROR(VLOOKUP(Orders!D1981,Products!$A$2:$F$61,3,FALSE()),"Not Found")</f>
        <v>Home</v>
      </c>
      <c r="D1981" s="46" t="str">
        <f aca="false">IFERROR(VLOOKUP(Orders!C1981,Customers!$A$2:$F$301,5,FALSE()),"Not Found")</f>
        <v>SMB</v>
      </c>
      <c r="E1981" s="46" t="n">
        <f aca="false">IFERROR(VLOOKUP(Orders!C1981,Customers!$A$2:$F$301,3,FALSE()),"Not Found")</f>
        <v>44</v>
      </c>
      <c r="F1981" s="46" t="str">
        <f aca="false">IFERROR(VLOOKUP(Orders!E1981,Sales_Reps!$A$2:$E$31,3,FALSE()),"Not Found")</f>
        <v>North</v>
      </c>
      <c r="G1981" s="46" t="n">
        <f aca="false">IFERROR(VLOOKUP(Orders!D1981,Products!$A$2:$F$61,4,FALSE()),"")</f>
        <v>1143</v>
      </c>
      <c r="H1981" s="47" t="n">
        <f aca="false">IF(G1981="","",(Orders!G1981-G1981)/Orders!G1981)</f>
        <v>0.436945812807882</v>
      </c>
      <c r="I1981" s="46"/>
      <c r="J1981" s="46"/>
      <c r="K1981" s="46"/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  <c r="Y1981" s="46"/>
      <c r="Z1981" s="46"/>
      <c r="AA1981" s="46"/>
      <c r="AB1981" s="46"/>
      <c r="AC1981" s="46"/>
      <c r="AD1981" s="46"/>
      <c r="AE1981" s="46"/>
      <c r="AF1981" s="46"/>
      <c r="AG1981" s="46"/>
      <c r="AH1981" s="46"/>
      <c r="AI1981" s="46"/>
      <c r="AJ1981" s="46"/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46"/>
      <c r="AY1981" s="46"/>
      <c r="AZ1981" s="46"/>
    </row>
    <row r="1982" customFormat="false" ht="15" hidden="false" customHeight="false" outlineLevel="0" collapsed="false">
      <c r="A1982" s="46" t="str">
        <f aca="false">Orders!A1982</f>
        <v>ORD-01981</v>
      </c>
      <c r="B1982" s="46" t="str">
        <f aca="false">PROPER(TRIM(Orders!K1982))</f>
        <v>Pune</v>
      </c>
      <c r="C1982" s="46" t="str">
        <f aca="false">IFERROR(VLOOKUP(Orders!D1982,Products!$A$2:$F$61,3,FALSE()),"Not Found")</f>
        <v>Beauty</v>
      </c>
      <c r="D1982" s="46" t="str">
        <f aca="false">IFERROR(VLOOKUP(Orders!C1982,Customers!$A$2:$F$301,5,FALSE()),"Not Found")</f>
        <v>SMB</v>
      </c>
      <c r="E1982" s="46" t="n">
        <f aca="false">IFERROR(VLOOKUP(Orders!C1982,Customers!$A$2:$F$301,3,FALSE()),"Not Found")</f>
        <v>44</v>
      </c>
      <c r="F1982" s="46" t="str">
        <f aca="false">IFERROR(VLOOKUP(Orders!E1982,Sales_Reps!$A$2:$E$31,3,FALSE()),"Not Found")</f>
        <v>South</v>
      </c>
      <c r="G1982" s="46" t="n">
        <f aca="false">IFERROR(VLOOKUP(Orders!D1982,Products!$A$2:$F$61,4,FALSE()),"")</f>
        <v>2420</v>
      </c>
      <c r="H1982" s="47" t="n">
        <f aca="false">IF(G1982="","",(Orders!G1982-G1982)/Orders!G1982)</f>
        <v>0.298550724637681</v>
      </c>
      <c r="I1982" s="46"/>
      <c r="J1982" s="46"/>
      <c r="K1982" s="46"/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  <c r="AE1982" s="46"/>
      <c r="AF1982" s="46"/>
      <c r="AG1982" s="46"/>
      <c r="AH1982" s="46"/>
      <c r="AI1982" s="46"/>
      <c r="AJ1982" s="46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</row>
    <row r="1983" customFormat="false" ht="15" hidden="false" customHeight="false" outlineLevel="0" collapsed="false">
      <c r="A1983" s="46" t="str">
        <f aca="false">Orders!A1983</f>
        <v>ORD-01982</v>
      </c>
      <c r="B1983" s="46" t="str">
        <f aca="false">PROPER(TRIM(Orders!K1983))</f>
        <v>Chennai</v>
      </c>
      <c r="C1983" s="46" t="str">
        <f aca="false">IFERROR(VLOOKUP(Orders!D1983,Products!$A$2:$F$61,3,FALSE()),"Not Found")</f>
        <v>Electronics</v>
      </c>
      <c r="D1983" s="46" t="str">
        <f aca="false">IFERROR(VLOOKUP(Orders!C1983,Customers!$A$2:$F$301,5,FALSE()),"Not Found")</f>
        <v>Retail</v>
      </c>
      <c r="E1983" s="46" t="n">
        <f aca="false">IFERROR(VLOOKUP(Orders!C1983,Customers!$A$2:$F$301,3,FALSE()),"Not Found")</f>
        <v>61</v>
      </c>
      <c r="F1983" s="46" t="str">
        <f aca="false">IFERROR(VLOOKUP(Orders!E1983,Sales_Reps!$A$2:$E$31,3,FALSE()),"Not Found")</f>
        <v>South</v>
      </c>
      <c r="G1983" s="46" t="n">
        <f aca="false">IFERROR(VLOOKUP(Orders!D1983,Products!$A$2:$F$61,4,FALSE()),"")</f>
        <v>861</v>
      </c>
      <c r="H1983" s="47" t="n">
        <f aca="false">IF(G1983="","",(Orders!G1983-G1983)/Orders!G1983)</f>
        <v>0.397902097902098</v>
      </c>
      <c r="I1983" s="46"/>
      <c r="J1983" s="46"/>
      <c r="K1983" s="46"/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  <c r="Y1983" s="46"/>
      <c r="Z1983" s="46"/>
      <c r="AA1983" s="46"/>
      <c r="AB1983" s="46"/>
      <c r="AC1983" s="46"/>
      <c r="AD1983" s="46"/>
      <c r="AE1983" s="46"/>
      <c r="AF1983" s="46"/>
      <c r="AG1983" s="46"/>
      <c r="AH1983" s="46"/>
      <c r="AI1983" s="46"/>
      <c r="AJ1983" s="46"/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46"/>
      <c r="AY1983" s="46"/>
      <c r="AZ1983" s="46"/>
    </row>
    <row r="1984" customFormat="false" ht="15" hidden="false" customHeight="false" outlineLevel="0" collapsed="false">
      <c r="A1984" s="46" t="str">
        <f aca="false">Orders!A1984</f>
        <v>ORD-01983</v>
      </c>
      <c r="B1984" s="46" t="str">
        <f aca="false">PROPER(TRIM(Orders!K1984))</f>
        <v>Chennai</v>
      </c>
      <c r="C1984" s="46" t="str">
        <f aca="false">IFERROR(VLOOKUP(Orders!D1984,Products!$A$2:$F$61,3,FALSE()),"Not Found")</f>
        <v>Apparel</v>
      </c>
      <c r="D1984" s="46" t="str">
        <f aca="false">IFERROR(VLOOKUP(Orders!C1984,Customers!$A$2:$F$301,5,FALSE()),"Not Found")</f>
        <v>Retail</v>
      </c>
      <c r="E1984" s="46" t="n">
        <f aca="false">IFERROR(VLOOKUP(Orders!C1984,Customers!$A$2:$F$301,3,FALSE()),"Not Found")</f>
        <v>26</v>
      </c>
      <c r="F1984" s="46" t="str">
        <f aca="false">IFERROR(VLOOKUP(Orders!E1984,Sales_Reps!$A$2:$E$31,3,FALSE()),"Not Found")</f>
        <v>East</v>
      </c>
      <c r="G1984" s="46" t="n">
        <f aca="false">IFERROR(VLOOKUP(Orders!D1984,Products!$A$2:$F$61,4,FALSE()),"")</f>
        <v>391</v>
      </c>
      <c r="H1984" s="47" t="n">
        <f aca="false">IF(G1984="","",(Orders!G1984-G1984)/Orders!G1984)</f>
        <v>0.523170731707317</v>
      </c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6"/>
      <c r="AB1984" s="46"/>
      <c r="AC1984" s="46"/>
      <c r="AD1984" s="46"/>
      <c r="AE1984" s="46"/>
      <c r="AF1984" s="46"/>
      <c r="AG1984" s="46"/>
      <c r="AH1984" s="46"/>
      <c r="AI1984" s="46"/>
      <c r="AJ1984" s="46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46"/>
      <c r="AY1984" s="46"/>
      <c r="AZ1984" s="46"/>
    </row>
    <row r="1985" customFormat="false" ht="15" hidden="false" customHeight="false" outlineLevel="0" collapsed="false">
      <c r="A1985" s="46" t="str">
        <f aca="false">Orders!A1985</f>
        <v>ORD-01984</v>
      </c>
      <c r="B1985" s="46" t="str">
        <f aca="false">PROPER(TRIM(Orders!K1985))</f>
        <v>Bengaluru</v>
      </c>
      <c r="C1985" s="46" t="str">
        <f aca="false">IFERROR(VLOOKUP(Orders!D1985,Products!$A$2:$F$61,3,FALSE()),"Not Found")</f>
        <v>Beauty</v>
      </c>
      <c r="D1985" s="46" t="str">
        <f aca="false">IFERROR(VLOOKUP(Orders!C1985,Customers!$A$2:$F$301,5,FALSE()),"Not Found")</f>
        <v>Corporate</v>
      </c>
      <c r="E1985" s="46" t="n">
        <f aca="false">IFERROR(VLOOKUP(Orders!C1985,Customers!$A$2:$F$301,3,FALSE()),"Not Found")</f>
        <v>55</v>
      </c>
      <c r="F1985" s="46" t="str">
        <f aca="false">IFERROR(VLOOKUP(Orders!E1985,Sales_Reps!$A$2:$E$31,3,FALSE()),"Not Found")</f>
        <v>East</v>
      </c>
      <c r="G1985" s="46" t="n">
        <f aca="false">IFERROR(VLOOKUP(Orders!D1985,Products!$A$2:$F$61,4,FALSE()),"")</f>
        <v>2768</v>
      </c>
      <c r="H1985" s="47" t="n">
        <f aca="false">IF(G1985="","",(Orders!G1985-G1985)/Orders!G1985)</f>
        <v>0.432786885245902</v>
      </c>
      <c r="I1985" s="46"/>
      <c r="J1985" s="46"/>
      <c r="K1985" s="46"/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  <c r="Y1985" s="46"/>
      <c r="Z1985" s="46"/>
      <c r="AA1985" s="46"/>
      <c r="AB1985" s="46"/>
      <c r="AC1985" s="46"/>
      <c r="AD1985" s="46"/>
      <c r="AE1985" s="46"/>
      <c r="AF1985" s="46"/>
      <c r="AG1985" s="46"/>
      <c r="AH1985" s="46"/>
      <c r="AI1985" s="46"/>
      <c r="AJ1985" s="46"/>
      <c r="AK1985" s="46"/>
      <c r="AL1985" s="46"/>
      <c r="AM1985" s="46"/>
      <c r="AN1985" s="46"/>
      <c r="AO1985" s="46"/>
      <c r="AP1985" s="46"/>
      <c r="AQ1985" s="46"/>
      <c r="AR1985" s="46"/>
      <c r="AS1985" s="46"/>
      <c r="AT1985" s="46"/>
      <c r="AU1985" s="46"/>
      <c r="AV1985" s="46"/>
      <c r="AW1985" s="46"/>
      <c r="AX1985" s="46"/>
      <c r="AY1985" s="46"/>
      <c r="AZ1985" s="46"/>
    </row>
    <row r="1986" customFormat="false" ht="15" hidden="false" customHeight="false" outlineLevel="0" collapsed="false">
      <c r="A1986" s="46" t="str">
        <f aca="false">Orders!A1986</f>
        <v>ORD-01985</v>
      </c>
      <c r="B1986" s="46" t="str">
        <f aca="false">PROPER(TRIM(Orders!K1986))</f>
        <v>Mumbai</v>
      </c>
      <c r="C1986" s="46" t="str">
        <f aca="false">IFERROR(VLOOKUP(Orders!D1986,Products!$A$2:$F$61,3,FALSE()),"Not Found")</f>
        <v>Beauty</v>
      </c>
      <c r="D1986" s="46" t="str">
        <f aca="false">IFERROR(VLOOKUP(Orders!C1986,Customers!$A$2:$F$301,5,FALSE()),"Not Found")</f>
        <v>Retail</v>
      </c>
      <c r="E1986" s="46" t="n">
        <f aca="false">IFERROR(VLOOKUP(Orders!C1986,Customers!$A$2:$F$301,3,FALSE()),"Not Found")</f>
        <v>36</v>
      </c>
      <c r="F1986" s="46" t="str">
        <f aca="false">IFERROR(VLOOKUP(Orders!E1986,Sales_Reps!$A$2:$E$31,3,FALSE()),"Not Found")</f>
        <v>South</v>
      </c>
      <c r="G1986" s="46" t="n">
        <f aca="false">IFERROR(VLOOKUP(Orders!D1986,Products!$A$2:$F$61,4,FALSE()),"")</f>
        <v>1728</v>
      </c>
      <c r="H1986" s="47" t="n">
        <f aca="false">IF(G1986="","",(Orders!G1986-G1986)/Orders!G1986)</f>
        <v>0.484179104477612</v>
      </c>
      <c r="I1986" s="46"/>
      <c r="J1986" s="46"/>
      <c r="K1986" s="46"/>
      <c r="L1986" s="46"/>
      <c r="M1986" s="46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6"/>
      <c r="AU1986" s="46"/>
      <c r="AV1986" s="46"/>
      <c r="AW1986" s="46"/>
      <c r="AX1986" s="46"/>
      <c r="AY1986" s="46"/>
      <c r="AZ1986" s="46"/>
    </row>
    <row r="1987" customFormat="false" ht="15" hidden="false" customHeight="false" outlineLevel="0" collapsed="false">
      <c r="A1987" s="46" t="str">
        <f aca="false">Orders!A1987</f>
        <v>ORD-01986</v>
      </c>
      <c r="B1987" s="46" t="str">
        <f aca="false">PROPER(TRIM(Orders!K1987))</f>
        <v>Hyderabad</v>
      </c>
      <c r="C1987" s="46" t="str">
        <f aca="false">IFERROR(VLOOKUP(Orders!D1987,Products!$A$2:$F$61,3,FALSE()),"Not Found")</f>
        <v>Apparel</v>
      </c>
      <c r="D1987" s="46" t="str">
        <f aca="false">IFERROR(VLOOKUP(Orders!C1987,Customers!$A$2:$F$301,5,FALSE()),"Not Found")</f>
        <v>Retail</v>
      </c>
      <c r="E1987" s="46" t="n">
        <f aca="false">IFERROR(VLOOKUP(Orders!C1987,Customers!$A$2:$F$301,3,FALSE()),"Not Found")</f>
        <v>32</v>
      </c>
      <c r="F1987" s="46" t="str">
        <f aca="false">IFERROR(VLOOKUP(Orders!E1987,Sales_Reps!$A$2:$E$31,3,FALSE()),"Not Found")</f>
        <v>East</v>
      </c>
      <c r="G1987" s="46" t="n">
        <f aca="false">IFERROR(VLOOKUP(Orders!D1987,Products!$A$2:$F$61,4,FALSE()),"")</f>
        <v>1173</v>
      </c>
      <c r="H1987" s="47" t="n">
        <f aca="false">IF(G1987="","",(Orders!G1987-G1987)/Orders!G1987)</f>
        <v>0.527016129032258</v>
      </c>
      <c r="I1987" s="46"/>
      <c r="J1987" s="46"/>
      <c r="K1987" s="46"/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  <c r="Y1987" s="46"/>
      <c r="Z1987" s="46"/>
      <c r="AA1987" s="46"/>
      <c r="AB1987" s="46"/>
      <c r="AC1987" s="46"/>
      <c r="AD1987" s="46"/>
      <c r="AE1987" s="46"/>
      <c r="AF1987" s="46"/>
      <c r="AG1987" s="46"/>
      <c r="AH1987" s="46"/>
      <c r="AI1987" s="46"/>
      <c r="AJ1987" s="46"/>
      <c r="AK1987" s="46"/>
      <c r="AL1987" s="46"/>
      <c r="AM1987" s="46"/>
      <c r="AN1987" s="46"/>
      <c r="AO1987" s="46"/>
      <c r="AP1987" s="46"/>
      <c r="AQ1987" s="46"/>
      <c r="AR1987" s="46"/>
      <c r="AS1987" s="46"/>
      <c r="AT1987" s="46"/>
      <c r="AU1987" s="46"/>
      <c r="AV1987" s="46"/>
      <c r="AW1987" s="46"/>
      <c r="AX1987" s="46"/>
      <c r="AY1987" s="46"/>
      <c r="AZ1987" s="46"/>
    </row>
    <row r="1988" customFormat="false" ht="15" hidden="false" customHeight="false" outlineLevel="0" collapsed="false">
      <c r="A1988" s="46" t="str">
        <f aca="false">Orders!A1988</f>
        <v>ORD-01987</v>
      </c>
      <c r="B1988" s="46" t="str">
        <f aca="false">PROPER(TRIM(Orders!K1988))</f>
        <v>Bengaluru</v>
      </c>
      <c r="C1988" s="46" t="str">
        <f aca="false">IFERROR(VLOOKUP(Orders!D1988,Products!$A$2:$F$61,3,FALSE()),"Not Found")</f>
        <v>Home</v>
      </c>
      <c r="D1988" s="46" t="str">
        <f aca="false">IFERROR(VLOOKUP(Orders!C1988,Customers!$A$2:$F$301,5,FALSE()),"Not Found")</f>
        <v>SMB</v>
      </c>
      <c r="E1988" s="46" t="n">
        <f aca="false">IFERROR(VLOOKUP(Orders!C1988,Customers!$A$2:$F$301,3,FALSE()),"Not Found")</f>
        <v>64</v>
      </c>
      <c r="F1988" s="46" t="str">
        <f aca="false">IFERROR(VLOOKUP(Orders!E1988,Sales_Reps!$A$2:$E$31,3,FALSE()),"Not Found")</f>
        <v>West</v>
      </c>
      <c r="G1988" s="46" t="n">
        <f aca="false">IFERROR(VLOOKUP(Orders!D1988,Products!$A$2:$F$61,4,FALSE()),"")</f>
        <v>1850</v>
      </c>
      <c r="H1988" s="47" t="n">
        <f aca="false">IF(G1988="","",(Orders!G1988-G1988)/Orders!G1988)</f>
        <v>0.598698481561822</v>
      </c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6"/>
      <c r="AU1988" s="46"/>
      <c r="AV1988" s="46"/>
      <c r="AW1988" s="46"/>
      <c r="AX1988" s="46"/>
      <c r="AY1988" s="46"/>
      <c r="AZ1988" s="46"/>
    </row>
    <row r="1989" customFormat="false" ht="15" hidden="false" customHeight="false" outlineLevel="0" collapsed="false">
      <c r="A1989" s="46" t="str">
        <f aca="false">Orders!A1989</f>
        <v>ORD-01988</v>
      </c>
      <c r="B1989" s="46" t="str">
        <f aca="false">PROPER(TRIM(Orders!K1989))</f>
        <v>Mumbai</v>
      </c>
      <c r="C1989" s="46" t="str">
        <f aca="false">IFERROR(VLOOKUP(Orders!D1989,Products!$A$2:$F$61,3,FALSE()),"Not Found")</f>
        <v>Grocery</v>
      </c>
      <c r="D1989" s="46" t="str">
        <f aca="false">IFERROR(VLOOKUP(Orders!C1989,Customers!$A$2:$F$301,5,FALSE()),"Not Found")</f>
        <v>Retail</v>
      </c>
      <c r="E1989" s="46" t="n">
        <f aca="false">IFERROR(VLOOKUP(Orders!C1989,Customers!$A$2:$F$301,3,FALSE()),"Not Found")</f>
        <v>54</v>
      </c>
      <c r="F1989" s="46" t="str">
        <f aca="false">IFERROR(VLOOKUP(Orders!E1989,Sales_Reps!$A$2:$E$31,3,FALSE()),"Not Found")</f>
        <v>North</v>
      </c>
      <c r="G1989" s="46" t="n">
        <f aca="false">IFERROR(VLOOKUP(Orders!D1989,Products!$A$2:$F$61,4,FALSE()),"")</f>
        <v>2436</v>
      </c>
      <c r="H1989" s="47" t="n">
        <f aca="false">IF(G1989="","",(Orders!G1989-G1989)/Orders!G1989)</f>
        <v>0.355555555555556</v>
      </c>
      <c r="I1989" s="46"/>
      <c r="J1989" s="46"/>
      <c r="K1989" s="46"/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6"/>
      <c r="AB1989" s="46"/>
      <c r="AC1989" s="46"/>
      <c r="AD1989" s="46"/>
      <c r="AE1989" s="46"/>
      <c r="AF1989" s="46"/>
      <c r="AG1989" s="46"/>
      <c r="AH1989" s="46"/>
      <c r="AI1989" s="46"/>
      <c r="AJ1989" s="46"/>
      <c r="AK1989" s="46"/>
      <c r="AL1989" s="46"/>
      <c r="AM1989" s="46"/>
      <c r="AN1989" s="46"/>
      <c r="AO1989" s="46"/>
      <c r="AP1989" s="46"/>
      <c r="AQ1989" s="46"/>
      <c r="AR1989" s="46"/>
      <c r="AS1989" s="46"/>
      <c r="AT1989" s="46"/>
      <c r="AU1989" s="46"/>
      <c r="AV1989" s="46"/>
      <c r="AW1989" s="46"/>
      <c r="AX1989" s="46"/>
      <c r="AY1989" s="46"/>
      <c r="AZ1989" s="46"/>
    </row>
    <row r="1990" customFormat="false" ht="15" hidden="false" customHeight="false" outlineLevel="0" collapsed="false">
      <c r="A1990" s="46" t="str">
        <f aca="false">Orders!A1990</f>
        <v>ORD-01989</v>
      </c>
      <c r="B1990" s="46" t="str">
        <f aca="false">PROPER(TRIM(Orders!K1990))</f>
        <v>Delhi</v>
      </c>
      <c r="C1990" s="46" t="str">
        <f aca="false">IFERROR(VLOOKUP(Orders!D1990,Products!$A$2:$F$61,3,FALSE()),"Not Found")</f>
        <v>Beauty</v>
      </c>
      <c r="D1990" s="46" t="str">
        <f aca="false">IFERROR(VLOOKUP(Orders!C1990,Customers!$A$2:$F$301,5,FALSE()),"Not Found")</f>
        <v>Retail</v>
      </c>
      <c r="E1990" s="46" t="n">
        <f aca="false">IFERROR(VLOOKUP(Orders!C1990,Customers!$A$2:$F$301,3,FALSE()),"Not Found")</f>
        <v>53</v>
      </c>
      <c r="F1990" s="46" t="str">
        <f aca="false">IFERROR(VLOOKUP(Orders!E1990,Sales_Reps!$A$2:$E$31,3,FALSE()),"Not Found")</f>
        <v>West</v>
      </c>
      <c r="G1990" s="46" t="n">
        <f aca="false">IFERROR(VLOOKUP(Orders!D1990,Products!$A$2:$F$61,4,FALSE()),"")</f>
        <v>1626</v>
      </c>
      <c r="H1990" s="47" t="n">
        <f aca="false">IF(G1990="","",(Orders!G1990-G1990)/Orders!G1990)</f>
        <v>0.46158940397351</v>
      </c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6"/>
      <c r="AU1990" s="46"/>
      <c r="AV1990" s="46"/>
      <c r="AW1990" s="46"/>
      <c r="AX1990" s="46"/>
      <c r="AY1990" s="46"/>
      <c r="AZ1990" s="46"/>
    </row>
    <row r="1991" customFormat="false" ht="15" hidden="false" customHeight="false" outlineLevel="0" collapsed="false">
      <c r="A1991" s="46" t="str">
        <f aca="false">Orders!A1991</f>
        <v>ORD-01990</v>
      </c>
      <c r="B1991" s="46" t="str">
        <f aca="false">PROPER(TRIM(Orders!K1991))</f>
        <v>Hyderabad</v>
      </c>
      <c r="C1991" s="46" t="str">
        <f aca="false">IFERROR(VLOOKUP(Orders!D1991,Products!$A$2:$F$61,3,FALSE()),"Not Found")</f>
        <v>Home</v>
      </c>
      <c r="D1991" s="46" t="str">
        <f aca="false">IFERROR(VLOOKUP(Orders!C1991,Customers!$A$2:$F$301,5,FALSE()),"Not Found")</f>
        <v>Retail</v>
      </c>
      <c r="E1991" s="46" t="n">
        <f aca="false">IFERROR(VLOOKUP(Orders!C1991,Customers!$A$2:$F$301,3,FALSE()),"Not Found")</f>
        <v>32</v>
      </c>
      <c r="F1991" s="46" t="str">
        <f aca="false">IFERROR(VLOOKUP(Orders!E1991,Sales_Reps!$A$2:$E$31,3,FALSE()),"Not Found")</f>
        <v>North</v>
      </c>
      <c r="G1991" s="46" t="n">
        <f aca="false">IFERROR(VLOOKUP(Orders!D1991,Products!$A$2:$F$61,4,FALSE()),"")</f>
        <v>464</v>
      </c>
      <c r="H1991" s="47" t="n">
        <f aca="false">IF(G1991="","",(Orders!G1991-G1991)/Orders!G1991)</f>
        <v>0.574311926605505</v>
      </c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  <c r="AA1991" s="46"/>
      <c r="AB1991" s="46"/>
      <c r="AC1991" s="46"/>
      <c r="AD1991" s="46"/>
      <c r="AE1991" s="46"/>
      <c r="AF1991" s="46"/>
      <c r="AG1991" s="46"/>
      <c r="AH1991" s="46"/>
      <c r="AI1991" s="46"/>
      <c r="AJ1991" s="46"/>
      <c r="AK1991" s="46"/>
      <c r="AL1991" s="46"/>
      <c r="AM1991" s="46"/>
      <c r="AN1991" s="46"/>
      <c r="AO1991" s="46"/>
      <c r="AP1991" s="46"/>
      <c r="AQ1991" s="46"/>
      <c r="AR1991" s="46"/>
      <c r="AS1991" s="46"/>
      <c r="AT1991" s="46"/>
      <c r="AU1991" s="46"/>
      <c r="AV1991" s="46"/>
      <c r="AW1991" s="46"/>
      <c r="AX1991" s="46"/>
      <c r="AY1991" s="46"/>
      <c r="AZ1991" s="46"/>
    </row>
    <row r="1992" customFormat="false" ht="15" hidden="false" customHeight="false" outlineLevel="0" collapsed="false">
      <c r="A1992" s="46" t="str">
        <f aca="false">Orders!A1992</f>
        <v>ORD-01991</v>
      </c>
      <c r="B1992" s="46" t="str">
        <f aca="false">PROPER(TRIM(Orders!K1992))</f>
        <v>Bengaluru</v>
      </c>
      <c r="C1992" s="46" t="str">
        <f aca="false">IFERROR(VLOOKUP(Orders!D1992,Products!$A$2:$F$61,3,FALSE()),"Not Found")</f>
        <v>Beauty</v>
      </c>
      <c r="D1992" s="46" t="str">
        <f aca="false">IFERROR(VLOOKUP(Orders!C1992,Customers!$A$2:$F$301,5,FALSE()),"Not Found")</f>
        <v>Corporate</v>
      </c>
      <c r="E1992" s="46" t="n">
        <f aca="false">IFERROR(VLOOKUP(Orders!C1992,Customers!$A$2:$F$301,3,FALSE()),"Not Found")</f>
        <v>31</v>
      </c>
      <c r="F1992" s="46" t="str">
        <f aca="false">IFERROR(VLOOKUP(Orders!E1992,Sales_Reps!$A$2:$E$31,3,FALSE()),"Not Found")</f>
        <v>South</v>
      </c>
      <c r="G1992" s="46" t="n">
        <f aca="false">IFERROR(VLOOKUP(Orders!D1992,Products!$A$2:$F$61,4,FALSE()),"")</f>
        <v>2237</v>
      </c>
      <c r="H1992" s="47" t="n">
        <f aca="false">IF(G1992="","",(Orders!G1992-G1992)/Orders!G1992)</f>
        <v>0.561372549019608</v>
      </c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46"/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6"/>
      <c r="AU1992" s="46"/>
      <c r="AV1992" s="46"/>
      <c r="AW1992" s="46"/>
      <c r="AX1992" s="46"/>
      <c r="AY1992" s="46"/>
      <c r="AZ1992" s="46"/>
    </row>
    <row r="1993" customFormat="false" ht="15" hidden="false" customHeight="false" outlineLevel="0" collapsed="false">
      <c r="A1993" s="46" t="str">
        <f aca="false">Orders!A1993</f>
        <v>ORD-01992</v>
      </c>
      <c r="B1993" s="46" t="str">
        <f aca="false">PROPER(TRIM(Orders!K1993))</f>
        <v>Chennai</v>
      </c>
      <c r="C1993" s="46" t="str">
        <f aca="false">IFERROR(VLOOKUP(Orders!D1993,Products!$A$2:$F$61,3,FALSE()),"Not Found")</f>
        <v>Beauty</v>
      </c>
      <c r="D1993" s="46" t="str">
        <f aca="false">IFERROR(VLOOKUP(Orders!C1993,Customers!$A$2:$F$301,5,FALSE()),"Not Found")</f>
        <v>SMB</v>
      </c>
      <c r="E1993" s="46" t="n">
        <f aca="false">IFERROR(VLOOKUP(Orders!C1993,Customers!$A$2:$F$301,3,FALSE()),"Not Found")</f>
        <v>59</v>
      </c>
      <c r="F1993" s="46" t="str">
        <f aca="false">IFERROR(VLOOKUP(Orders!E1993,Sales_Reps!$A$2:$E$31,3,FALSE()),"Not Found")</f>
        <v>North</v>
      </c>
      <c r="G1993" s="46" t="n">
        <f aca="false">IFERROR(VLOOKUP(Orders!D1993,Products!$A$2:$F$61,4,FALSE()),"")</f>
        <v>2768</v>
      </c>
      <c r="H1993" s="47" t="n">
        <f aca="false">IF(G1993="","",(Orders!G1993-G1993)/Orders!G1993)</f>
        <v>0.432786885245902</v>
      </c>
      <c r="I1993" s="46"/>
      <c r="J1993" s="46"/>
      <c r="K1993" s="46"/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46"/>
      <c r="AE1993" s="46"/>
      <c r="AF1993" s="46"/>
      <c r="AG1993" s="46"/>
      <c r="AH1993" s="46"/>
      <c r="AI1993" s="46"/>
      <c r="AJ1993" s="46"/>
      <c r="AK1993" s="46"/>
      <c r="AL1993" s="46"/>
      <c r="AM1993" s="46"/>
      <c r="AN1993" s="46"/>
      <c r="AO1993" s="46"/>
      <c r="AP1993" s="46"/>
      <c r="AQ1993" s="46"/>
      <c r="AR1993" s="46"/>
      <c r="AS1993" s="46"/>
      <c r="AT1993" s="46"/>
      <c r="AU1993" s="46"/>
      <c r="AV1993" s="46"/>
      <c r="AW1993" s="46"/>
      <c r="AX1993" s="46"/>
      <c r="AY1993" s="46"/>
      <c r="AZ1993" s="46"/>
    </row>
    <row r="1994" customFormat="false" ht="15" hidden="false" customHeight="false" outlineLevel="0" collapsed="false">
      <c r="A1994" s="46" t="str">
        <f aca="false">Orders!A1994</f>
        <v>ORD-01993</v>
      </c>
      <c r="B1994" s="46" t="str">
        <f aca="false">PROPER(TRIM(Orders!K1994))</f>
        <v>Hyderabad</v>
      </c>
      <c r="C1994" s="46" t="str">
        <f aca="false">IFERROR(VLOOKUP(Orders!D1994,Products!$A$2:$F$61,3,FALSE()),"Not Found")</f>
        <v>Electronics</v>
      </c>
      <c r="D1994" s="46" t="str">
        <f aca="false">IFERROR(VLOOKUP(Orders!C1994,Customers!$A$2:$F$301,5,FALSE()),"Not Found")</f>
        <v>Retail</v>
      </c>
      <c r="E1994" s="46" t="n">
        <f aca="false">IFERROR(VLOOKUP(Orders!C1994,Customers!$A$2:$F$301,3,FALSE()),"Not Found")</f>
        <v>65</v>
      </c>
      <c r="F1994" s="46" t="str">
        <f aca="false">IFERROR(VLOOKUP(Orders!E1994,Sales_Reps!$A$2:$E$31,3,FALSE()),"Not Found")</f>
        <v>West</v>
      </c>
      <c r="G1994" s="46" t="n">
        <f aca="false">IFERROR(VLOOKUP(Orders!D1994,Products!$A$2:$F$61,4,FALSE()),"")</f>
        <v>2405</v>
      </c>
      <c r="H1994" s="47" t="n">
        <f aca="false">IF(G1994="","",(Orders!G1994-G1994)/Orders!G1994)</f>
        <v>0.548780487804878</v>
      </c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46"/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6"/>
      <c r="AU1994" s="46"/>
      <c r="AV1994" s="46"/>
      <c r="AW1994" s="46"/>
      <c r="AX1994" s="46"/>
      <c r="AY1994" s="46"/>
      <c r="AZ1994" s="46"/>
    </row>
    <row r="1995" customFormat="false" ht="15" hidden="false" customHeight="false" outlineLevel="0" collapsed="false">
      <c r="A1995" s="46" t="str">
        <f aca="false">Orders!A1995</f>
        <v>ORD-01994</v>
      </c>
      <c r="B1995" s="46" t="str">
        <f aca="false">PROPER(TRIM(Orders!K1995))</f>
        <v>Pune</v>
      </c>
      <c r="C1995" s="46" t="str">
        <f aca="false">IFERROR(VLOOKUP(Orders!D1995,Products!$A$2:$F$61,3,FALSE()),"Not Found")</f>
        <v>Home</v>
      </c>
      <c r="D1995" s="46" t="str">
        <f aca="false">IFERROR(VLOOKUP(Orders!C1995,Customers!$A$2:$F$301,5,FALSE()),"Not Found")</f>
        <v>SMB</v>
      </c>
      <c r="E1995" s="46" t="n">
        <f aca="false">IFERROR(VLOOKUP(Orders!C1995,Customers!$A$2:$F$301,3,FALSE()),"Not Found")</f>
        <v>39</v>
      </c>
      <c r="F1995" s="46" t="str">
        <f aca="false">IFERROR(VLOOKUP(Orders!E1995,Sales_Reps!$A$2:$E$31,3,FALSE()),"Not Found")</f>
        <v>West</v>
      </c>
      <c r="G1995" s="46" t="n">
        <f aca="false">IFERROR(VLOOKUP(Orders!D1995,Products!$A$2:$F$61,4,FALSE()),"")</f>
        <v>1143</v>
      </c>
      <c r="H1995" s="47" t="n">
        <f aca="false">IF(G1995="","",(Orders!G1995-G1995)/Orders!G1995)</f>
        <v>0.436945812807882</v>
      </c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  <c r="AA1995" s="46"/>
      <c r="AB1995" s="46"/>
      <c r="AC1995" s="46"/>
      <c r="AD1995" s="46"/>
      <c r="AE1995" s="46"/>
      <c r="AF1995" s="46"/>
      <c r="AG1995" s="46"/>
      <c r="AH1995" s="46"/>
      <c r="AI1995" s="46"/>
      <c r="AJ1995" s="46"/>
      <c r="AK1995" s="46"/>
      <c r="AL1995" s="46"/>
      <c r="AM1995" s="46"/>
      <c r="AN1995" s="46"/>
      <c r="AO1995" s="46"/>
      <c r="AP1995" s="46"/>
      <c r="AQ1995" s="46"/>
      <c r="AR1995" s="46"/>
      <c r="AS1995" s="46"/>
      <c r="AT1995" s="46"/>
      <c r="AU1995" s="46"/>
      <c r="AV1995" s="46"/>
      <c r="AW1995" s="46"/>
      <c r="AX1995" s="46"/>
      <c r="AY1995" s="46"/>
      <c r="AZ1995" s="46"/>
    </row>
    <row r="1996" customFormat="false" ht="15" hidden="false" customHeight="false" outlineLevel="0" collapsed="false">
      <c r="A1996" s="46" t="str">
        <f aca="false">Orders!A1996</f>
        <v>ORD-01995</v>
      </c>
      <c r="B1996" s="46" t="str">
        <f aca="false">PROPER(TRIM(Orders!K1996))</f>
        <v>Bengaluru</v>
      </c>
      <c r="C1996" s="46" t="str">
        <f aca="false">IFERROR(VLOOKUP(Orders!D1996,Products!$A$2:$F$61,3,FALSE()),"Not Found")</f>
        <v>Beauty</v>
      </c>
      <c r="D1996" s="46" t="str">
        <f aca="false">IFERROR(VLOOKUP(Orders!C1996,Customers!$A$2:$F$301,5,FALSE()),"Not Found")</f>
        <v>Retail</v>
      </c>
      <c r="E1996" s="46" t="n">
        <f aca="false">IFERROR(VLOOKUP(Orders!C1996,Customers!$A$2:$F$301,3,FALSE()),"Not Found")</f>
        <v>42</v>
      </c>
      <c r="F1996" s="46" t="str">
        <f aca="false">IFERROR(VLOOKUP(Orders!E1996,Sales_Reps!$A$2:$E$31,3,FALSE()),"Not Found")</f>
        <v>West</v>
      </c>
      <c r="G1996" s="46" t="n">
        <f aca="false">IFERROR(VLOOKUP(Orders!D1996,Products!$A$2:$F$61,4,FALSE()),"")</f>
        <v>1728</v>
      </c>
      <c r="H1996" s="47" t="n">
        <f aca="false">IF(G1996="","",(Orders!G1996-G1996)/Orders!G1996)</f>
        <v>0.484179104477612</v>
      </c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46"/>
      <c r="AY1996" s="46"/>
      <c r="AZ1996" s="46"/>
    </row>
    <row r="1997" customFormat="false" ht="15" hidden="false" customHeight="false" outlineLevel="0" collapsed="false">
      <c r="A1997" s="46" t="str">
        <f aca="false">Orders!A1997</f>
        <v>ORD-01996</v>
      </c>
      <c r="B1997" s="46" t="str">
        <f aca="false">PROPER(TRIM(Orders!K1997))</f>
        <v>Chennai</v>
      </c>
      <c r="C1997" s="46" t="str">
        <f aca="false">IFERROR(VLOOKUP(Orders!D1997,Products!$A$2:$F$61,3,FALSE()),"Not Found")</f>
        <v>Home</v>
      </c>
      <c r="D1997" s="46" t="str">
        <f aca="false">IFERROR(VLOOKUP(Orders!C1997,Customers!$A$2:$F$301,5,FALSE()),"Not Found")</f>
        <v>Retail</v>
      </c>
      <c r="E1997" s="46" t="n">
        <f aca="false">IFERROR(VLOOKUP(Orders!C1997,Customers!$A$2:$F$301,3,FALSE()),"Not Found")</f>
        <v>49</v>
      </c>
      <c r="F1997" s="46" t="str">
        <f aca="false">IFERROR(VLOOKUP(Orders!E1997,Sales_Reps!$A$2:$E$31,3,FALSE()),"Not Found")</f>
        <v>South</v>
      </c>
      <c r="G1997" s="46" t="n">
        <f aca="false">IFERROR(VLOOKUP(Orders!D1997,Products!$A$2:$F$61,4,FALSE()),"")</f>
        <v>2135</v>
      </c>
      <c r="H1997" s="47" t="n">
        <f aca="false">IF(G1997="","",(Orders!G1997-G1997)/Orders!G1997)</f>
        <v>0.427613941018767</v>
      </c>
      <c r="I1997" s="46"/>
      <c r="J1997" s="46"/>
      <c r="K1997" s="46"/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  <c r="Y1997" s="46"/>
      <c r="Z1997" s="46"/>
      <c r="AA1997" s="46"/>
      <c r="AB1997" s="46"/>
      <c r="AC1997" s="46"/>
      <c r="AD1997" s="46"/>
      <c r="AE1997" s="46"/>
      <c r="AF1997" s="46"/>
      <c r="AG1997" s="46"/>
      <c r="AH1997" s="46"/>
      <c r="AI1997" s="46"/>
      <c r="AJ1997" s="46"/>
      <c r="AK1997" s="46"/>
      <c r="AL1997" s="46"/>
      <c r="AM1997" s="46"/>
      <c r="AN1997" s="46"/>
      <c r="AO1997" s="46"/>
      <c r="AP1997" s="46"/>
      <c r="AQ1997" s="46"/>
      <c r="AR1997" s="46"/>
      <c r="AS1997" s="46"/>
      <c r="AT1997" s="46"/>
      <c r="AU1997" s="46"/>
      <c r="AV1997" s="46"/>
      <c r="AW1997" s="46"/>
      <c r="AX1997" s="46"/>
      <c r="AY1997" s="46"/>
      <c r="AZ1997" s="46"/>
    </row>
    <row r="1998" customFormat="false" ht="15" hidden="false" customHeight="false" outlineLevel="0" collapsed="false">
      <c r="A1998" s="46" t="str">
        <f aca="false">Orders!A1998</f>
        <v>ORD-01997</v>
      </c>
      <c r="B1998" s="46" t="str">
        <f aca="false">PROPER(TRIM(Orders!K1998))</f>
        <v>Pune</v>
      </c>
      <c r="C1998" s="46" t="str">
        <f aca="false">IFERROR(VLOOKUP(Orders!D1998,Products!$A$2:$F$61,3,FALSE()),"Not Found")</f>
        <v>Electronics</v>
      </c>
      <c r="D1998" s="46" t="str">
        <f aca="false">IFERROR(VLOOKUP(Orders!C1998,Customers!$A$2:$F$301,5,FALSE()),"Not Found")</f>
        <v>SMB</v>
      </c>
      <c r="E1998" s="46" t="n">
        <f aca="false">IFERROR(VLOOKUP(Orders!C1998,Customers!$A$2:$F$301,3,FALSE()),"Not Found")</f>
        <v>24</v>
      </c>
      <c r="F1998" s="46" t="str">
        <f aca="false">IFERROR(VLOOKUP(Orders!E1998,Sales_Reps!$A$2:$E$31,3,FALSE()),"Not Found")</f>
        <v>East</v>
      </c>
      <c r="G1998" s="46" t="n">
        <f aca="false">IFERROR(VLOOKUP(Orders!D1998,Products!$A$2:$F$61,4,FALSE()),"")</f>
        <v>2865</v>
      </c>
      <c r="H1998" s="47" t="n">
        <f aca="false">IF(G1998="","",(Orders!G1998-G1998)/Orders!G1998)</f>
        <v>0.278337531486146</v>
      </c>
      <c r="I1998" s="46"/>
      <c r="J1998" s="46"/>
      <c r="K1998" s="46"/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46"/>
      <c r="AE1998" s="46"/>
      <c r="AF1998" s="46"/>
      <c r="AG1998" s="46"/>
      <c r="AH1998" s="46"/>
      <c r="AI1998" s="46"/>
      <c r="AJ1998" s="46"/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6"/>
      <c r="AU1998" s="46"/>
      <c r="AV1998" s="46"/>
      <c r="AW1998" s="46"/>
      <c r="AX1998" s="46"/>
      <c r="AY1998" s="46"/>
      <c r="AZ1998" s="46"/>
    </row>
    <row r="1999" customFormat="false" ht="15" hidden="false" customHeight="false" outlineLevel="0" collapsed="false">
      <c r="A1999" s="46" t="str">
        <f aca="false">Orders!A1999</f>
        <v>ORD-01998</v>
      </c>
      <c r="B1999" s="46" t="str">
        <f aca="false">PROPER(TRIM(Orders!K1999))</f>
        <v>Bengaluru</v>
      </c>
      <c r="C1999" s="46" t="str">
        <f aca="false">IFERROR(VLOOKUP(Orders!D1999,Products!$A$2:$F$61,3,FALSE()),"Not Found")</f>
        <v>Grocery</v>
      </c>
      <c r="D1999" s="46" t="str">
        <f aca="false">IFERROR(VLOOKUP(Orders!C1999,Customers!$A$2:$F$301,5,FALSE()),"Not Found")</f>
        <v>Corporate</v>
      </c>
      <c r="E1999" s="46" t="n">
        <f aca="false">IFERROR(VLOOKUP(Orders!C1999,Customers!$A$2:$F$301,3,FALSE()),"Not Found")</f>
        <v>43</v>
      </c>
      <c r="F1999" s="46" t="str">
        <f aca="false">IFERROR(VLOOKUP(Orders!E1999,Sales_Reps!$A$2:$E$31,3,FALSE()),"Not Found")</f>
        <v>South</v>
      </c>
      <c r="G1999" s="46" t="n">
        <f aca="false">IFERROR(VLOOKUP(Orders!D1999,Products!$A$2:$F$61,4,FALSE()),"")</f>
        <v>1010</v>
      </c>
      <c r="H1999" s="47" t="n">
        <f aca="false">IF(G1999="","",(Orders!G1999-G1999)/Orders!G1999)</f>
        <v>0.542986425339367</v>
      </c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  <c r="AB1999" s="46"/>
      <c r="AC1999" s="46"/>
      <c r="AD1999" s="46"/>
      <c r="AE1999" s="46"/>
      <c r="AF1999" s="46"/>
      <c r="AG1999" s="46"/>
      <c r="AH1999" s="46"/>
      <c r="AI1999" s="46"/>
      <c r="AJ1999" s="46"/>
      <c r="AK1999" s="46"/>
      <c r="AL1999" s="46"/>
      <c r="AM1999" s="46"/>
      <c r="AN1999" s="46"/>
      <c r="AO1999" s="46"/>
      <c r="AP1999" s="46"/>
      <c r="AQ1999" s="46"/>
      <c r="AR1999" s="46"/>
      <c r="AS1999" s="46"/>
      <c r="AT1999" s="46"/>
      <c r="AU1999" s="46"/>
      <c r="AV1999" s="46"/>
      <c r="AW1999" s="46"/>
      <c r="AX1999" s="46"/>
      <c r="AY1999" s="46"/>
      <c r="AZ1999" s="46"/>
    </row>
    <row r="2000" customFormat="false" ht="15" hidden="false" customHeight="false" outlineLevel="0" collapsed="false">
      <c r="A2000" s="46" t="str">
        <f aca="false">Orders!A2000</f>
        <v>ORD-01999</v>
      </c>
      <c r="B2000" s="46" t="str">
        <f aca="false">PROPER(TRIM(Orders!K2000))</f>
        <v>Delhi</v>
      </c>
      <c r="C2000" s="46" t="str">
        <f aca="false">IFERROR(VLOOKUP(Orders!D2000,Products!$A$2:$F$61,3,FALSE()),"Not Found")</f>
        <v>Sports</v>
      </c>
      <c r="D2000" s="46" t="str">
        <f aca="false">IFERROR(VLOOKUP(Orders!C2000,Customers!$A$2:$F$301,5,FALSE()),"Not Found")</f>
        <v>Retail</v>
      </c>
      <c r="E2000" s="46" t="n">
        <f aca="false">IFERROR(VLOOKUP(Orders!C2000,Customers!$A$2:$F$301,3,FALSE()),"Not Found")</f>
        <v>43</v>
      </c>
      <c r="F2000" s="46" t="str">
        <f aca="false">IFERROR(VLOOKUP(Orders!E2000,Sales_Reps!$A$2:$E$31,3,FALSE()),"Not Found")</f>
        <v>North</v>
      </c>
      <c r="G2000" s="46" t="n">
        <f aca="false">IFERROR(VLOOKUP(Orders!D2000,Products!$A$2:$F$61,4,FALSE()),"")</f>
        <v>2265</v>
      </c>
      <c r="H2000" s="47" t="n">
        <f aca="false">IF(G2000="","",(Orders!G2000-G2000)/Orders!G2000)</f>
        <v>0.581330868761553</v>
      </c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46"/>
      <c r="AE2000" s="46"/>
      <c r="AF2000" s="46"/>
      <c r="AG2000" s="46"/>
      <c r="AH2000" s="46"/>
      <c r="AI2000" s="46"/>
      <c r="AJ2000" s="46"/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6"/>
      <c r="AU2000" s="46"/>
      <c r="AV2000" s="46"/>
      <c r="AW2000" s="46"/>
      <c r="AX2000" s="46"/>
      <c r="AY2000" s="46"/>
      <c r="AZ2000" s="46"/>
    </row>
    <row r="2001" customFormat="false" ht="15" hidden="false" customHeight="false" outlineLevel="0" collapsed="false">
      <c r="A2001" s="46" t="str">
        <f aca="false">Orders!A2001</f>
        <v>ORD-02000</v>
      </c>
      <c r="B2001" s="46" t="str">
        <f aca="false">PROPER(TRIM(Orders!K2001))</f>
        <v>Delhi</v>
      </c>
      <c r="C2001" s="46" t="str">
        <f aca="false">IFERROR(VLOOKUP(Orders!D2001,Products!$A$2:$F$61,3,FALSE()),"Not Found")</f>
        <v>Home</v>
      </c>
      <c r="D2001" s="46" t="str">
        <f aca="false">IFERROR(VLOOKUP(Orders!C2001,Customers!$A$2:$F$301,5,FALSE()),"Not Found")</f>
        <v>Retail</v>
      </c>
      <c r="E2001" s="46" t="n">
        <f aca="false">IFERROR(VLOOKUP(Orders!C2001,Customers!$A$2:$F$301,3,FALSE()),"Not Found")</f>
        <v>49</v>
      </c>
      <c r="F2001" s="46" t="str">
        <f aca="false">IFERROR(VLOOKUP(Orders!E2001,Sales_Reps!$A$2:$E$31,3,FALSE()),"Not Found")</f>
        <v>East</v>
      </c>
      <c r="G2001" s="46" t="n">
        <f aca="false">IFERROR(VLOOKUP(Orders!D2001,Products!$A$2:$F$61,4,FALSE()),"")</f>
        <v>2459</v>
      </c>
      <c r="H2001" s="47" t="n">
        <f aca="false">IF(G2001="","",(Orders!G2001-G2001)/Orders!G2001)</f>
        <v>0.515944881889764</v>
      </c>
      <c r="I2001" s="46"/>
      <c r="J2001" s="46"/>
      <c r="K2001" s="46"/>
      <c r="L2001" s="46"/>
      <c r="M2001" s="46"/>
      <c r="N2001" s="46"/>
      <c r="O2001" s="46"/>
      <c r="P2001" s="46"/>
      <c r="Q2001" s="46"/>
      <c r="R2001" s="46"/>
      <c r="S2001" s="46"/>
      <c r="T2001" s="46"/>
      <c r="U2001" s="46"/>
      <c r="V2001" s="46"/>
      <c r="W2001" s="46"/>
      <c r="X2001" s="46"/>
      <c r="Y2001" s="46"/>
      <c r="Z2001" s="46"/>
      <c r="AA2001" s="46"/>
      <c r="AB2001" s="46"/>
      <c r="AC2001" s="46"/>
      <c r="AD2001" s="46"/>
      <c r="AE2001" s="46"/>
      <c r="AF2001" s="46"/>
      <c r="AG2001" s="46"/>
      <c r="AH2001" s="46"/>
      <c r="AI2001" s="46"/>
      <c r="AJ2001" s="46"/>
      <c r="AK2001" s="46"/>
      <c r="AL2001" s="46"/>
      <c r="AM2001" s="46"/>
      <c r="AN2001" s="46"/>
      <c r="AO2001" s="46"/>
      <c r="AP2001" s="46"/>
      <c r="AQ2001" s="46"/>
      <c r="AR2001" s="46"/>
      <c r="AS2001" s="46"/>
      <c r="AT2001" s="46"/>
      <c r="AU2001" s="46"/>
      <c r="AV2001" s="46"/>
      <c r="AW2001" s="46"/>
      <c r="AX2001" s="46"/>
      <c r="AY2001" s="46"/>
      <c r="AZ2001" s="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2026-08-08T11:39:42Z</dcterms:created>
  <dc:creator>openpyxl</dc:creator>
  <dc:description/>
  <dc:language>en-US</dc:language>
  <cp:lastModifiedBy>Girish Kumar Badhautiya</cp:lastModifiedBy>
  <dcterms:modified xsi:type="dcterms:W3CDTF">2026-09-21T15:58:17Z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